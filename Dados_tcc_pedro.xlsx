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lberto/Library/CloudStorage/GoogleDrive-orlandoyesid.8@gmail.com/Meu Drive/Mackenzie /TCC 2/Pedro/"/>
    </mc:Choice>
  </mc:AlternateContent>
  <xr:revisionPtr revIDLastSave="0" documentId="13_ncr:1_{C8695FA0-32DC-3E4D-8CE8-5182FF88A1A0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Dados" sheetId="1" r:id="rId1"/>
    <sheet name="Tabela1_Estatisticas" sheetId="2" r:id="rId2"/>
    <sheet name="Fig2_VolatilidadeMovel" sheetId="3" r:id="rId3"/>
    <sheet name="Figura1_Grafic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20" i="3" l="1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C1202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B1094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C712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G5" i="2"/>
  <c r="F1248" i="1"/>
  <c r="E1248" i="1"/>
  <c r="D1248" i="1"/>
  <c r="F1247" i="1"/>
  <c r="E1247" i="1"/>
  <c r="D1247" i="1"/>
  <c r="F1246" i="1"/>
  <c r="E1246" i="1"/>
  <c r="D1246" i="1"/>
  <c r="F1245" i="1"/>
  <c r="E1245" i="1"/>
  <c r="D1245" i="1"/>
  <c r="F1244" i="1"/>
  <c r="E1244" i="1"/>
  <c r="D1244" i="1"/>
  <c r="F1243" i="1"/>
  <c r="E1243" i="1"/>
  <c r="D1243" i="1"/>
  <c r="F1242" i="1"/>
  <c r="E1242" i="1"/>
  <c r="D1242" i="1"/>
  <c r="F1241" i="1"/>
  <c r="E1241" i="1"/>
  <c r="D1241" i="1"/>
  <c r="F1240" i="1"/>
  <c r="E1240" i="1"/>
  <c r="D1240" i="1"/>
  <c r="F1239" i="1"/>
  <c r="E1239" i="1"/>
  <c r="D1239" i="1"/>
  <c r="F1238" i="1"/>
  <c r="E1238" i="1"/>
  <c r="D1238" i="1"/>
  <c r="F1237" i="1"/>
  <c r="E1237" i="1"/>
  <c r="D1237" i="1"/>
  <c r="F1236" i="1"/>
  <c r="E1236" i="1"/>
  <c r="D1236" i="1"/>
  <c r="F1235" i="1"/>
  <c r="E1235" i="1"/>
  <c r="D1235" i="1"/>
  <c r="F1234" i="1"/>
  <c r="E1234" i="1"/>
  <c r="D1234" i="1"/>
  <c r="F1233" i="1"/>
  <c r="E1233" i="1"/>
  <c r="D1233" i="1"/>
  <c r="F1232" i="1"/>
  <c r="E1232" i="1"/>
  <c r="D1232" i="1"/>
  <c r="F1231" i="1"/>
  <c r="E1231" i="1"/>
  <c r="D1231" i="1"/>
  <c r="F1230" i="1"/>
  <c r="E1230" i="1"/>
  <c r="D1230" i="1"/>
  <c r="F1229" i="1"/>
  <c r="E1229" i="1"/>
  <c r="D1229" i="1"/>
  <c r="F1228" i="1"/>
  <c r="E1228" i="1"/>
  <c r="D1228" i="1"/>
  <c r="F1227" i="1"/>
  <c r="E1227" i="1"/>
  <c r="D1227" i="1"/>
  <c r="F1226" i="1"/>
  <c r="E1226" i="1"/>
  <c r="D1226" i="1"/>
  <c r="F1225" i="1"/>
  <c r="E1225" i="1"/>
  <c r="D1225" i="1"/>
  <c r="F1224" i="1"/>
  <c r="E1224" i="1"/>
  <c r="D1224" i="1"/>
  <c r="F1223" i="1"/>
  <c r="E1223" i="1"/>
  <c r="D1223" i="1"/>
  <c r="F1222" i="1"/>
  <c r="E1222" i="1"/>
  <c r="D1222" i="1"/>
  <c r="F1221" i="1"/>
  <c r="E1221" i="1"/>
  <c r="D1221" i="1"/>
  <c r="F1220" i="1"/>
  <c r="E1220" i="1"/>
  <c r="D1220" i="1"/>
  <c r="F1219" i="1"/>
  <c r="E1219" i="1"/>
  <c r="C1220" i="3" s="1"/>
  <c r="D1219" i="1"/>
  <c r="F1218" i="1"/>
  <c r="E1218" i="1"/>
  <c r="D1218" i="1"/>
  <c r="F1217" i="1"/>
  <c r="E1217" i="1"/>
  <c r="D1217" i="1"/>
  <c r="F1216" i="1"/>
  <c r="E1216" i="1"/>
  <c r="D1216" i="1"/>
  <c r="B1217" i="3" s="1"/>
  <c r="F1215" i="1"/>
  <c r="E1215" i="1"/>
  <c r="C1216" i="3" s="1"/>
  <c r="D1215" i="1"/>
  <c r="F1214" i="1"/>
  <c r="E1214" i="1"/>
  <c r="D1214" i="1"/>
  <c r="F1213" i="1"/>
  <c r="E1213" i="1"/>
  <c r="D1213" i="1"/>
  <c r="F1212" i="1"/>
  <c r="E1212" i="1"/>
  <c r="D1212" i="1"/>
  <c r="B1213" i="3" s="1"/>
  <c r="F1211" i="1"/>
  <c r="E1211" i="1"/>
  <c r="C1212" i="3" s="1"/>
  <c r="D1211" i="1"/>
  <c r="F1210" i="1"/>
  <c r="E1210" i="1"/>
  <c r="D1210" i="1"/>
  <c r="F1209" i="1"/>
  <c r="E1209" i="1"/>
  <c r="D1209" i="1"/>
  <c r="B1210" i="3" s="1"/>
  <c r="F1208" i="1"/>
  <c r="E1208" i="1"/>
  <c r="D1208" i="1"/>
  <c r="B1209" i="3" s="1"/>
  <c r="F1207" i="1"/>
  <c r="E1207" i="1"/>
  <c r="C1208" i="3" s="1"/>
  <c r="D1207" i="1"/>
  <c r="F1206" i="1"/>
  <c r="E1206" i="1"/>
  <c r="D1206" i="1"/>
  <c r="F1205" i="1"/>
  <c r="E1205" i="1"/>
  <c r="D1205" i="1"/>
  <c r="F1204" i="1"/>
  <c r="E1204" i="1"/>
  <c r="D1204" i="1"/>
  <c r="B1205" i="3" s="1"/>
  <c r="F1203" i="1"/>
  <c r="E1203" i="1"/>
  <c r="C1204" i="3" s="1"/>
  <c r="D1203" i="1"/>
  <c r="F1202" i="1"/>
  <c r="E1202" i="1"/>
  <c r="D1202" i="1"/>
  <c r="F1201" i="1"/>
  <c r="E1201" i="1"/>
  <c r="D1201" i="1"/>
  <c r="F1200" i="1"/>
  <c r="E1200" i="1"/>
  <c r="D1200" i="1"/>
  <c r="B1201" i="3" s="1"/>
  <c r="F1199" i="1"/>
  <c r="E1199" i="1"/>
  <c r="C1200" i="3" s="1"/>
  <c r="D1199" i="1"/>
  <c r="F1198" i="1"/>
  <c r="E1198" i="1"/>
  <c r="D1198" i="1"/>
  <c r="F1197" i="1"/>
  <c r="E1197" i="1"/>
  <c r="D1197" i="1"/>
  <c r="F1196" i="1"/>
  <c r="E1196" i="1"/>
  <c r="D1196" i="1"/>
  <c r="B1197" i="3" s="1"/>
  <c r="F1195" i="1"/>
  <c r="E1195" i="1"/>
  <c r="C1196" i="3" s="1"/>
  <c r="D1195" i="1"/>
  <c r="F1194" i="1"/>
  <c r="E1194" i="1"/>
  <c r="D1194" i="1"/>
  <c r="F1193" i="1"/>
  <c r="E1193" i="1"/>
  <c r="D1193" i="1"/>
  <c r="F1192" i="1"/>
  <c r="E1192" i="1"/>
  <c r="D1192" i="1"/>
  <c r="B1193" i="3" s="1"/>
  <c r="F1191" i="1"/>
  <c r="E1191" i="1"/>
  <c r="C1192" i="3" s="1"/>
  <c r="D1191" i="1"/>
  <c r="F1190" i="1"/>
  <c r="E1190" i="1"/>
  <c r="D1190" i="1"/>
  <c r="F1189" i="1"/>
  <c r="E1189" i="1"/>
  <c r="D1189" i="1"/>
  <c r="F1188" i="1"/>
  <c r="E1188" i="1"/>
  <c r="D1188" i="1"/>
  <c r="B1189" i="3" s="1"/>
  <c r="F1187" i="1"/>
  <c r="E1187" i="1"/>
  <c r="C1188" i="3" s="1"/>
  <c r="D1187" i="1"/>
  <c r="F1186" i="1"/>
  <c r="E1186" i="1"/>
  <c r="D1186" i="1"/>
  <c r="F1185" i="1"/>
  <c r="E1185" i="1"/>
  <c r="D1185" i="1"/>
  <c r="F1184" i="1"/>
  <c r="E1184" i="1"/>
  <c r="D1184" i="1"/>
  <c r="B1185" i="3" s="1"/>
  <c r="F1183" i="1"/>
  <c r="E1183" i="1"/>
  <c r="C1184" i="3" s="1"/>
  <c r="D1183" i="1"/>
  <c r="F1182" i="1"/>
  <c r="E1182" i="1"/>
  <c r="D1182" i="1"/>
  <c r="F1181" i="1"/>
  <c r="E1181" i="1"/>
  <c r="D1181" i="1"/>
  <c r="F1180" i="1"/>
  <c r="E1180" i="1"/>
  <c r="D1180" i="1"/>
  <c r="B1181" i="3" s="1"/>
  <c r="F1179" i="1"/>
  <c r="E1179" i="1"/>
  <c r="C1180" i="3" s="1"/>
  <c r="D1179" i="1"/>
  <c r="F1178" i="1"/>
  <c r="E1178" i="1"/>
  <c r="D1178" i="1"/>
  <c r="F1177" i="1"/>
  <c r="E1177" i="1"/>
  <c r="D1177" i="1"/>
  <c r="F1176" i="1"/>
  <c r="E1176" i="1"/>
  <c r="D1176" i="1"/>
  <c r="B1177" i="3" s="1"/>
  <c r="F1175" i="1"/>
  <c r="E1175" i="1"/>
  <c r="C1176" i="3" s="1"/>
  <c r="D1175" i="1"/>
  <c r="F1174" i="1"/>
  <c r="E1174" i="1"/>
  <c r="D1174" i="1"/>
  <c r="F1173" i="1"/>
  <c r="E1173" i="1"/>
  <c r="D1173" i="1"/>
  <c r="F1172" i="1"/>
  <c r="E1172" i="1"/>
  <c r="D1172" i="1"/>
  <c r="B1173" i="3" s="1"/>
  <c r="F1171" i="1"/>
  <c r="E1171" i="1"/>
  <c r="C1172" i="3" s="1"/>
  <c r="D1171" i="1"/>
  <c r="F1170" i="1"/>
  <c r="E1170" i="1"/>
  <c r="D1170" i="1"/>
  <c r="F1169" i="1"/>
  <c r="E1169" i="1"/>
  <c r="D1169" i="1"/>
  <c r="F1168" i="1"/>
  <c r="E1168" i="1"/>
  <c r="D1168" i="1"/>
  <c r="B1169" i="3" s="1"/>
  <c r="F1167" i="1"/>
  <c r="E1167" i="1"/>
  <c r="C1168" i="3" s="1"/>
  <c r="D1167" i="1"/>
  <c r="F1166" i="1"/>
  <c r="E1166" i="1"/>
  <c r="D1166" i="1"/>
  <c r="F1165" i="1"/>
  <c r="E1165" i="1"/>
  <c r="D1165" i="1"/>
  <c r="F1164" i="1"/>
  <c r="E1164" i="1"/>
  <c r="D1164" i="1"/>
  <c r="B1165" i="3" s="1"/>
  <c r="F1163" i="1"/>
  <c r="E1163" i="1"/>
  <c r="C1164" i="3" s="1"/>
  <c r="D1163" i="1"/>
  <c r="F1162" i="1"/>
  <c r="E1162" i="1"/>
  <c r="D1162" i="1"/>
  <c r="F1161" i="1"/>
  <c r="E1161" i="1"/>
  <c r="D1161" i="1"/>
  <c r="F1160" i="1"/>
  <c r="E1160" i="1"/>
  <c r="D1160" i="1"/>
  <c r="B1161" i="3" s="1"/>
  <c r="F1159" i="1"/>
  <c r="E1159" i="1"/>
  <c r="C1160" i="3" s="1"/>
  <c r="D1159" i="1"/>
  <c r="F1158" i="1"/>
  <c r="E1158" i="1"/>
  <c r="D1158" i="1"/>
  <c r="F1157" i="1"/>
  <c r="E1157" i="1"/>
  <c r="D1157" i="1"/>
  <c r="F1156" i="1"/>
  <c r="E1156" i="1"/>
  <c r="D1156" i="1"/>
  <c r="B1157" i="3" s="1"/>
  <c r="F1155" i="1"/>
  <c r="E1155" i="1"/>
  <c r="C1156" i="3" s="1"/>
  <c r="D1155" i="1"/>
  <c r="F1154" i="1"/>
  <c r="E1154" i="1"/>
  <c r="D1154" i="1"/>
  <c r="F1153" i="1"/>
  <c r="E1153" i="1"/>
  <c r="D1153" i="1"/>
  <c r="F1152" i="1"/>
  <c r="E1152" i="1"/>
  <c r="D1152" i="1"/>
  <c r="B1153" i="3" s="1"/>
  <c r="F1151" i="1"/>
  <c r="E1151" i="1"/>
  <c r="C1152" i="3" s="1"/>
  <c r="D1151" i="1"/>
  <c r="F1150" i="1"/>
  <c r="E1150" i="1"/>
  <c r="D1150" i="1"/>
  <c r="F1149" i="1"/>
  <c r="E1149" i="1"/>
  <c r="D1149" i="1"/>
  <c r="F1148" i="1"/>
  <c r="E1148" i="1"/>
  <c r="D1148" i="1"/>
  <c r="B1149" i="3" s="1"/>
  <c r="F1147" i="1"/>
  <c r="E1147" i="1"/>
  <c r="C1148" i="3" s="1"/>
  <c r="D1147" i="1"/>
  <c r="F1146" i="1"/>
  <c r="E1146" i="1"/>
  <c r="D1146" i="1"/>
  <c r="F1145" i="1"/>
  <c r="E1145" i="1"/>
  <c r="D1145" i="1"/>
  <c r="F1144" i="1"/>
  <c r="E1144" i="1"/>
  <c r="D1144" i="1"/>
  <c r="B1145" i="3" s="1"/>
  <c r="F1143" i="1"/>
  <c r="E1143" i="1"/>
  <c r="C1144" i="3" s="1"/>
  <c r="D1143" i="1"/>
  <c r="F1142" i="1"/>
  <c r="E1142" i="1"/>
  <c r="D1142" i="1"/>
  <c r="F1141" i="1"/>
  <c r="E1141" i="1"/>
  <c r="D1141" i="1"/>
  <c r="F1140" i="1"/>
  <c r="E1140" i="1"/>
  <c r="D1140" i="1"/>
  <c r="B1141" i="3" s="1"/>
  <c r="F1139" i="1"/>
  <c r="E1139" i="1"/>
  <c r="C1140" i="3" s="1"/>
  <c r="D1139" i="1"/>
  <c r="F1138" i="1"/>
  <c r="E1138" i="1"/>
  <c r="D1138" i="1"/>
  <c r="F1137" i="1"/>
  <c r="E1137" i="1"/>
  <c r="D1137" i="1"/>
  <c r="F1136" i="1"/>
  <c r="E1136" i="1"/>
  <c r="D1136" i="1"/>
  <c r="B1137" i="3" s="1"/>
  <c r="F1135" i="1"/>
  <c r="E1135" i="1"/>
  <c r="C1136" i="3" s="1"/>
  <c r="D1135" i="1"/>
  <c r="F1134" i="1"/>
  <c r="E1134" i="1"/>
  <c r="D1134" i="1"/>
  <c r="F1133" i="1"/>
  <c r="E1133" i="1"/>
  <c r="D1133" i="1"/>
  <c r="F1132" i="1"/>
  <c r="E1132" i="1"/>
  <c r="D1132" i="1"/>
  <c r="B1133" i="3" s="1"/>
  <c r="F1131" i="1"/>
  <c r="E1131" i="1"/>
  <c r="C1132" i="3" s="1"/>
  <c r="D1131" i="1"/>
  <c r="F1130" i="1"/>
  <c r="E1130" i="1"/>
  <c r="D1130" i="1"/>
  <c r="F1129" i="1"/>
  <c r="E1129" i="1"/>
  <c r="D1129" i="1"/>
  <c r="F1128" i="1"/>
  <c r="E1128" i="1"/>
  <c r="D1128" i="1"/>
  <c r="B1129" i="3" s="1"/>
  <c r="F1127" i="1"/>
  <c r="E1127" i="1"/>
  <c r="C1128" i="3" s="1"/>
  <c r="D1127" i="1"/>
  <c r="F1126" i="1"/>
  <c r="E1126" i="1"/>
  <c r="D1126" i="1"/>
  <c r="F1125" i="1"/>
  <c r="E1125" i="1"/>
  <c r="D1125" i="1"/>
  <c r="F1124" i="1"/>
  <c r="E1124" i="1"/>
  <c r="D1124" i="1"/>
  <c r="B1125" i="3" s="1"/>
  <c r="F1123" i="1"/>
  <c r="E1123" i="1"/>
  <c r="C1124" i="3" s="1"/>
  <c r="D1123" i="1"/>
  <c r="F1122" i="1"/>
  <c r="E1122" i="1"/>
  <c r="D1122" i="1"/>
  <c r="F1121" i="1"/>
  <c r="E1121" i="1"/>
  <c r="D1121" i="1"/>
  <c r="F1120" i="1"/>
  <c r="E1120" i="1"/>
  <c r="D1120" i="1"/>
  <c r="B1121" i="3" s="1"/>
  <c r="F1119" i="1"/>
  <c r="E1119" i="1"/>
  <c r="C1120" i="3" s="1"/>
  <c r="D1119" i="1"/>
  <c r="F1118" i="1"/>
  <c r="E1118" i="1"/>
  <c r="D1118" i="1"/>
  <c r="F1117" i="1"/>
  <c r="E1117" i="1"/>
  <c r="D1117" i="1"/>
  <c r="F1116" i="1"/>
  <c r="E1116" i="1"/>
  <c r="D1116" i="1"/>
  <c r="B1117" i="3" s="1"/>
  <c r="F1115" i="1"/>
  <c r="E1115" i="1"/>
  <c r="C1116" i="3" s="1"/>
  <c r="D1115" i="1"/>
  <c r="F1114" i="1"/>
  <c r="E1114" i="1"/>
  <c r="D1114" i="1"/>
  <c r="F1113" i="1"/>
  <c r="E1113" i="1"/>
  <c r="D1113" i="1"/>
  <c r="B1114" i="3" s="1"/>
  <c r="F1112" i="1"/>
  <c r="E1112" i="1"/>
  <c r="D1112" i="1"/>
  <c r="B1113" i="3" s="1"/>
  <c r="F1111" i="1"/>
  <c r="E1111" i="1"/>
  <c r="C1112" i="3" s="1"/>
  <c r="D1111" i="1"/>
  <c r="F1110" i="1"/>
  <c r="E1110" i="1"/>
  <c r="D1110" i="1"/>
  <c r="F1109" i="1"/>
  <c r="E1109" i="1"/>
  <c r="D1109" i="1"/>
  <c r="F1108" i="1"/>
  <c r="E1108" i="1"/>
  <c r="D1108" i="1"/>
  <c r="B1109" i="3" s="1"/>
  <c r="F1107" i="1"/>
  <c r="E1107" i="1"/>
  <c r="C1108" i="3" s="1"/>
  <c r="D1107" i="1"/>
  <c r="F1106" i="1"/>
  <c r="E1106" i="1"/>
  <c r="D1106" i="1"/>
  <c r="F1105" i="1"/>
  <c r="E1105" i="1"/>
  <c r="D1105" i="1"/>
  <c r="F1104" i="1"/>
  <c r="E1104" i="1"/>
  <c r="D1104" i="1"/>
  <c r="B1105" i="3" s="1"/>
  <c r="F1103" i="1"/>
  <c r="E1103" i="1"/>
  <c r="C1104" i="3" s="1"/>
  <c r="D1103" i="1"/>
  <c r="F1102" i="1"/>
  <c r="E1102" i="1"/>
  <c r="D1102" i="1"/>
  <c r="F1101" i="1"/>
  <c r="E1101" i="1"/>
  <c r="D1101" i="1"/>
  <c r="F1100" i="1"/>
  <c r="E1100" i="1"/>
  <c r="D1100" i="1"/>
  <c r="B1101" i="3" s="1"/>
  <c r="F1099" i="1"/>
  <c r="E1099" i="1"/>
  <c r="C1100" i="3" s="1"/>
  <c r="D1099" i="1"/>
  <c r="F1098" i="1"/>
  <c r="E1098" i="1"/>
  <c r="D1098" i="1"/>
  <c r="F1097" i="1"/>
  <c r="E1097" i="1"/>
  <c r="D1097" i="1"/>
  <c r="F1096" i="1"/>
  <c r="E1096" i="1"/>
  <c r="D1096" i="1"/>
  <c r="B1097" i="3" s="1"/>
  <c r="F1095" i="1"/>
  <c r="E1095" i="1"/>
  <c r="C1096" i="3" s="1"/>
  <c r="D1095" i="1"/>
  <c r="F1094" i="1"/>
  <c r="E1094" i="1"/>
  <c r="D1094" i="1"/>
  <c r="F1093" i="1"/>
  <c r="E1093" i="1"/>
  <c r="D1093" i="1"/>
  <c r="F1092" i="1"/>
  <c r="E1092" i="1"/>
  <c r="D1092" i="1"/>
  <c r="B1093" i="3" s="1"/>
  <c r="F1091" i="1"/>
  <c r="E1091" i="1"/>
  <c r="C1092" i="3" s="1"/>
  <c r="D1091" i="1"/>
  <c r="F1090" i="1"/>
  <c r="E1090" i="1"/>
  <c r="D1090" i="1"/>
  <c r="F1089" i="1"/>
  <c r="E1089" i="1"/>
  <c r="D1089" i="1"/>
  <c r="F1088" i="1"/>
  <c r="E1088" i="1"/>
  <c r="D1088" i="1"/>
  <c r="B1089" i="3" s="1"/>
  <c r="F1087" i="1"/>
  <c r="E1087" i="1"/>
  <c r="C1088" i="3" s="1"/>
  <c r="D1087" i="1"/>
  <c r="F1086" i="1"/>
  <c r="E1086" i="1"/>
  <c r="D1086" i="1"/>
  <c r="F1085" i="1"/>
  <c r="E1085" i="1"/>
  <c r="D1085" i="1"/>
  <c r="F1084" i="1"/>
  <c r="E1084" i="1"/>
  <c r="D1084" i="1"/>
  <c r="B1085" i="3" s="1"/>
  <c r="F1083" i="1"/>
  <c r="E1083" i="1"/>
  <c r="C1084" i="3" s="1"/>
  <c r="D1083" i="1"/>
  <c r="F1082" i="1"/>
  <c r="E1082" i="1"/>
  <c r="D1082" i="1"/>
  <c r="F1081" i="1"/>
  <c r="E1081" i="1"/>
  <c r="D1081" i="1"/>
  <c r="F1080" i="1"/>
  <c r="E1080" i="1"/>
  <c r="D1080" i="1"/>
  <c r="B1081" i="3" s="1"/>
  <c r="F1079" i="1"/>
  <c r="E1079" i="1"/>
  <c r="C1080" i="3" s="1"/>
  <c r="D1079" i="1"/>
  <c r="F1078" i="1"/>
  <c r="E1078" i="1"/>
  <c r="D1078" i="1"/>
  <c r="F1077" i="1"/>
  <c r="E1077" i="1"/>
  <c r="D1077" i="1"/>
  <c r="B1078" i="3" s="1"/>
  <c r="F1076" i="1"/>
  <c r="E1076" i="1"/>
  <c r="D1076" i="1"/>
  <c r="B1077" i="3" s="1"/>
  <c r="F1075" i="1"/>
  <c r="E1075" i="1"/>
  <c r="C1076" i="3" s="1"/>
  <c r="D1075" i="1"/>
  <c r="F1074" i="1"/>
  <c r="E1074" i="1"/>
  <c r="D1074" i="1"/>
  <c r="F1073" i="1"/>
  <c r="E1073" i="1"/>
  <c r="D1073" i="1"/>
  <c r="B1074" i="3" s="1"/>
  <c r="F1072" i="1"/>
  <c r="E1072" i="1"/>
  <c r="D1072" i="1"/>
  <c r="F1071" i="1"/>
  <c r="E1071" i="1"/>
  <c r="C1072" i="3" s="1"/>
  <c r="D1071" i="1"/>
  <c r="F1070" i="1"/>
  <c r="E1070" i="1"/>
  <c r="D1070" i="1"/>
  <c r="F1069" i="1"/>
  <c r="E1069" i="1"/>
  <c r="D1069" i="1"/>
  <c r="B1070" i="3" s="1"/>
  <c r="F1068" i="1"/>
  <c r="E1068" i="1"/>
  <c r="D1068" i="1"/>
  <c r="F1067" i="1"/>
  <c r="E1067" i="1"/>
  <c r="C1068" i="3" s="1"/>
  <c r="D1067" i="1"/>
  <c r="F1066" i="1"/>
  <c r="E1066" i="1"/>
  <c r="D1066" i="1"/>
  <c r="F1065" i="1"/>
  <c r="E1065" i="1"/>
  <c r="D1065" i="1"/>
  <c r="B1066" i="3" s="1"/>
  <c r="F1064" i="1"/>
  <c r="E1064" i="1"/>
  <c r="D1064" i="1"/>
  <c r="F1063" i="1"/>
  <c r="E1063" i="1"/>
  <c r="C1064" i="3" s="1"/>
  <c r="D1063" i="1"/>
  <c r="F1062" i="1"/>
  <c r="E1062" i="1"/>
  <c r="D1062" i="1"/>
  <c r="F1061" i="1"/>
  <c r="E1061" i="1"/>
  <c r="D1061" i="1"/>
  <c r="B1062" i="3" s="1"/>
  <c r="F1060" i="1"/>
  <c r="E1060" i="1"/>
  <c r="D1060" i="1"/>
  <c r="F1059" i="1"/>
  <c r="E1059" i="1"/>
  <c r="C1060" i="3" s="1"/>
  <c r="D1059" i="1"/>
  <c r="F1058" i="1"/>
  <c r="E1058" i="1"/>
  <c r="D1058" i="1"/>
  <c r="F1057" i="1"/>
  <c r="E1057" i="1"/>
  <c r="D1057" i="1"/>
  <c r="B1058" i="3" s="1"/>
  <c r="F1056" i="1"/>
  <c r="E1056" i="1"/>
  <c r="D1056" i="1"/>
  <c r="F1055" i="1"/>
  <c r="E1055" i="1"/>
  <c r="C1056" i="3" s="1"/>
  <c r="D1055" i="1"/>
  <c r="F1054" i="1"/>
  <c r="E1054" i="1"/>
  <c r="D1054" i="1"/>
  <c r="F1053" i="1"/>
  <c r="E1053" i="1"/>
  <c r="D1053" i="1"/>
  <c r="B1054" i="3" s="1"/>
  <c r="F1052" i="1"/>
  <c r="E1052" i="1"/>
  <c r="D1052" i="1"/>
  <c r="F1051" i="1"/>
  <c r="E1051" i="1"/>
  <c r="C1052" i="3" s="1"/>
  <c r="D1051" i="1"/>
  <c r="F1050" i="1"/>
  <c r="E1050" i="1"/>
  <c r="D1050" i="1"/>
  <c r="F1049" i="1"/>
  <c r="E1049" i="1"/>
  <c r="D1049" i="1"/>
  <c r="B1050" i="3" s="1"/>
  <c r="F1048" i="1"/>
  <c r="E1048" i="1"/>
  <c r="D1048" i="1"/>
  <c r="F1047" i="1"/>
  <c r="E1047" i="1"/>
  <c r="C1048" i="3" s="1"/>
  <c r="D1047" i="1"/>
  <c r="F1046" i="1"/>
  <c r="E1046" i="1"/>
  <c r="D1046" i="1"/>
  <c r="F1045" i="1"/>
  <c r="E1045" i="1"/>
  <c r="D1045" i="1"/>
  <c r="B1046" i="3" s="1"/>
  <c r="F1044" i="1"/>
  <c r="E1044" i="1"/>
  <c r="D1044" i="1"/>
  <c r="F1043" i="1"/>
  <c r="E1043" i="1"/>
  <c r="C1044" i="3" s="1"/>
  <c r="D1043" i="1"/>
  <c r="F1042" i="1"/>
  <c r="E1042" i="1"/>
  <c r="D1042" i="1"/>
  <c r="F1041" i="1"/>
  <c r="E1041" i="1"/>
  <c r="D1041" i="1"/>
  <c r="B1042" i="3" s="1"/>
  <c r="F1040" i="1"/>
  <c r="E1040" i="1"/>
  <c r="D1040" i="1"/>
  <c r="F1039" i="1"/>
  <c r="E1039" i="1"/>
  <c r="C1040" i="3" s="1"/>
  <c r="D1039" i="1"/>
  <c r="F1038" i="1"/>
  <c r="E1038" i="1"/>
  <c r="D1038" i="1"/>
  <c r="F1037" i="1"/>
  <c r="E1037" i="1"/>
  <c r="D1037" i="1"/>
  <c r="B1038" i="3" s="1"/>
  <c r="F1036" i="1"/>
  <c r="E1036" i="1"/>
  <c r="D1036" i="1"/>
  <c r="F1035" i="1"/>
  <c r="E1035" i="1"/>
  <c r="C1036" i="3" s="1"/>
  <c r="D1035" i="1"/>
  <c r="F1034" i="1"/>
  <c r="E1034" i="1"/>
  <c r="D1034" i="1"/>
  <c r="F1033" i="1"/>
  <c r="E1033" i="1"/>
  <c r="D1033" i="1"/>
  <c r="B1034" i="3" s="1"/>
  <c r="F1032" i="1"/>
  <c r="E1032" i="1"/>
  <c r="D1032" i="1"/>
  <c r="F1031" i="1"/>
  <c r="E1031" i="1"/>
  <c r="C1032" i="3" s="1"/>
  <c r="D1031" i="1"/>
  <c r="F1030" i="1"/>
  <c r="E1030" i="1"/>
  <c r="D1030" i="1"/>
  <c r="F1029" i="1"/>
  <c r="E1029" i="1"/>
  <c r="D1029" i="1"/>
  <c r="B1030" i="3" s="1"/>
  <c r="F1028" i="1"/>
  <c r="E1028" i="1"/>
  <c r="D1028" i="1"/>
  <c r="F1027" i="1"/>
  <c r="E1027" i="1"/>
  <c r="C1028" i="3" s="1"/>
  <c r="D1027" i="1"/>
  <c r="F1026" i="1"/>
  <c r="E1026" i="1"/>
  <c r="D1026" i="1"/>
  <c r="F1025" i="1"/>
  <c r="E1025" i="1"/>
  <c r="D1025" i="1"/>
  <c r="B1026" i="3" s="1"/>
  <c r="F1024" i="1"/>
  <c r="E1024" i="1"/>
  <c r="D1024" i="1"/>
  <c r="F1023" i="1"/>
  <c r="E1023" i="1"/>
  <c r="C1024" i="3" s="1"/>
  <c r="D1023" i="1"/>
  <c r="F1022" i="1"/>
  <c r="E1022" i="1"/>
  <c r="D1022" i="1"/>
  <c r="F1021" i="1"/>
  <c r="E1021" i="1"/>
  <c r="D1021" i="1"/>
  <c r="B1022" i="3" s="1"/>
  <c r="F1020" i="1"/>
  <c r="E1020" i="1"/>
  <c r="D1020" i="1"/>
  <c r="F1019" i="1"/>
  <c r="E1019" i="1"/>
  <c r="C1020" i="3" s="1"/>
  <c r="D1019" i="1"/>
  <c r="F1018" i="1"/>
  <c r="E1018" i="1"/>
  <c r="D1018" i="1"/>
  <c r="F1017" i="1"/>
  <c r="E1017" i="1"/>
  <c r="D1017" i="1"/>
  <c r="B1018" i="3" s="1"/>
  <c r="F1016" i="1"/>
  <c r="E1016" i="1"/>
  <c r="D1016" i="1"/>
  <c r="F1015" i="1"/>
  <c r="E1015" i="1"/>
  <c r="C1016" i="3" s="1"/>
  <c r="D1015" i="1"/>
  <c r="F1014" i="1"/>
  <c r="E1014" i="1"/>
  <c r="D1014" i="1"/>
  <c r="F1013" i="1"/>
  <c r="E1013" i="1"/>
  <c r="D1013" i="1"/>
  <c r="B1014" i="3" s="1"/>
  <c r="F1012" i="1"/>
  <c r="E1012" i="1"/>
  <c r="D1012" i="1"/>
  <c r="F1011" i="1"/>
  <c r="E1011" i="1"/>
  <c r="C1012" i="3" s="1"/>
  <c r="D1011" i="1"/>
  <c r="F1010" i="1"/>
  <c r="E1010" i="1"/>
  <c r="D1010" i="1"/>
  <c r="F1009" i="1"/>
  <c r="E1009" i="1"/>
  <c r="D1009" i="1"/>
  <c r="B1010" i="3" s="1"/>
  <c r="F1008" i="1"/>
  <c r="E1008" i="1"/>
  <c r="D1008" i="1"/>
  <c r="F1007" i="1"/>
  <c r="E1007" i="1"/>
  <c r="C1008" i="3" s="1"/>
  <c r="D1007" i="1"/>
  <c r="F1006" i="1"/>
  <c r="E1006" i="1"/>
  <c r="D1006" i="1"/>
  <c r="F1005" i="1"/>
  <c r="E1005" i="1"/>
  <c r="D1005" i="1"/>
  <c r="B1006" i="3" s="1"/>
  <c r="F1004" i="1"/>
  <c r="E1004" i="1"/>
  <c r="D1004" i="1"/>
  <c r="F1003" i="1"/>
  <c r="E1003" i="1"/>
  <c r="C1004" i="3" s="1"/>
  <c r="D1003" i="1"/>
  <c r="F1002" i="1"/>
  <c r="E1002" i="1"/>
  <c r="D1002" i="1"/>
  <c r="F1001" i="1"/>
  <c r="E1001" i="1"/>
  <c r="D1001" i="1"/>
  <c r="B1002" i="3" s="1"/>
  <c r="F1000" i="1"/>
  <c r="E1000" i="1"/>
  <c r="D1000" i="1"/>
  <c r="F999" i="1"/>
  <c r="E999" i="1"/>
  <c r="C1000" i="3" s="1"/>
  <c r="D999" i="1"/>
  <c r="F998" i="1"/>
  <c r="E998" i="1"/>
  <c r="D998" i="1"/>
  <c r="F997" i="1"/>
  <c r="E997" i="1"/>
  <c r="D997" i="1"/>
  <c r="B998" i="3" s="1"/>
  <c r="F996" i="1"/>
  <c r="E996" i="1"/>
  <c r="D996" i="1"/>
  <c r="F995" i="1"/>
  <c r="E995" i="1"/>
  <c r="C996" i="3" s="1"/>
  <c r="D995" i="1"/>
  <c r="F994" i="1"/>
  <c r="E994" i="1"/>
  <c r="D994" i="1"/>
  <c r="F993" i="1"/>
  <c r="E993" i="1"/>
  <c r="D993" i="1"/>
  <c r="B994" i="3" s="1"/>
  <c r="F992" i="1"/>
  <c r="E992" i="1"/>
  <c r="D992" i="1"/>
  <c r="F991" i="1"/>
  <c r="E991" i="1"/>
  <c r="C992" i="3" s="1"/>
  <c r="D991" i="1"/>
  <c r="F990" i="1"/>
  <c r="E990" i="1"/>
  <c r="D990" i="1"/>
  <c r="F989" i="1"/>
  <c r="E989" i="1"/>
  <c r="D989" i="1"/>
  <c r="B990" i="3" s="1"/>
  <c r="F988" i="1"/>
  <c r="E988" i="1"/>
  <c r="D988" i="1"/>
  <c r="F987" i="1"/>
  <c r="E987" i="1"/>
  <c r="C988" i="3" s="1"/>
  <c r="D987" i="1"/>
  <c r="F986" i="1"/>
  <c r="E986" i="1"/>
  <c r="D986" i="1"/>
  <c r="F985" i="1"/>
  <c r="E985" i="1"/>
  <c r="D985" i="1"/>
  <c r="B986" i="3" s="1"/>
  <c r="F984" i="1"/>
  <c r="E984" i="1"/>
  <c r="D984" i="1"/>
  <c r="F983" i="1"/>
  <c r="E983" i="1"/>
  <c r="C984" i="3" s="1"/>
  <c r="D983" i="1"/>
  <c r="F982" i="1"/>
  <c r="E982" i="1"/>
  <c r="D982" i="1"/>
  <c r="F981" i="1"/>
  <c r="E981" i="1"/>
  <c r="D981" i="1"/>
  <c r="B982" i="3" s="1"/>
  <c r="F980" i="1"/>
  <c r="E980" i="1"/>
  <c r="D980" i="1"/>
  <c r="F979" i="1"/>
  <c r="E979" i="1"/>
  <c r="C980" i="3" s="1"/>
  <c r="D979" i="1"/>
  <c r="F978" i="1"/>
  <c r="E978" i="1"/>
  <c r="D978" i="1"/>
  <c r="F977" i="1"/>
  <c r="E977" i="1"/>
  <c r="D977" i="1"/>
  <c r="B978" i="3" s="1"/>
  <c r="F976" i="1"/>
  <c r="E976" i="1"/>
  <c r="C977" i="3" s="1"/>
  <c r="D976" i="1"/>
  <c r="F975" i="1"/>
  <c r="E975" i="1"/>
  <c r="C976" i="3" s="1"/>
  <c r="D975" i="1"/>
  <c r="F974" i="1"/>
  <c r="E974" i="1"/>
  <c r="D974" i="1"/>
  <c r="F973" i="1"/>
  <c r="E973" i="1"/>
  <c r="D973" i="1"/>
  <c r="B974" i="3" s="1"/>
  <c r="F972" i="1"/>
  <c r="E972" i="1"/>
  <c r="D972" i="1"/>
  <c r="F971" i="1"/>
  <c r="E971" i="1"/>
  <c r="C972" i="3" s="1"/>
  <c r="D971" i="1"/>
  <c r="F970" i="1"/>
  <c r="E970" i="1"/>
  <c r="D970" i="1"/>
  <c r="F969" i="1"/>
  <c r="E969" i="1"/>
  <c r="D969" i="1"/>
  <c r="B970" i="3" s="1"/>
  <c r="F968" i="1"/>
  <c r="E968" i="1"/>
  <c r="D968" i="1"/>
  <c r="F967" i="1"/>
  <c r="E967" i="1"/>
  <c r="C968" i="3" s="1"/>
  <c r="D967" i="1"/>
  <c r="F966" i="1"/>
  <c r="E966" i="1"/>
  <c r="D966" i="1"/>
  <c r="F965" i="1"/>
  <c r="E965" i="1"/>
  <c r="D965" i="1"/>
  <c r="B966" i="3" s="1"/>
  <c r="F964" i="1"/>
  <c r="E964" i="1"/>
  <c r="D964" i="1"/>
  <c r="F963" i="1"/>
  <c r="E963" i="1"/>
  <c r="C964" i="3" s="1"/>
  <c r="D963" i="1"/>
  <c r="F962" i="1"/>
  <c r="E962" i="1"/>
  <c r="D962" i="1"/>
  <c r="F961" i="1"/>
  <c r="E961" i="1"/>
  <c r="D961" i="1"/>
  <c r="B962" i="3" s="1"/>
  <c r="F960" i="1"/>
  <c r="E960" i="1"/>
  <c r="D960" i="1"/>
  <c r="F959" i="1"/>
  <c r="E959" i="1"/>
  <c r="C960" i="3" s="1"/>
  <c r="D959" i="1"/>
  <c r="F958" i="1"/>
  <c r="E958" i="1"/>
  <c r="D958" i="1"/>
  <c r="F957" i="1"/>
  <c r="E957" i="1"/>
  <c r="D957" i="1"/>
  <c r="B958" i="3" s="1"/>
  <c r="F956" i="1"/>
  <c r="E956" i="1"/>
  <c r="D956" i="1"/>
  <c r="F955" i="1"/>
  <c r="E955" i="1"/>
  <c r="C956" i="3" s="1"/>
  <c r="D955" i="1"/>
  <c r="F954" i="1"/>
  <c r="E954" i="1"/>
  <c r="D954" i="1"/>
  <c r="F953" i="1"/>
  <c r="E953" i="1"/>
  <c r="D953" i="1"/>
  <c r="B954" i="3" s="1"/>
  <c r="F952" i="1"/>
  <c r="E952" i="1"/>
  <c r="C953" i="3" s="1"/>
  <c r="D952" i="1"/>
  <c r="F951" i="1"/>
  <c r="E951" i="1"/>
  <c r="C952" i="3" s="1"/>
  <c r="D951" i="1"/>
  <c r="F950" i="1"/>
  <c r="E950" i="1"/>
  <c r="D950" i="1"/>
  <c r="F949" i="1"/>
  <c r="E949" i="1"/>
  <c r="D949" i="1"/>
  <c r="B950" i="3" s="1"/>
  <c r="F948" i="1"/>
  <c r="E948" i="1"/>
  <c r="D948" i="1"/>
  <c r="F947" i="1"/>
  <c r="E947" i="1"/>
  <c r="C948" i="3" s="1"/>
  <c r="D947" i="1"/>
  <c r="F946" i="1"/>
  <c r="E946" i="1"/>
  <c r="D946" i="1"/>
  <c r="F945" i="1"/>
  <c r="E945" i="1"/>
  <c r="D945" i="1"/>
  <c r="B946" i="3" s="1"/>
  <c r="F944" i="1"/>
  <c r="E944" i="1"/>
  <c r="D944" i="1"/>
  <c r="F943" i="1"/>
  <c r="E943" i="1"/>
  <c r="C944" i="3" s="1"/>
  <c r="D943" i="1"/>
  <c r="F942" i="1"/>
  <c r="E942" i="1"/>
  <c r="D942" i="1"/>
  <c r="F941" i="1"/>
  <c r="E941" i="1"/>
  <c r="D941" i="1"/>
  <c r="B942" i="3" s="1"/>
  <c r="F940" i="1"/>
  <c r="E940" i="1"/>
  <c r="D940" i="1"/>
  <c r="F939" i="1"/>
  <c r="E939" i="1"/>
  <c r="C940" i="3" s="1"/>
  <c r="D939" i="1"/>
  <c r="F938" i="1"/>
  <c r="E938" i="1"/>
  <c r="D938" i="1"/>
  <c r="F937" i="1"/>
  <c r="E937" i="1"/>
  <c r="D937" i="1"/>
  <c r="B938" i="3" s="1"/>
  <c r="F936" i="1"/>
  <c r="E936" i="1"/>
  <c r="D936" i="1"/>
  <c r="F935" i="1"/>
  <c r="E935" i="1"/>
  <c r="C936" i="3" s="1"/>
  <c r="D935" i="1"/>
  <c r="F934" i="1"/>
  <c r="E934" i="1"/>
  <c r="D934" i="1"/>
  <c r="F933" i="1"/>
  <c r="E933" i="1"/>
  <c r="D933" i="1"/>
  <c r="B934" i="3" s="1"/>
  <c r="F932" i="1"/>
  <c r="E932" i="1"/>
  <c r="D932" i="1"/>
  <c r="F931" i="1"/>
  <c r="E931" i="1"/>
  <c r="C932" i="3" s="1"/>
  <c r="D931" i="1"/>
  <c r="F930" i="1"/>
  <c r="E930" i="1"/>
  <c r="D930" i="1"/>
  <c r="F929" i="1"/>
  <c r="E929" i="1"/>
  <c r="D929" i="1"/>
  <c r="F928" i="1"/>
  <c r="E928" i="1"/>
  <c r="D928" i="1"/>
  <c r="F927" i="1"/>
  <c r="E927" i="1"/>
  <c r="C928" i="3" s="1"/>
  <c r="D927" i="1"/>
  <c r="F926" i="1"/>
  <c r="E926" i="1"/>
  <c r="D926" i="1"/>
  <c r="F925" i="1"/>
  <c r="E925" i="1"/>
  <c r="D925" i="1"/>
  <c r="F924" i="1"/>
  <c r="E924" i="1"/>
  <c r="D924" i="1"/>
  <c r="F923" i="1"/>
  <c r="E923" i="1"/>
  <c r="C924" i="3" s="1"/>
  <c r="D923" i="1"/>
  <c r="F922" i="1"/>
  <c r="E922" i="1"/>
  <c r="D922" i="1"/>
  <c r="F921" i="1"/>
  <c r="E921" i="1"/>
  <c r="D921" i="1"/>
  <c r="F920" i="1"/>
  <c r="E920" i="1"/>
  <c r="D920" i="1"/>
  <c r="F919" i="1"/>
  <c r="E919" i="1"/>
  <c r="C920" i="3" s="1"/>
  <c r="D919" i="1"/>
  <c r="F918" i="1"/>
  <c r="E918" i="1"/>
  <c r="D918" i="1"/>
  <c r="F917" i="1"/>
  <c r="E917" i="1"/>
  <c r="D917" i="1"/>
  <c r="F916" i="1"/>
  <c r="E916" i="1"/>
  <c r="D916" i="1"/>
  <c r="F915" i="1"/>
  <c r="E915" i="1"/>
  <c r="C916" i="3" s="1"/>
  <c r="D915" i="1"/>
  <c r="F914" i="1"/>
  <c r="E914" i="1"/>
  <c r="D914" i="1"/>
  <c r="F913" i="1"/>
  <c r="E913" i="1"/>
  <c r="D913" i="1"/>
  <c r="F912" i="1"/>
  <c r="E912" i="1"/>
  <c r="C913" i="3" s="1"/>
  <c r="D912" i="1"/>
  <c r="F911" i="1"/>
  <c r="E911" i="1"/>
  <c r="C912" i="3" s="1"/>
  <c r="D911" i="1"/>
  <c r="F910" i="1"/>
  <c r="E910" i="1"/>
  <c r="D910" i="1"/>
  <c r="F909" i="1"/>
  <c r="E909" i="1"/>
  <c r="D909" i="1"/>
  <c r="F908" i="1"/>
  <c r="E908" i="1"/>
  <c r="D908" i="1"/>
  <c r="F907" i="1"/>
  <c r="E907" i="1"/>
  <c r="D907" i="1"/>
  <c r="F906" i="1"/>
  <c r="E906" i="1"/>
  <c r="D906" i="1"/>
  <c r="F905" i="1"/>
  <c r="E905" i="1"/>
  <c r="D905" i="1"/>
  <c r="F904" i="1"/>
  <c r="E904" i="1"/>
  <c r="D904" i="1"/>
  <c r="F903" i="1"/>
  <c r="E903" i="1"/>
  <c r="C904" i="3" s="1"/>
  <c r="D903" i="1"/>
  <c r="F902" i="1"/>
  <c r="E902" i="1"/>
  <c r="D902" i="1"/>
  <c r="F901" i="1"/>
  <c r="E901" i="1"/>
  <c r="D901" i="1"/>
  <c r="B902" i="3" s="1"/>
  <c r="F900" i="1"/>
  <c r="E900" i="1"/>
  <c r="D900" i="1"/>
  <c r="F899" i="1"/>
  <c r="E899" i="1"/>
  <c r="C900" i="3" s="1"/>
  <c r="D899" i="1"/>
  <c r="F898" i="1"/>
  <c r="E898" i="1"/>
  <c r="D898" i="1"/>
  <c r="F897" i="1"/>
  <c r="E897" i="1"/>
  <c r="D897" i="1"/>
  <c r="B898" i="3" s="1"/>
  <c r="F896" i="1"/>
  <c r="E896" i="1"/>
  <c r="D896" i="1"/>
  <c r="F895" i="1"/>
  <c r="E895" i="1"/>
  <c r="C896" i="3" s="1"/>
  <c r="D895" i="1"/>
  <c r="F894" i="1"/>
  <c r="E894" i="1"/>
  <c r="D894" i="1"/>
  <c r="F893" i="1"/>
  <c r="E893" i="1"/>
  <c r="D893" i="1"/>
  <c r="B894" i="3" s="1"/>
  <c r="F892" i="1"/>
  <c r="E892" i="1"/>
  <c r="D892" i="1"/>
  <c r="F891" i="1"/>
  <c r="E891" i="1"/>
  <c r="C892" i="3" s="1"/>
  <c r="D891" i="1"/>
  <c r="F890" i="1"/>
  <c r="E890" i="1"/>
  <c r="D890" i="1"/>
  <c r="F889" i="1"/>
  <c r="E889" i="1"/>
  <c r="D889" i="1"/>
  <c r="B890" i="3" s="1"/>
  <c r="F888" i="1"/>
  <c r="E888" i="1"/>
  <c r="D888" i="1"/>
  <c r="F887" i="1"/>
  <c r="E887" i="1"/>
  <c r="C888" i="3" s="1"/>
  <c r="D887" i="1"/>
  <c r="F886" i="1"/>
  <c r="E886" i="1"/>
  <c r="D886" i="1"/>
  <c r="F885" i="1"/>
  <c r="E885" i="1"/>
  <c r="D885" i="1"/>
  <c r="B886" i="3" s="1"/>
  <c r="F884" i="1"/>
  <c r="E884" i="1"/>
  <c r="D884" i="1"/>
  <c r="F883" i="1"/>
  <c r="E883" i="1"/>
  <c r="C884" i="3" s="1"/>
  <c r="D883" i="1"/>
  <c r="F882" i="1"/>
  <c r="E882" i="1"/>
  <c r="D882" i="1"/>
  <c r="F881" i="1"/>
  <c r="E881" i="1"/>
  <c r="D881" i="1"/>
  <c r="B882" i="3" s="1"/>
  <c r="F880" i="1"/>
  <c r="E880" i="1"/>
  <c r="D880" i="1"/>
  <c r="F879" i="1"/>
  <c r="E879" i="1"/>
  <c r="C880" i="3" s="1"/>
  <c r="D879" i="1"/>
  <c r="F878" i="1"/>
  <c r="E878" i="1"/>
  <c r="D878" i="1"/>
  <c r="F877" i="1"/>
  <c r="E877" i="1"/>
  <c r="D877" i="1"/>
  <c r="B878" i="3" s="1"/>
  <c r="F876" i="1"/>
  <c r="E876" i="1"/>
  <c r="D876" i="1"/>
  <c r="F875" i="1"/>
  <c r="E875" i="1"/>
  <c r="C876" i="3" s="1"/>
  <c r="D875" i="1"/>
  <c r="F874" i="1"/>
  <c r="E874" i="1"/>
  <c r="D874" i="1"/>
  <c r="F873" i="1"/>
  <c r="E873" i="1"/>
  <c r="D873" i="1"/>
  <c r="B874" i="3" s="1"/>
  <c r="F872" i="1"/>
  <c r="E872" i="1"/>
  <c r="D872" i="1"/>
  <c r="F871" i="1"/>
  <c r="E871" i="1"/>
  <c r="C872" i="3" s="1"/>
  <c r="D871" i="1"/>
  <c r="F870" i="1"/>
  <c r="E870" i="1"/>
  <c r="D870" i="1"/>
  <c r="F869" i="1"/>
  <c r="E869" i="1"/>
  <c r="D869" i="1"/>
  <c r="B870" i="3" s="1"/>
  <c r="F868" i="1"/>
  <c r="E868" i="1"/>
  <c r="D868" i="1"/>
  <c r="F867" i="1"/>
  <c r="E867" i="1"/>
  <c r="C868" i="3" s="1"/>
  <c r="D867" i="1"/>
  <c r="F866" i="1"/>
  <c r="E866" i="1"/>
  <c r="D866" i="1"/>
  <c r="F865" i="1"/>
  <c r="E865" i="1"/>
  <c r="D865" i="1"/>
  <c r="B866" i="3" s="1"/>
  <c r="F864" i="1"/>
  <c r="E864" i="1"/>
  <c r="C865" i="3" s="1"/>
  <c r="D864" i="1"/>
  <c r="F863" i="1"/>
  <c r="E863" i="1"/>
  <c r="C864" i="3" s="1"/>
  <c r="D863" i="1"/>
  <c r="B864" i="3" s="1"/>
  <c r="F862" i="1"/>
  <c r="E862" i="1"/>
  <c r="D862" i="1"/>
  <c r="F861" i="1"/>
  <c r="E861" i="1"/>
  <c r="D861" i="1"/>
  <c r="B862" i="3" s="1"/>
  <c r="F860" i="1"/>
  <c r="E860" i="1"/>
  <c r="C861" i="3" s="1"/>
  <c r="D860" i="1"/>
  <c r="F859" i="1"/>
  <c r="E859" i="1"/>
  <c r="D859" i="1"/>
  <c r="B860" i="3" s="1"/>
  <c r="F858" i="1"/>
  <c r="E858" i="1"/>
  <c r="D858" i="1"/>
  <c r="F857" i="1"/>
  <c r="E857" i="1"/>
  <c r="D857" i="1"/>
  <c r="F856" i="1"/>
  <c r="E856" i="1"/>
  <c r="C857" i="3" s="1"/>
  <c r="D856" i="1"/>
  <c r="F855" i="1"/>
  <c r="E855" i="1"/>
  <c r="D855" i="1"/>
  <c r="B856" i="3" s="1"/>
  <c r="F854" i="1"/>
  <c r="E854" i="1"/>
  <c r="D854" i="1"/>
  <c r="F853" i="1"/>
  <c r="E853" i="1"/>
  <c r="D853" i="1"/>
  <c r="F852" i="1"/>
  <c r="E852" i="1"/>
  <c r="C853" i="3" s="1"/>
  <c r="D852" i="1"/>
  <c r="F851" i="1"/>
  <c r="E851" i="1"/>
  <c r="D851" i="1"/>
  <c r="B852" i="3" s="1"/>
  <c r="F850" i="1"/>
  <c r="E850" i="1"/>
  <c r="D850" i="1"/>
  <c r="F849" i="1"/>
  <c r="E849" i="1"/>
  <c r="D849" i="1"/>
  <c r="F848" i="1"/>
  <c r="E848" i="1"/>
  <c r="C849" i="3" s="1"/>
  <c r="D848" i="1"/>
  <c r="F847" i="1"/>
  <c r="E847" i="1"/>
  <c r="D847" i="1"/>
  <c r="B848" i="3" s="1"/>
  <c r="F846" i="1"/>
  <c r="E846" i="1"/>
  <c r="D846" i="1"/>
  <c r="F845" i="1"/>
  <c r="E845" i="1"/>
  <c r="D845" i="1"/>
  <c r="F844" i="1"/>
  <c r="E844" i="1"/>
  <c r="C845" i="3" s="1"/>
  <c r="D844" i="1"/>
  <c r="F843" i="1"/>
  <c r="E843" i="1"/>
  <c r="D843" i="1"/>
  <c r="B844" i="3" s="1"/>
  <c r="F842" i="1"/>
  <c r="E842" i="1"/>
  <c r="D842" i="1"/>
  <c r="F841" i="1"/>
  <c r="E841" i="1"/>
  <c r="D841" i="1"/>
  <c r="F840" i="1"/>
  <c r="E840" i="1"/>
  <c r="C841" i="3" s="1"/>
  <c r="D840" i="1"/>
  <c r="F839" i="1"/>
  <c r="E839" i="1"/>
  <c r="D839" i="1"/>
  <c r="B840" i="3" s="1"/>
  <c r="F838" i="1"/>
  <c r="E838" i="1"/>
  <c r="D838" i="1"/>
  <c r="F837" i="1"/>
  <c r="E837" i="1"/>
  <c r="D837" i="1"/>
  <c r="F836" i="1"/>
  <c r="E836" i="1"/>
  <c r="C837" i="3" s="1"/>
  <c r="D836" i="1"/>
  <c r="F835" i="1"/>
  <c r="E835" i="1"/>
  <c r="D835" i="1"/>
  <c r="B836" i="3" s="1"/>
  <c r="F834" i="1"/>
  <c r="E834" i="1"/>
  <c r="D834" i="1"/>
  <c r="F833" i="1"/>
  <c r="E833" i="1"/>
  <c r="D833" i="1"/>
  <c r="F832" i="1"/>
  <c r="E832" i="1"/>
  <c r="C833" i="3" s="1"/>
  <c r="D832" i="1"/>
  <c r="F831" i="1"/>
  <c r="E831" i="1"/>
  <c r="D831" i="1"/>
  <c r="B832" i="3" s="1"/>
  <c r="F830" i="1"/>
  <c r="E830" i="1"/>
  <c r="D830" i="1"/>
  <c r="F829" i="1"/>
  <c r="E829" i="1"/>
  <c r="D829" i="1"/>
  <c r="F828" i="1"/>
  <c r="E828" i="1"/>
  <c r="C829" i="3" s="1"/>
  <c r="D828" i="1"/>
  <c r="F827" i="1"/>
  <c r="E827" i="1"/>
  <c r="D827" i="1"/>
  <c r="B828" i="3" s="1"/>
  <c r="F826" i="1"/>
  <c r="E826" i="1"/>
  <c r="D826" i="1"/>
  <c r="F825" i="1"/>
  <c r="E825" i="1"/>
  <c r="D825" i="1"/>
  <c r="F824" i="1"/>
  <c r="E824" i="1"/>
  <c r="C825" i="3" s="1"/>
  <c r="D824" i="1"/>
  <c r="F823" i="1"/>
  <c r="E823" i="1"/>
  <c r="D823" i="1"/>
  <c r="B824" i="3" s="1"/>
  <c r="F822" i="1"/>
  <c r="E822" i="1"/>
  <c r="D822" i="1"/>
  <c r="F821" i="1"/>
  <c r="E821" i="1"/>
  <c r="D821" i="1"/>
  <c r="F820" i="1"/>
  <c r="E820" i="1"/>
  <c r="C821" i="3" s="1"/>
  <c r="D820" i="1"/>
  <c r="F819" i="1"/>
  <c r="E819" i="1"/>
  <c r="D819" i="1"/>
  <c r="B820" i="3" s="1"/>
  <c r="F818" i="1"/>
  <c r="E818" i="1"/>
  <c r="D818" i="1"/>
  <c r="F817" i="1"/>
  <c r="E817" i="1"/>
  <c r="D817" i="1"/>
  <c r="F816" i="1"/>
  <c r="E816" i="1"/>
  <c r="C817" i="3" s="1"/>
  <c r="D816" i="1"/>
  <c r="F815" i="1"/>
  <c r="E815" i="1"/>
  <c r="D815" i="1"/>
  <c r="B816" i="3" s="1"/>
  <c r="F814" i="1"/>
  <c r="E814" i="1"/>
  <c r="D814" i="1"/>
  <c r="F813" i="1"/>
  <c r="E813" i="1"/>
  <c r="D813" i="1"/>
  <c r="F812" i="1"/>
  <c r="E812" i="1"/>
  <c r="C813" i="3" s="1"/>
  <c r="D812" i="1"/>
  <c r="F811" i="1"/>
  <c r="E811" i="1"/>
  <c r="D811" i="1"/>
  <c r="B812" i="3" s="1"/>
  <c r="F810" i="1"/>
  <c r="E810" i="1"/>
  <c r="D810" i="1"/>
  <c r="F809" i="1"/>
  <c r="E809" i="1"/>
  <c r="D809" i="1"/>
  <c r="F808" i="1"/>
  <c r="E808" i="1"/>
  <c r="C809" i="3" s="1"/>
  <c r="D808" i="1"/>
  <c r="F807" i="1"/>
  <c r="E807" i="1"/>
  <c r="D807" i="1"/>
  <c r="B808" i="3" s="1"/>
  <c r="F806" i="1"/>
  <c r="E806" i="1"/>
  <c r="D806" i="1"/>
  <c r="F805" i="1"/>
  <c r="E805" i="1"/>
  <c r="D805" i="1"/>
  <c r="F804" i="1"/>
  <c r="E804" i="1"/>
  <c r="C805" i="3" s="1"/>
  <c r="D804" i="1"/>
  <c r="F803" i="1"/>
  <c r="E803" i="1"/>
  <c r="D803" i="1"/>
  <c r="B804" i="3" s="1"/>
  <c r="F802" i="1"/>
  <c r="E802" i="1"/>
  <c r="D802" i="1"/>
  <c r="F801" i="1"/>
  <c r="E801" i="1"/>
  <c r="D801" i="1"/>
  <c r="F800" i="1"/>
  <c r="E800" i="1"/>
  <c r="C801" i="3" s="1"/>
  <c r="D800" i="1"/>
  <c r="F799" i="1"/>
  <c r="E799" i="1"/>
  <c r="D799" i="1"/>
  <c r="B800" i="3" s="1"/>
  <c r="F798" i="1"/>
  <c r="E798" i="1"/>
  <c r="D798" i="1"/>
  <c r="F797" i="1"/>
  <c r="E797" i="1"/>
  <c r="D797" i="1"/>
  <c r="F796" i="1"/>
  <c r="E796" i="1"/>
  <c r="C797" i="3" s="1"/>
  <c r="D796" i="1"/>
  <c r="F795" i="1"/>
  <c r="E795" i="1"/>
  <c r="D795" i="1"/>
  <c r="B796" i="3" s="1"/>
  <c r="F794" i="1"/>
  <c r="E794" i="1"/>
  <c r="D794" i="1"/>
  <c r="F793" i="1"/>
  <c r="E793" i="1"/>
  <c r="D793" i="1"/>
  <c r="F792" i="1"/>
  <c r="E792" i="1"/>
  <c r="C793" i="3" s="1"/>
  <c r="D792" i="1"/>
  <c r="F791" i="1"/>
  <c r="E791" i="1"/>
  <c r="D791" i="1"/>
  <c r="B792" i="3" s="1"/>
  <c r="F790" i="1"/>
  <c r="E790" i="1"/>
  <c r="D790" i="1"/>
  <c r="F789" i="1"/>
  <c r="E789" i="1"/>
  <c r="D789" i="1"/>
  <c r="F788" i="1"/>
  <c r="E788" i="1"/>
  <c r="C789" i="3" s="1"/>
  <c r="D788" i="1"/>
  <c r="F787" i="1"/>
  <c r="E787" i="1"/>
  <c r="D787" i="1"/>
  <c r="B788" i="3" s="1"/>
  <c r="F786" i="1"/>
  <c r="E786" i="1"/>
  <c r="D786" i="1"/>
  <c r="F785" i="1"/>
  <c r="E785" i="1"/>
  <c r="D785" i="1"/>
  <c r="F784" i="1"/>
  <c r="E784" i="1"/>
  <c r="C785" i="3" s="1"/>
  <c r="D784" i="1"/>
  <c r="F783" i="1"/>
  <c r="E783" i="1"/>
  <c r="D783" i="1"/>
  <c r="B784" i="3" s="1"/>
  <c r="F782" i="1"/>
  <c r="E782" i="1"/>
  <c r="D782" i="1"/>
  <c r="F781" i="1"/>
  <c r="E781" i="1"/>
  <c r="D781" i="1"/>
  <c r="F780" i="1"/>
  <c r="E780" i="1"/>
  <c r="C781" i="3" s="1"/>
  <c r="D780" i="1"/>
  <c r="F779" i="1"/>
  <c r="E779" i="1"/>
  <c r="D779" i="1"/>
  <c r="B780" i="3" s="1"/>
  <c r="F778" i="1"/>
  <c r="E778" i="1"/>
  <c r="D778" i="1"/>
  <c r="F777" i="1"/>
  <c r="E777" i="1"/>
  <c r="D777" i="1"/>
  <c r="F776" i="1"/>
  <c r="E776" i="1"/>
  <c r="C777" i="3" s="1"/>
  <c r="D776" i="1"/>
  <c r="F775" i="1"/>
  <c r="E775" i="1"/>
  <c r="D775" i="1"/>
  <c r="B776" i="3" s="1"/>
  <c r="F774" i="1"/>
  <c r="E774" i="1"/>
  <c r="D774" i="1"/>
  <c r="F773" i="1"/>
  <c r="E773" i="1"/>
  <c r="D773" i="1"/>
  <c r="F772" i="1"/>
  <c r="E772" i="1"/>
  <c r="C773" i="3" s="1"/>
  <c r="D772" i="1"/>
  <c r="F771" i="1"/>
  <c r="E771" i="1"/>
  <c r="D771" i="1"/>
  <c r="B772" i="3" s="1"/>
  <c r="F770" i="1"/>
  <c r="E770" i="1"/>
  <c r="D770" i="1"/>
  <c r="F769" i="1"/>
  <c r="E769" i="1"/>
  <c r="D769" i="1"/>
  <c r="F768" i="1"/>
  <c r="E768" i="1"/>
  <c r="C769" i="3" s="1"/>
  <c r="D768" i="1"/>
  <c r="F767" i="1"/>
  <c r="E767" i="1"/>
  <c r="D767" i="1"/>
  <c r="B768" i="3" s="1"/>
  <c r="F766" i="1"/>
  <c r="E766" i="1"/>
  <c r="D766" i="1"/>
  <c r="F765" i="1"/>
  <c r="E765" i="1"/>
  <c r="D765" i="1"/>
  <c r="F764" i="1"/>
  <c r="E764" i="1"/>
  <c r="C765" i="3" s="1"/>
  <c r="D764" i="1"/>
  <c r="F763" i="1"/>
  <c r="E763" i="1"/>
  <c r="D763" i="1"/>
  <c r="B764" i="3" s="1"/>
  <c r="F762" i="1"/>
  <c r="E762" i="1"/>
  <c r="D762" i="1"/>
  <c r="F761" i="1"/>
  <c r="E761" i="1"/>
  <c r="D761" i="1"/>
  <c r="F760" i="1"/>
  <c r="E760" i="1"/>
  <c r="C761" i="3" s="1"/>
  <c r="D760" i="1"/>
  <c r="F759" i="1"/>
  <c r="E759" i="1"/>
  <c r="D759" i="1"/>
  <c r="B760" i="3" s="1"/>
  <c r="F758" i="1"/>
  <c r="E758" i="1"/>
  <c r="D758" i="1"/>
  <c r="F757" i="1"/>
  <c r="E757" i="1"/>
  <c r="D757" i="1"/>
  <c r="F756" i="1"/>
  <c r="E756" i="1"/>
  <c r="C757" i="3" s="1"/>
  <c r="D756" i="1"/>
  <c r="F755" i="1"/>
  <c r="E755" i="1"/>
  <c r="D755" i="1"/>
  <c r="B756" i="3" s="1"/>
  <c r="F754" i="1"/>
  <c r="E754" i="1"/>
  <c r="D754" i="1"/>
  <c r="F753" i="1"/>
  <c r="E753" i="1"/>
  <c r="D753" i="1"/>
  <c r="F752" i="1"/>
  <c r="E752" i="1"/>
  <c r="C753" i="3" s="1"/>
  <c r="D752" i="1"/>
  <c r="F751" i="1"/>
  <c r="E751" i="1"/>
  <c r="D751" i="1"/>
  <c r="B752" i="3" s="1"/>
  <c r="F750" i="1"/>
  <c r="E750" i="1"/>
  <c r="D750" i="1"/>
  <c r="F749" i="1"/>
  <c r="E749" i="1"/>
  <c r="D749" i="1"/>
  <c r="F748" i="1"/>
  <c r="E748" i="1"/>
  <c r="C749" i="3" s="1"/>
  <c r="D748" i="1"/>
  <c r="F747" i="1"/>
  <c r="E747" i="1"/>
  <c r="D747" i="1"/>
  <c r="B748" i="3" s="1"/>
  <c r="F746" i="1"/>
  <c r="E746" i="1"/>
  <c r="D746" i="1"/>
  <c r="F745" i="1"/>
  <c r="E745" i="1"/>
  <c r="D745" i="1"/>
  <c r="F744" i="1"/>
  <c r="E744" i="1"/>
  <c r="C745" i="3" s="1"/>
  <c r="D744" i="1"/>
  <c r="F743" i="1"/>
  <c r="E743" i="1"/>
  <c r="D743" i="1"/>
  <c r="B744" i="3" s="1"/>
  <c r="F742" i="1"/>
  <c r="E742" i="1"/>
  <c r="D742" i="1"/>
  <c r="F741" i="1"/>
  <c r="E741" i="1"/>
  <c r="D741" i="1"/>
  <c r="F740" i="1"/>
  <c r="E740" i="1"/>
  <c r="C741" i="3" s="1"/>
  <c r="D740" i="1"/>
  <c r="F739" i="1"/>
  <c r="E739" i="1"/>
  <c r="D739" i="1"/>
  <c r="B740" i="3" s="1"/>
  <c r="F738" i="1"/>
  <c r="E738" i="1"/>
  <c r="D738" i="1"/>
  <c r="F737" i="1"/>
  <c r="E737" i="1"/>
  <c r="D737" i="1"/>
  <c r="F736" i="1"/>
  <c r="E736" i="1"/>
  <c r="C737" i="3" s="1"/>
  <c r="D736" i="1"/>
  <c r="F735" i="1"/>
  <c r="E735" i="1"/>
  <c r="D735" i="1"/>
  <c r="B736" i="3" s="1"/>
  <c r="F734" i="1"/>
  <c r="E734" i="1"/>
  <c r="D734" i="1"/>
  <c r="F733" i="1"/>
  <c r="E733" i="1"/>
  <c r="D733" i="1"/>
  <c r="F732" i="1"/>
  <c r="E732" i="1"/>
  <c r="C733" i="3" s="1"/>
  <c r="D732" i="1"/>
  <c r="F731" i="1"/>
  <c r="E731" i="1"/>
  <c r="D731" i="1"/>
  <c r="B732" i="3" s="1"/>
  <c r="F730" i="1"/>
  <c r="E730" i="1"/>
  <c r="D730" i="1"/>
  <c r="F729" i="1"/>
  <c r="E729" i="1"/>
  <c r="D729" i="1"/>
  <c r="F728" i="1"/>
  <c r="E728" i="1"/>
  <c r="C729" i="3" s="1"/>
  <c r="D728" i="1"/>
  <c r="F727" i="1"/>
  <c r="E727" i="1"/>
  <c r="D727" i="1"/>
  <c r="B728" i="3" s="1"/>
  <c r="F726" i="1"/>
  <c r="E726" i="1"/>
  <c r="D726" i="1"/>
  <c r="F725" i="1"/>
  <c r="E725" i="1"/>
  <c r="D725" i="1"/>
  <c r="F724" i="1"/>
  <c r="E724" i="1"/>
  <c r="C725" i="3" s="1"/>
  <c r="D724" i="1"/>
  <c r="F723" i="1"/>
  <c r="E723" i="1"/>
  <c r="D723" i="1"/>
  <c r="B724" i="3" s="1"/>
  <c r="F722" i="1"/>
  <c r="E722" i="1"/>
  <c r="D722" i="1"/>
  <c r="F721" i="1"/>
  <c r="E721" i="1"/>
  <c r="D721" i="1"/>
  <c r="F720" i="1"/>
  <c r="E720" i="1"/>
  <c r="C721" i="3" s="1"/>
  <c r="D720" i="1"/>
  <c r="F719" i="1"/>
  <c r="E719" i="1"/>
  <c r="D719" i="1"/>
  <c r="B720" i="3" s="1"/>
  <c r="F718" i="1"/>
  <c r="E718" i="1"/>
  <c r="D718" i="1"/>
  <c r="F717" i="1"/>
  <c r="E717" i="1"/>
  <c r="D717" i="1"/>
  <c r="F716" i="1"/>
  <c r="E716" i="1"/>
  <c r="C717" i="3" s="1"/>
  <c r="D716" i="1"/>
  <c r="F715" i="1"/>
  <c r="E715" i="1"/>
  <c r="D715" i="1"/>
  <c r="B716" i="3" s="1"/>
  <c r="F714" i="1"/>
  <c r="E714" i="1"/>
  <c r="D714" i="1"/>
  <c r="F713" i="1"/>
  <c r="E713" i="1"/>
  <c r="D713" i="1"/>
  <c r="F712" i="1"/>
  <c r="E712" i="1"/>
  <c r="C713" i="3" s="1"/>
  <c r="D712" i="1"/>
  <c r="F711" i="1"/>
  <c r="E711" i="1"/>
  <c r="D711" i="1"/>
  <c r="B712" i="3" s="1"/>
  <c r="F710" i="1"/>
  <c r="E710" i="1"/>
  <c r="D710" i="1"/>
  <c r="F709" i="1"/>
  <c r="E709" i="1"/>
  <c r="D709" i="1"/>
  <c r="F708" i="1"/>
  <c r="E708" i="1"/>
  <c r="C709" i="3" s="1"/>
  <c r="D708" i="1"/>
  <c r="F707" i="1"/>
  <c r="E707" i="1"/>
  <c r="D707" i="1"/>
  <c r="B708" i="3" s="1"/>
  <c r="F706" i="1"/>
  <c r="E706" i="1"/>
  <c r="D706" i="1"/>
  <c r="F705" i="1"/>
  <c r="E705" i="1"/>
  <c r="D705" i="1"/>
  <c r="F704" i="1"/>
  <c r="E704" i="1"/>
  <c r="C705" i="3" s="1"/>
  <c r="D704" i="1"/>
  <c r="F703" i="1"/>
  <c r="E703" i="1"/>
  <c r="D703" i="1"/>
  <c r="B704" i="3" s="1"/>
  <c r="F702" i="1"/>
  <c r="E702" i="1"/>
  <c r="D702" i="1"/>
  <c r="F701" i="1"/>
  <c r="E701" i="1"/>
  <c r="D701" i="1"/>
  <c r="F700" i="1"/>
  <c r="E700" i="1"/>
  <c r="C701" i="3" s="1"/>
  <c r="D700" i="1"/>
  <c r="F699" i="1"/>
  <c r="E699" i="1"/>
  <c r="D699" i="1"/>
  <c r="B700" i="3" s="1"/>
  <c r="F698" i="1"/>
  <c r="E698" i="1"/>
  <c r="D698" i="1"/>
  <c r="F697" i="1"/>
  <c r="E697" i="1"/>
  <c r="D697" i="1"/>
  <c r="F696" i="1"/>
  <c r="E696" i="1"/>
  <c r="C697" i="3" s="1"/>
  <c r="D696" i="1"/>
  <c r="F695" i="1"/>
  <c r="E695" i="1"/>
  <c r="D695" i="1"/>
  <c r="B696" i="3" s="1"/>
  <c r="F694" i="1"/>
  <c r="E694" i="1"/>
  <c r="D694" i="1"/>
  <c r="F693" i="1"/>
  <c r="E693" i="1"/>
  <c r="D693" i="1"/>
  <c r="F692" i="1"/>
  <c r="E692" i="1"/>
  <c r="C693" i="3" s="1"/>
  <c r="D692" i="1"/>
  <c r="F691" i="1"/>
  <c r="E691" i="1"/>
  <c r="C690" i="3" s="1"/>
  <c r="D691" i="1"/>
  <c r="F690" i="1"/>
  <c r="E690" i="1"/>
  <c r="D690" i="1"/>
  <c r="F689" i="1"/>
  <c r="E689" i="1"/>
  <c r="D689" i="1"/>
  <c r="F688" i="1"/>
  <c r="E688" i="1"/>
  <c r="C689" i="3" s="1"/>
  <c r="D688" i="1"/>
  <c r="F687" i="1"/>
  <c r="E687" i="1"/>
  <c r="D687" i="1"/>
  <c r="F686" i="1"/>
  <c r="E686" i="1"/>
  <c r="D686" i="1"/>
  <c r="F685" i="1"/>
  <c r="E685" i="1"/>
  <c r="D685" i="1"/>
  <c r="F684" i="1"/>
  <c r="E684" i="1"/>
  <c r="C685" i="3" s="1"/>
  <c r="D684" i="1"/>
  <c r="F683" i="1"/>
  <c r="E683" i="1"/>
  <c r="D683" i="1"/>
  <c r="F682" i="1"/>
  <c r="E682" i="1"/>
  <c r="D682" i="1"/>
  <c r="F681" i="1"/>
  <c r="E681" i="1"/>
  <c r="D681" i="1"/>
  <c r="F680" i="1"/>
  <c r="E680" i="1"/>
  <c r="C681" i="3" s="1"/>
  <c r="D680" i="1"/>
  <c r="F679" i="1"/>
  <c r="E679" i="1"/>
  <c r="D679" i="1"/>
  <c r="F678" i="1"/>
  <c r="E678" i="1"/>
  <c r="D678" i="1"/>
  <c r="F677" i="1"/>
  <c r="E677" i="1"/>
  <c r="D677" i="1"/>
  <c r="F676" i="1"/>
  <c r="E676" i="1"/>
  <c r="C677" i="3" s="1"/>
  <c r="D676" i="1"/>
  <c r="F675" i="1"/>
  <c r="E675" i="1"/>
  <c r="D675" i="1"/>
  <c r="B676" i="3" s="1"/>
  <c r="F674" i="1"/>
  <c r="E674" i="1"/>
  <c r="D674" i="1"/>
  <c r="F673" i="1"/>
  <c r="E673" i="1"/>
  <c r="D673" i="1"/>
  <c r="F672" i="1"/>
  <c r="E672" i="1"/>
  <c r="C673" i="3" s="1"/>
  <c r="D672" i="1"/>
  <c r="F671" i="1"/>
  <c r="E671" i="1"/>
  <c r="D671" i="1"/>
  <c r="B672" i="3" s="1"/>
  <c r="F670" i="1"/>
  <c r="E670" i="1"/>
  <c r="D670" i="1"/>
  <c r="F669" i="1"/>
  <c r="E669" i="1"/>
  <c r="D669" i="1"/>
  <c r="F668" i="1"/>
  <c r="E668" i="1"/>
  <c r="C669" i="3" s="1"/>
  <c r="D668" i="1"/>
  <c r="F667" i="1"/>
  <c r="E667" i="1"/>
  <c r="D667" i="1"/>
  <c r="B668" i="3" s="1"/>
  <c r="F666" i="1"/>
  <c r="E666" i="1"/>
  <c r="D666" i="1"/>
  <c r="F665" i="1"/>
  <c r="E665" i="1"/>
  <c r="D665" i="1"/>
  <c r="F664" i="1"/>
  <c r="E664" i="1"/>
  <c r="C665" i="3" s="1"/>
  <c r="D664" i="1"/>
  <c r="F663" i="1"/>
  <c r="E663" i="1"/>
  <c r="D663" i="1"/>
  <c r="F662" i="1"/>
  <c r="E662" i="1"/>
  <c r="D662" i="1"/>
  <c r="F661" i="1"/>
  <c r="E661" i="1"/>
  <c r="D661" i="1"/>
  <c r="F660" i="1"/>
  <c r="E660" i="1"/>
  <c r="C661" i="3" s="1"/>
  <c r="D660" i="1"/>
  <c r="F659" i="1"/>
  <c r="E659" i="1"/>
  <c r="D659" i="1"/>
  <c r="B660" i="3" s="1"/>
  <c r="F658" i="1"/>
  <c r="E658" i="1"/>
  <c r="D658" i="1"/>
  <c r="F657" i="1"/>
  <c r="E657" i="1"/>
  <c r="D657" i="1"/>
  <c r="F656" i="1"/>
  <c r="E656" i="1"/>
  <c r="C657" i="3" s="1"/>
  <c r="D656" i="1"/>
  <c r="F655" i="1"/>
  <c r="E655" i="1"/>
  <c r="D655" i="1"/>
  <c r="B656" i="3" s="1"/>
  <c r="F654" i="1"/>
  <c r="E654" i="1"/>
  <c r="D654" i="1"/>
  <c r="F653" i="1"/>
  <c r="E653" i="1"/>
  <c r="D653" i="1"/>
  <c r="F652" i="1"/>
  <c r="E652" i="1"/>
  <c r="C653" i="3" s="1"/>
  <c r="D652" i="1"/>
  <c r="F651" i="1"/>
  <c r="E651" i="1"/>
  <c r="D651" i="1"/>
  <c r="B652" i="3" s="1"/>
  <c r="F650" i="1"/>
  <c r="E650" i="1"/>
  <c r="D650" i="1"/>
  <c r="F649" i="1"/>
  <c r="E649" i="1"/>
  <c r="D649" i="1"/>
  <c r="F648" i="1"/>
  <c r="E648" i="1"/>
  <c r="C649" i="3" s="1"/>
  <c r="D648" i="1"/>
  <c r="F647" i="1"/>
  <c r="E647" i="1"/>
  <c r="D647" i="1"/>
  <c r="B648" i="3" s="1"/>
  <c r="F646" i="1"/>
  <c r="E646" i="1"/>
  <c r="D646" i="1"/>
  <c r="F645" i="1"/>
  <c r="E645" i="1"/>
  <c r="D645" i="1"/>
  <c r="F644" i="1"/>
  <c r="E644" i="1"/>
  <c r="C645" i="3" s="1"/>
  <c r="D644" i="1"/>
  <c r="F643" i="1"/>
  <c r="E643" i="1"/>
  <c r="D643" i="1"/>
  <c r="B644" i="3" s="1"/>
  <c r="F642" i="1"/>
  <c r="E642" i="1"/>
  <c r="D642" i="1"/>
  <c r="F641" i="1"/>
  <c r="E641" i="1"/>
  <c r="D641" i="1"/>
  <c r="F640" i="1"/>
  <c r="E640" i="1"/>
  <c r="C641" i="3" s="1"/>
  <c r="D640" i="1"/>
  <c r="F639" i="1"/>
  <c r="E639" i="1"/>
  <c r="D639" i="1"/>
  <c r="B640" i="3" s="1"/>
  <c r="F638" i="1"/>
  <c r="E638" i="1"/>
  <c r="D638" i="1"/>
  <c r="F637" i="1"/>
  <c r="E637" i="1"/>
  <c r="D637" i="1"/>
  <c r="F636" i="1"/>
  <c r="E636" i="1"/>
  <c r="C637" i="3" s="1"/>
  <c r="D636" i="1"/>
  <c r="F635" i="1"/>
  <c r="E635" i="1"/>
  <c r="D635" i="1"/>
  <c r="B636" i="3" s="1"/>
  <c r="F634" i="1"/>
  <c r="E634" i="1"/>
  <c r="D634" i="1"/>
  <c r="F633" i="1"/>
  <c r="E633" i="1"/>
  <c r="D633" i="1"/>
  <c r="F632" i="1"/>
  <c r="E632" i="1"/>
  <c r="C633" i="3" s="1"/>
  <c r="D632" i="1"/>
  <c r="F631" i="1"/>
  <c r="E631" i="1"/>
  <c r="D631" i="1"/>
  <c r="B632" i="3" s="1"/>
  <c r="F630" i="1"/>
  <c r="E630" i="1"/>
  <c r="D630" i="1"/>
  <c r="F629" i="1"/>
  <c r="E629" i="1"/>
  <c r="D629" i="1"/>
  <c r="F628" i="1"/>
  <c r="E628" i="1"/>
  <c r="C629" i="3" s="1"/>
  <c r="D628" i="1"/>
  <c r="F627" i="1"/>
  <c r="E627" i="1"/>
  <c r="D627" i="1"/>
  <c r="B628" i="3" s="1"/>
  <c r="F626" i="1"/>
  <c r="E626" i="1"/>
  <c r="D626" i="1"/>
  <c r="F625" i="1"/>
  <c r="E625" i="1"/>
  <c r="D625" i="1"/>
  <c r="F624" i="1"/>
  <c r="E624" i="1"/>
  <c r="C625" i="3" s="1"/>
  <c r="D624" i="1"/>
  <c r="F623" i="1"/>
  <c r="E623" i="1"/>
  <c r="D623" i="1"/>
  <c r="B624" i="3" s="1"/>
  <c r="F622" i="1"/>
  <c r="E622" i="1"/>
  <c r="D622" i="1"/>
  <c r="F621" i="1"/>
  <c r="E621" i="1"/>
  <c r="D621" i="1"/>
  <c r="F620" i="1"/>
  <c r="E620" i="1"/>
  <c r="C621" i="3" s="1"/>
  <c r="D620" i="1"/>
  <c r="F619" i="1"/>
  <c r="E619" i="1"/>
  <c r="D619" i="1"/>
  <c r="B620" i="3" s="1"/>
  <c r="F618" i="1"/>
  <c r="E618" i="1"/>
  <c r="D618" i="1"/>
  <c r="F617" i="1"/>
  <c r="E617" i="1"/>
  <c r="D617" i="1"/>
  <c r="F616" i="1"/>
  <c r="E616" i="1"/>
  <c r="C617" i="3" s="1"/>
  <c r="D616" i="1"/>
  <c r="F615" i="1"/>
  <c r="E615" i="1"/>
  <c r="D615" i="1"/>
  <c r="B616" i="3" s="1"/>
  <c r="F614" i="1"/>
  <c r="E614" i="1"/>
  <c r="D614" i="1"/>
  <c r="F613" i="1"/>
  <c r="E613" i="1"/>
  <c r="D613" i="1"/>
  <c r="F612" i="1"/>
  <c r="E612" i="1"/>
  <c r="C613" i="3" s="1"/>
  <c r="D612" i="1"/>
  <c r="F611" i="1"/>
  <c r="E611" i="1"/>
  <c r="D611" i="1"/>
  <c r="B612" i="3" s="1"/>
  <c r="F610" i="1"/>
  <c r="E610" i="1"/>
  <c r="D610" i="1"/>
  <c r="F609" i="1"/>
  <c r="E609" i="1"/>
  <c r="D609" i="1"/>
  <c r="F608" i="1"/>
  <c r="E608" i="1"/>
  <c r="C609" i="3" s="1"/>
  <c r="D608" i="1"/>
  <c r="F607" i="1"/>
  <c r="E607" i="1"/>
  <c r="D607" i="1"/>
  <c r="B608" i="3" s="1"/>
  <c r="F606" i="1"/>
  <c r="E606" i="1"/>
  <c r="D606" i="1"/>
  <c r="F605" i="1"/>
  <c r="E605" i="1"/>
  <c r="D605" i="1"/>
  <c r="F604" i="1"/>
  <c r="E604" i="1"/>
  <c r="C605" i="3" s="1"/>
  <c r="D604" i="1"/>
  <c r="F603" i="1"/>
  <c r="E603" i="1"/>
  <c r="D603" i="1"/>
  <c r="B604" i="3" s="1"/>
  <c r="F602" i="1"/>
  <c r="E602" i="1"/>
  <c r="D602" i="1"/>
  <c r="F601" i="1"/>
  <c r="E601" i="1"/>
  <c r="D601" i="1"/>
  <c r="F600" i="1"/>
  <c r="E600" i="1"/>
  <c r="C601" i="3" s="1"/>
  <c r="D600" i="1"/>
  <c r="F599" i="1"/>
  <c r="E599" i="1"/>
  <c r="D599" i="1"/>
  <c r="B600" i="3" s="1"/>
  <c r="F598" i="1"/>
  <c r="E598" i="1"/>
  <c r="D598" i="1"/>
  <c r="F597" i="1"/>
  <c r="E597" i="1"/>
  <c r="D597" i="1"/>
  <c r="F596" i="1"/>
  <c r="E596" i="1"/>
  <c r="C597" i="3" s="1"/>
  <c r="D596" i="1"/>
  <c r="F595" i="1"/>
  <c r="E595" i="1"/>
  <c r="D595" i="1"/>
  <c r="B596" i="3" s="1"/>
  <c r="F594" i="1"/>
  <c r="E594" i="1"/>
  <c r="D594" i="1"/>
  <c r="F593" i="1"/>
  <c r="E593" i="1"/>
  <c r="D593" i="1"/>
  <c r="F592" i="1"/>
  <c r="E592" i="1"/>
  <c r="C593" i="3" s="1"/>
  <c r="D592" i="1"/>
  <c r="F591" i="1"/>
  <c r="E591" i="1"/>
  <c r="D591" i="1"/>
  <c r="B592" i="3" s="1"/>
  <c r="F590" i="1"/>
  <c r="E590" i="1"/>
  <c r="D590" i="1"/>
  <c r="F589" i="1"/>
  <c r="E589" i="1"/>
  <c r="D589" i="1"/>
  <c r="F588" i="1"/>
  <c r="E588" i="1"/>
  <c r="C589" i="3" s="1"/>
  <c r="D588" i="1"/>
  <c r="F587" i="1"/>
  <c r="E587" i="1"/>
  <c r="D587" i="1"/>
  <c r="B588" i="3" s="1"/>
  <c r="F586" i="1"/>
  <c r="E586" i="1"/>
  <c r="D586" i="1"/>
  <c r="F585" i="1"/>
  <c r="E585" i="1"/>
  <c r="D585" i="1"/>
  <c r="F584" i="1"/>
  <c r="E584" i="1"/>
  <c r="C585" i="3" s="1"/>
  <c r="D584" i="1"/>
  <c r="F583" i="1"/>
  <c r="E583" i="1"/>
  <c r="D583" i="1"/>
  <c r="B584" i="3" s="1"/>
  <c r="F582" i="1"/>
  <c r="E582" i="1"/>
  <c r="D582" i="1"/>
  <c r="F581" i="1"/>
  <c r="E581" i="1"/>
  <c r="D581" i="1"/>
  <c r="F580" i="1"/>
  <c r="E580" i="1"/>
  <c r="C581" i="3" s="1"/>
  <c r="D580" i="1"/>
  <c r="F579" i="1"/>
  <c r="E579" i="1"/>
  <c r="D579" i="1"/>
  <c r="B580" i="3" s="1"/>
  <c r="F578" i="1"/>
  <c r="E578" i="1"/>
  <c r="D578" i="1"/>
  <c r="F577" i="1"/>
  <c r="E577" i="1"/>
  <c r="D577" i="1"/>
  <c r="F576" i="1"/>
  <c r="E576" i="1"/>
  <c r="C577" i="3" s="1"/>
  <c r="D576" i="1"/>
  <c r="F575" i="1"/>
  <c r="E575" i="1"/>
  <c r="D575" i="1"/>
  <c r="B576" i="3" s="1"/>
  <c r="F574" i="1"/>
  <c r="E574" i="1"/>
  <c r="D574" i="1"/>
  <c r="F573" i="1"/>
  <c r="E573" i="1"/>
  <c r="D573" i="1"/>
  <c r="F572" i="1"/>
  <c r="E572" i="1"/>
  <c r="C573" i="3" s="1"/>
  <c r="D572" i="1"/>
  <c r="F571" i="1"/>
  <c r="E571" i="1"/>
  <c r="D571" i="1"/>
  <c r="B572" i="3" s="1"/>
  <c r="F570" i="1"/>
  <c r="E570" i="1"/>
  <c r="D570" i="1"/>
  <c r="F569" i="1"/>
  <c r="E569" i="1"/>
  <c r="D569" i="1"/>
  <c r="F568" i="1"/>
  <c r="E568" i="1"/>
  <c r="C569" i="3" s="1"/>
  <c r="D568" i="1"/>
  <c r="F567" i="1"/>
  <c r="E567" i="1"/>
  <c r="D567" i="1"/>
  <c r="B568" i="3" s="1"/>
  <c r="F566" i="1"/>
  <c r="E566" i="1"/>
  <c r="D566" i="1"/>
  <c r="F565" i="1"/>
  <c r="E565" i="1"/>
  <c r="D565" i="1"/>
  <c r="F564" i="1"/>
  <c r="E564" i="1"/>
  <c r="C565" i="3" s="1"/>
  <c r="D564" i="1"/>
  <c r="F563" i="1"/>
  <c r="E563" i="1"/>
  <c r="D563" i="1"/>
  <c r="B564" i="3" s="1"/>
  <c r="F562" i="1"/>
  <c r="E562" i="1"/>
  <c r="D562" i="1"/>
  <c r="F561" i="1"/>
  <c r="E561" i="1"/>
  <c r="D561" i="1"/>
  <c r="F560" i="1"/>
  <c r="E560" i="1"/>
  <c r="C561" i="3" s="1"/>
  <c r="D560" i="1"/>
  <c r="F559" i="1"/>
  <c r="E559" i="1"/>
  <c r="D559" i="1"/>
  <c r="B560" i="3" s="1"/>
  <c r="F558" i="1"/>
  <c r="E558" i="1"/>
  <c r="D558" i="1"/>
  <c r="F557" i="1"/>
  <c r="E557" i="1"/>
  <c r="D557" i="1"/>
  <c r="F556" i="1"/>
  <c r="E556" i="1"/>
  <c r="C557" i="3" s="1"/>
  <c r="D556" i="1"/>
  <c r="F555" i="1"/>
  <c r="E555" i="1"/>
  <c r="D555" i="1"/>
  <c r="B556" i="3" s="1"/>
  <c r="F554" i="1"/>
  <c r="E554" i="1"/>
  <c r="D554" i="1"/>
  <c r="F553" i="1"/>
  <c r="E553" i="1"/>
  <c r="D553" i="1"/>
  <c r="F552" i="1"/>
  <c r="E552" i="1"/>
  <c r="C553" i="3" s="1"/>
  <c r="D552" i="1"/>
  <c r="F551" i="1"/>
  <c r="E551" i="1"/>
  <c r="D551" i="1"/>
  <c r="B552" i="3" s="1"/>
  <c r="F550" i="1"/>
  <c r="E550" i="1"/>
  <c r="D550" i="1"/>
  <c r="F549" i="1"/>
  <c r="E549" i="1"/>
  <c r="D549" i="1"/>
  <c r="F548" i="1"/>
  <c r="E548" i="1"/>
  <c r="C549" i="3" s="1"/>
  <c r="D548" i="1"/>
  <c r="F547" i="1"/>
  <c r="E547" i="1"/>
  <c r="D547" i="1"/>
  <c r="B548" i="3" s="1"/>
  <c r="F546" i="1"/>
  <c r="E546" i="1"/>
  <c r="D546" i="1"/>
  <c r="F545" i="1"/>
  <c r="E545" i="1"/>
  <c r="D545" i="1"/>
  <c r="F544" i="1"/>
  <c r="E544" i="1"/>
  <c r="C545" i="3" s="1"/>
  <c r="D544" i="1"/>
  <c r="F543" i="1"/>
  <c r="E543" i="1"/>
  <c r="D543" i="1"/>
  <c r="B544" i="3" s="1"/>
  <c r="F542" i="1"/>
  <c r="E542" i="1"/>
  <c r="D542" i="1"/>
  <c r="F541" i="1"/>
  <c r="E541" i="1"/>
  <c r="D541" i="1"/>
  <c r="F540" i="1"/>
  <c r="E540" i="1"/>
  <c r="C541" i="3" s="1"/>
  <c r="D540" i="1"/>
  <c r="F539" i="1"/>
  <c r="E539" i="1"/>
  <c r="D539" i="1"/>
  <c r="B540" i="3" s="1"/>
  <c r="F538" i="1"/>
  <c r="E538" i="1"/>
  <c r="D538" i="1"/>
  <c r="F537" i="1"/>
  <c r="E537" i="1"/>
  <c r="D537" i="1"/>
  <c r="F536" i="1"/>
  <c r="E536" i="1"/>
  <c r="C537" i="3" s="1"/>
  <c r="D536" i="1"/>
  <c r="F535" i="1"/>
  <c r="E535" i="1"/>
  <c r="D535" i="1"/>
  <c r="B536" i="3" s="1"/>
  <c r="F534" i="1"/>
  <c r="E534" i="1"/>
  <c r="D534" i="1"/>
  <c r="F533" i="1"/>
  <c r="E533" i="1"/>
  <c r="D533" i="1"/>
  <c r="F532" i="1"/>
  <c r="E532" i="1"/>
  <c r="C533" i="3" s="1"/>
  <c r="D532" i="1"/>
  <c r="F531" i="1"/>
  <c r="E531" i="1"/>
  <c r="D531" i="1"/>
  <c r="B532" i="3" s="1"/>
  <c r="F530" i="1"/>
  <c r="E530" i="1"/>
  <c r="D530" i="1"/>
  <c r="F529" i="1"/>
  <c r="E529" i="1"/>
  <c r="D529" i="1"/>
  <c r="F528" i="1"/>
  <c r="E528" i="1"/>
  <c r="C529" i="3" s="1"/>
  <c r="D528" i="1"/>
  <c r="F527" i="1"/>
  <c r="E527" i="1"/>
  <c r="D527" i="1"/>
  <c r="B528" i="3" s="1"/>
  <c r="F526" i="1"/>
  <c r="E526" i="1"/>
  <c r="D526" i="1"/>
  <c r="F525" i="1"/>
  <c r="E525" i="1"/>
  <c r="D525" i="1"/>
  <c r="B526" i="3" s="1"/>
  <c r="F524" i="1"/>
  <c r="E524" i="1"/>
  <c r="C525" i="3" s="1"/>
  <c r="D524" i="1"/>
  <c r="F523" i="1"/>
  <c r="E523" i="1"/>
  <c r="D523" i="1"/>
  <c r="B524" i="3" s="1"/>
  <c r="F522" i="1"/>
  <c r="E522" i="1"/>
  <c r="D522" i="1"/>
  <c r="F521" i="1"/>
  <c r="E521" i="1"/>
  <c r="D521" i="1"/>
  <c r="F520" i="1"/>
  <c r="E520" i="1"/>
  <c r="C521" i="3" s="1"/>
  <c r="D520" i="1"/>
  <c r="F519" i="1"/>
  <c r="E519" i="1"/>
  <c r="D519" i="1"/>
  <c r="B520" i="3" s="1"/>
  <c r="F518" i="1"/>
  <c r="E518" i="1"/>
  <c r="D518" i="1"/>
  <c r="F517" i="1"/>
  <c r="E517" i="1"/>
  <c r="D517" i="1"/>
  <c r="F516" i="1"/>
  <c r="E516" i="1"/>
  <c r="C517" i="3" s="1"/>
  <c r="D516" i="1"/>
  <c r="F515" i="1"/>
  <c r="E515" i="1"/>
  <c r="D515" i="1"/>
  <c r="B516" i="3" s="1"/>
  <c r="F514" i="1"/>
  <c r="E514" i="1"/>
  <c r="D514" i="1"/>
  <c r="F513" i="1"/>
  <c r="E513" i="1"/>
  <c r="D513" i="1"/>
  <c r="F512" i="1"/>
  <c r="E512" i="1"/>
  <c r="C513" i="3" s="1"/>
  <c r="D512" i="1"/>
  <c r="F511" i="1"/>
  <c r="E511" i="1"/>
  <c r="D511" i="1"/>
  <c r="B512" i="3" s="1"/>
  <c r="F510" i="1"/>
  <c r="E510" i="1"/>
  <c r="D510" i="1"/>
  <c r="F509" i="1"/>
  <c r="E509" i="1"/>
  <c r="D509" i="1"/>
  <c r="F508" i="1"/>
  <c r="E508" i="1"/>
  <c r="C509" i="3" s="1"/>
  <c r="D508" i="1"/>
  <c r="F507" i="1"/>
  <c r="E507" i="1"/>
  <c r="D507" i="1"/>
  <c r="B508" i="3" s="1"/>
  <c r="F506" i="1"/>
  <c r="E506" i="1"/>
  <c r="D506" i="1"/>
  <c r="F505" i="1"/>
  <c r="E505" i="1"/>
  <c r="D505" i="1"/>
  <c r="F504" i="1"/>
  <c r="E504" i="1"/>
  <c r="C505" i="3" s="1"/>
  <c r="D504" i="1"/>
  <c r="F503" i="1"/>
  <c r="E503" i="1"/>
  <c r="D503" i="1"/>
  <c r="B504" i="3" s="1"/>
  <c r="F502" i="1"/>
  <c r="E502" i="1"/>
  <c r="C502" i="3" s="1"/>
  <c r="D502" i="1"/>
  <c r="F501" i="1"/>
  <c r="E501" i="1"/>
  <c r="D501" i="1"/>
  <c r="F500" i="1"/>
  <c r="E500" i="1"/>
  <c r="C501" i="3" s="1"/>
  <c r="D500" i="1"/>
  <c r="F499" i="1"/>
  <c r="E499" i="1"/>
  <c r="D499" i="1"/>
  <c r="B500" i="3" s="1"/>
  <c r="F498" i="1"/>
  <c r="E498" i="1"/>
  <c r="D498" i="1"/>
  <c r="F497" i="1"/>
  <c r="E497" i="1"/>
  <c r="D497" i="1"/>
  <c r="F496" i="1"/>
  <c r="E496" i="1"/>
  <c r="C497" i="3" s="1"/>
  <c r="D496" i="1"/>
  <c r="F495" i="1"/>
  <c r="E495" i="1"/>
  <c r="D495" i="1"/>
  <c r="B496" i="3" s="1"/>
  <c r="F494" i="1"/>
  <c r="E494" i="1"/>
  <c r="D494" i="1"/>
  <c r="F493" i="1"/>
  <c r="E493" i="1"/>
  <c r="D493" i="1"/>
  <c r="F492" i="1"/>
  <c r="E492" i="1"/>
  <c r="C493" i="3" s="1"/>
  <c r="D492" i="1"/>
  <c r="F491" i="1"/>
  <c r="E491" i="1"/>
  <c r="D491" i="1"/>
  <c r="B492" i="3" s="1"/>
  <c r="F490" i="1"/>
  <c r="E490" i="1"/>
  <c r="D490" i="1"/>
  <c r="F489" i="1"/>
  <c r="E489" i="1"/>
  <c r="D489" i="1"/>
  <c r="F488" i="1"/>
  <c r="E488" i="1"/>
  <c r="C489" i="3" s="1"/>
  <c r="D488" i="1"/>
  <c r="F487" i="1"/>
  <c r="E487" i="1"/>
  <c r="D487" i="1"/>
  <c r="B488" i="3" s="1"/>
  <c r="F486" i="1"/>
  <c r="E486" i="1"/>
  <c r="D486" i="1"/>
  <c r="F485" i="1"/>
  <c r="E485" i="1"/>
  <c r="D485" i="1"/>
  <c r="F484" i="1"/>
  <c r="E484" i="1"/>
  <c r="C485" i="3" s="1"/>
  <c r="D484" i="1"/>
  <c r="F483" i="1"/>
  <c r="E483" i="1"/>
  <c r="D483" i="1"/>
  <c r="B484" i="3" s="1"/>
  <c r="F482" i="1"/>
  <c r="E482" i="1"/>
  <c r="D482" i="1"/>
  <c r="F481" i="1"/>
  <c r="E481" i="1"/>
  <c r="D481" i="1"/>
  <c r="F480" i="1"/>
  <c r="E480" i="1"/>
  <c r="C481" i="3" s="1"/>
  <c r="D480" i="1"/>
  <c r="F479" i="1"/>
  <c r="E479" i="1"/>
  <c r="D479" i="1"/>
  <c r="B480" i="3" s="1"/>
  <c r="F478" i="1"/>
  <c r="E478" i="1"/>
  <c r="D478" i="1"/>
  <c r="F477" i="1"/>
  <c r="E477" i="1"/>
  <c r="D477" i="1"/>
  <c r="F476" i="1"/>
  <c r="E476" i="1"/>
  <c r="C477" i="3" s="1"/>
  <c r="D476" i="1"/>
  <c r="F475" i="1"/>
  <c r="E475" i="1"/>
  <c r="D475" i="1"/>
  <c r="B476" i="3" s="1"/>
  <c r="F474" i="1"/>
  <c r="E474" i="1"/>
  <c r="D474" i="1"/>
  <c r="F473" i="1"/>
  <c r="E473" i="1"/>
  <c r="D473" i="1"/>
  <c r="F472" i="1"/>
  <c r="E472" i="1"/>
  <c r="C473" i="3" s="1"/>
  <c r="D472" i="1"/>
  <c r="F471" i="1"/>
  <c r="E471" i="1"/>
  <c r="D471" i="1"/>
  <c r="B472" i="3" s="1"/>
  <c r="F470" i="1"/>
  <c r="E470" i="1"/>
  <c r="D470" i="1"/>
  <c r="F469" i="1"/>
  <c r="E469" i="1"/>
  <c r="D469" i="1"/>
  <c r="F468" i="1"/>
  <c r="E468" i="1"/>
  <c r="C469" i="3" s="1"/>
  <c r="D468" i="1"/>
  <c r="F467" i="1"/>
  <c r="E467" i="1"/>
  <c r="D467" i="1"/>
  <c r="B468" i="3" s="1"/>
  <c r="F466" i="1"/>
  <c r="E466" i="1"/>
  <c r="D466" i="1"/>
  <c r="F465" i="1"/>
  <c r="E465" i="1"/>
  <c r="D465" i="1"/>
  <c r="F464" i="1"/>
  <c r="E464" i="1"/>
  <c r="C465" i="3" s="1"/>
  <c r="D464" i="1"/>
  <c r="F463" i="1"/>
  <c r="E463" i="1"/>
  <c r="D463" i="1"/>
  <c r="B464" i="3" s="1"/>
  <c r="F462" i="1"/>
  <c r="E462" i="1"/>
  <c r="D462" i="1"/>
  <c r="F461" i="1"/>
  <c r="E461" i="1"/>
  <c r="D461" i="1"/>
  <c r="F460" i="1"/>
  <c r="E460" i="1"/>
  <c r="C461" i="3" s="1"/>
  <c r="D460" i="1"/>
  <c r="F459" i="1"/>
  <c r="E459" i="1"/>
  <c r="D459" i="1"/>
  <c r="B460" i="3" s="1"/>
  <c r="F458" i="1"/>
  <c r="E458" i="1"/>
  <c r="D458" i="1"/>
  <c r="F457" i="1"/>
  <c r="E457" i="1"/>
  <c r="D457" i="1"/>
  <c r="F456" i="1"/>
  <c r="E456" i="1"/>
  <c r="C457" i="3" s="1"/>
  <c r="D456" i="1"/>
  <c r="F455" i="1"/>
  <c r="E455" i="1"/>
  <c r="D455" i="1"/>
  <c r="B456" i="3" s="1"/>
  <c r="F454" i="1"/>
  <c r="E454" i="1"/>
  <c r="D454" i="1"/>
  <c r="F453" i="1"/>
  <c r="E453" i="1"/>
  <c r="D453" i="1"/>
  <c r="F452" i="1"/>
  <c r="E452" i="1"/>
  <c r="C453" i="3" s="1"/>
  <c r="D452" i="1"/>
  <c r="F451" i="1"/>
  <c r="E451" i="1"/>
  <c r="D451" i="1"/>
  <c r="B452" i="3" s="1"/>
  <c r="F450" i="1"/>
  <c r="E450" i="1"/>
  <c r="D450" i="1"/>
  <c r="F449" i="1"/>
  <c r="E449" i="1"/>
  <c r="D449" i="1"/>
  <c r="F448" i="1"/>
  <c r="E448" i="1"/>
  <c r="C449" i="3" s="1"/>
  <c r="D448" i="1"/>
  <c r="F447" i="1"/>
  <c r="E447" i="1"/>
  <c r="D447" i="1"/>
  <c r="B448" i="3" s="1"/>
  <c r="F446" i="1"/>
  <c r="E446" i="1"/>
  <c r="D446" i="1"/>
  <c r="F445" i="1"/>
  <c r="E445" i="1"/>
  <c r="D445" i="1"/>
  <c r="F444" i="1"/>
  <c r="E444" i="1"/>
  <c r="C445" i="3" s="1"/>
  <c r="D444" i="1"/>
  <c r="F443" i="1"/>
  <c r="E443" i="1"/>
  <c r="D443" i="1"/>
  <c r="B444" i="3" s="1"/>
  <c r="F442" i="1"/>
  <c r="E442" i="1"/>
  <c r="D442" i="1"/>
  <c r="F441" i="1"/>
  <c r="E441" i="1"/>
  <c r="D441" i="1"/>
  <c r="F440" i="1"/>
  <c r="E440" i="1"/>
  <c r="C441" i="3" s="1"/>
  <c r="D440" i="1"/>
  <c r="F439" i="1"/>
  <c r="E439" i="1"/>
  <c r="D439" i="1"/>
  <c r="B440" i="3" s="1"/>
  <c r="F438" i="1"/>
  <c r="E438" i="1"/>
  <c r="D438" i="1"/>
  <c r="F437" i="1"/>
  <c r="E437" i="1"/>
  <c r="D437" i="1"/>
  <c r="F436" i="1"/>
  <c r="E436" i="1"/>
  <c r="C437" i="3" s="1"/>
  <c r="D436" i="1"/>
  <c r="F435" i="1"/>
  <c r="E435" i="1"/>
  <c r="D435" i="1"/>
  <c r="B436" i="3" s="1"/>
  <c r="F434" i="1"/>
  <c r="E434" i="1"/>
  <c r="D434" i="1"/>
  <c r="F433" i="1"/>
  <c r="E433" i="1"/>
  <c r="D433" i="1"/>
  <c r="F432" i="1"/>
  <c r="E432" i="1"/>
  <c r="C433" i="3" s="1"/>
  <c r="D432" i="1"/>
  <c r="F431" i="1"/>
  <c r="E431" i="1"/>
  <c r="D431" i="1"/>
  <c r="B432" i="3" s="1"/>
  <c r="F430" i="1"/>
  <c r="E430" i="1"/>
  <c r="D430" i="1"/>
  <c r="F429" i="1"/>
  <c r="E429" i="1"/>
  <c r="D429" i="1"/>
  <c r="F428" i="1"/>
  <c r="E428" i="1"/>
  <c r="C429" i="3" s="1"/>
  <c r="D428" i="1"/>
  <c r="F427" i="1"/>
  <c r="E427" i="1"/>
  <c r="D427" i="1"/>
  <c r="B428" i="3" s="1"/>
  <c r="F426" i="1"/>
  <c r="E426" i="1"/>
  <c r="D426" i="1"/>
  <c r="F425" i="1"/>
  <c r="E425" i="1"/>
  <c r="D425" i="1"/>
  <c r="B426" i="3" s="1"/>
  <c r="F424" i="1"/>
  <c r="E424" i="1"/>
  <c r="C425" i="3" s="1"/>
  <c r="D424" i="1"/>
  <c r="F423" i="1"/>
  <c r="E423" i="1"/>
  <c r="D423" i="1"/>
  <c r="B424" i="3" s="1"/>
  <c r="F422" i="1"/>
  <c r="E422" i="1"/>
  <c r="D422" i="1"/>
  <c r="F421" i="1"/>
  <c r="E421" i="1"/>
  <c r="D421" i="1"/>
  <c r="B422" i="3" s="1"/>
  <c r="F420" i="1"/>
  <c r="E420" i="1"/>
  <c r="C421" i="3" s="1"/>
  <c r="D420" i="1"/>
  <c r="F419" i="1"/>
  <c r="E419" i="1"/>
  <c r="D419" i="1"/>
  <c r="F418" i="1"/>
  <c r="E418" i="1"/>
  <c r="D418" i="1"/>
  <c r="F417" i="1"/>
  <c r="E417" i="1"/>
  <c r="D417" i="1"/>
  <c r="B418" i="3" s="1"/>
  <c r="F416" i="1"/>
  <c r="E416" i="1"/>
  <c r="C417" i="3" s="1"/>
  <c r="D416" i="1"/>
  <c r="F415" i="1"/>
  <c r="E415" i="1"/>
  <c r="D415" i="1"/>
  <c r="F414" i="1"/>
  <c r="E414" i="1"/>
  <c r="D414" i="1"/>
  <c r="F413" i="1"/>
  <c r="E413" i="1"/>
  <c r="D413" i="1"/>
  <c r="B414" i="3" s="1"/>
  <c r="F412" i="1"/>
  <c r="E412" i="1"/>
  <c r="C413" i="3" s="1"/>
  <c r="D412" i="1"/>
  <c r="F411" i="1"/>
  <c r="E411" i="1"/>
  <c r="D411" i="1"/>
  <c r="F410" i="1"/>
  <c r="E410" i="1"/>
  <c r="D410" i="1"/>
  <c r="F409" i="1"/>
  <c r="E409" i="1"/>
  <c r="D409" i="1"/>
  <c r="B410" i="3" s="1"/>
  <c r="F408" i="1"/>
  <c r="E408" i="1"/>
  <c r="C409" i="3" s="1"/>
  <c r="D408" i="1"/>
  <c r="F407" i="1"/>
  <c r="E407" i="1"/>
  <c r="D407" i="1"/>
  <c r="F406" i="1"/>
  <c r="E406" i="1"/>
  <c r="D406" i="1"/>
  <c r="F405" i="1"/>
  <c r="E405" i="1"/>
  <c r="D405" i="1"/>
  <c r="B406" i="3" s="1"/>
  <c r="F404" i="1"/>
  <c r="E404" i="1"/>
  <c r="C405" i="3" s="1"/>
  <c r="D404" i="1"/>
  <c r="F403" i="1"/>
  <c r="E403" i="1"/>
  <c r="D403" i="1"/>
  <c r="F402" i="1"/>
  <c r="E402" i="1"/>
  <c r="D402" i="1"/>
  <c r="F401" i="1"/>
  <c r="E401" i="1"/>
  <c r="D401" i="1"/>
  <c r="B402" i="3" s="1"/>
  <c r="F400" i="1"/>
  <c r="E400" i="1"/>
  <c r="C401" i="3" s="1"/>
  <c r="D400" i="1"/>
  <c r="F399" i="1"/>
  <c r="E399" i="1"/>
  <c r="D399" i="1"/>
  <c r="F398" i="1"/>
  <c r="E398" i="1"/>
  <c r="D398" i="1"/>
  <c r="F397" i="1"/>
  <c r="E397" i="1"/>
  <c r="D397" i="1"/>
  <c r="F396" i="1"/>
  <c r="E396" i="1"/>
  <c r="C397" i="3" s="1"/>
  <c r="D396" i="1"/>
  <c r="F395" i="1"/>
  <c r="E395" i="1"/>
  <c r="D395" i="1"/>
  <c r="F394" i="1"/>
  <c r="E394" i="1"/>
  <c r="D394" i="1"/>
  <c r="F393" i="1"/>
  <c r="E393" i="1"/>
  <c r="D393" i="1"/>
  <c r="F392" i="1"/>
  <c r="E392" i="1"/>
  <c r="C393" i="3" s="1"/>
  <c r="D392" i="1"/>
  <c r="F391" i="1"/>
  <c r="E391" i="1"/>
  <c r="D391" i="1"/>
  <c r="F390" i="1"/>
  <c r="E390" i="1"/>
  <c r="D390" i="1"/>
  <c r="F389" i="1"/>
  <c r="E389" i="1"/>
  <c r="D389" i="1"/>
  <c r="F388" i="1"/>
  <c r="E388" i="1"/>
  <c r="C389" i="3" s="1"/>
  <c r="D388" i="1"/>
  <c r="F387" i="1"/>
  <c r="E387" i="1"/>
  <c r="D387" i="1"/>
  <c r="F386" i="1"/>
  <c r="E386" i="1"/>
  <c r="D386" i="1"/>
  <c r="F385" i="1"/>
  <c r="E385" i="1"/>
  <c r="D385" i="1"/>
  <c r="F384" i="1"/>
  <c r="E384" i="1"/>
  <c r="C385" i="3" s="1"/>
  <c r="D384" i="1"/>
  <c r="F383" i="1"/>
  <c r="E383" i="1"/>
  <c r="D383" i="1"/>
  <c r="F382" i="1"/>
  <c r="E382" i="1"/>
  <c r="C383" i="3" s="1"/>
  <c r="D382" i="1"/>
  <c r="F381" i="1"/>
  <c r="E381" i="1"/>
  <c r="D381" i="1"/>
  <c r="F380" i="1"/>
  <c r="E380" i="1"/>
  <c r="C381" i="3" s="1"/>
  <c r="D380" i="1"/>
  <c r="F379" i="1"/>
  <c r="E379" i="1"/>
  <c r="D379" i="1"/>
  <c r="F378" i="1"/>
  <c r="E378" i="1"/>
  <c r="C379" i="3" s="1"/>
  <c r="D378" i="1"/>
  <c r="F377" i="1"/>
  <c r="E377" i="1"/>
  <c r="D377" i="1"/>
  <c r="F376" i="1"/>
  <c r="E376" i="1"/>
  <c r="D376" i="1"/>
  <c r="F375" i="1"/>
  <c r="E375" i="1"/>
  <c r="D375" i="1"/>
  <c r="F374" i="1"/>
  <c r="E374" i="1"/>
  <c r="C375" i="3" s="1"/>
  <c r="D374" i="1"/>
  <c r="F373" i="1"/>
  <c r="E373" i="1"/>
  <c r="D373" i="1"/>
  <c r="F372" i="1"/>
  <c r="E372" i="1"/>
  <c r="D372" i="1"/>
  <c r="F371" i="1"/>
  <c r="E371" i="1"/>
  <c r="D371" i="1"/>
  <c r="F370" i="1"/>
  <c r="E370" i="1"/>
  <c r="C371" i="3" s="1"/>
  <c r="D370" i="1"/>
  <c r="F369" i="1"/>
  <c r="E369" i="1"/>
  <c r="D369" i="1"/>
  <c r="B370" i="3" s="1"/>
  <c r="F368" i="1"/>
  <c r="E368" i="1"/>
  <c r="D368" i="1"/>
  <c r="F367" i="1"/>
  <c r="E367" i="1"/>
  <c r="D367" i="1"/>
  <c r="F366" i="1"/>
  <c r="E366" i="1"/>
  <c r="D366" i="1"/>
  <c r="F365" i="1"/>
  <c r="E365" i="1"/>
  <c r="D365" i="1"/>
  <c r="B366" i="3" s="1"/>
  <c r="F364" i="1"/>
  <c r="E364" i="1"/>
  <c r="D364" i="1"/>
  <c r="F363" i="1"/>
  <c r="E363" i="1"/>
  <c r="D363" i="1"/>
  <c r="F362" i="1"/>
  <c r="E362" i="1"/>
  <c r="D362" i="1"/>
  <c r="F361" i="1"/>
  <c r="E361" i="1"/>
  <c r="D361" i="1"/>
  <c r="B362" i="3" s="1"/>
  <c r="F360" i="1"/>
  <c r="E360" i="1"/>
  <c r="D360" i="1"/>
  <c r="F359" i="1"/>
  <c r="E359" i="1"/>
  <c r="D359" i="1"/>
  <c r="F358" i="1"/>
  <c r="E358" i="1"/>
  <c r="D358" i="1"/>
  <c r="F357" i="1"/>
  <c r="E357" i="1"/>
  <c r="D357" i="1"/>
  <c r="B358" i="3" s="1"/>
  <c r="F356" i="1"/>
  <c r="E356" i="1"/>
  <c r="D356" i="1"/>
  <c r="F355" i="1"/>
  <c r="E355" i="1"/>
  <c r="D355" i="1"/>
  <c r="F354" i="1"/>
  <c r="E354" i="1"/>
  <c r="D354" i="1"/>
  <c r="F353" i="1"/>
  <c r="E353" i="1"/>
  <c r="D353" i="1"/>
  <c r="B354" i="3" s="1"/>
  <c r="F352" i="1"/>
  <c r="E352" i="1"/>
  <c r="D352" i="1"/>
  <c r="F351" i="1"/>
  <c r="E351" i="1"/>
  <c r="D351" i="1"/>
  <c r="F350" i="1"/>
  <c r="E350" i="1"/>
  <c r="D350" i="1"/>
  <c r="F349" i="1"/>
  <c r="E349" i="1"/>
  <c r="D349" i="1"/>
  <c r="B350" i="3" s="1"/>
  <c r="F348" i="1"/>
  <c r="E348" i="1"/>
  <c r="D348" i="1"/>
  <c r="F347" i="1"/>
  <c r="E347" i="1"/>
  <c r="D347" i="1"/>
  <c r="F346" i="1"/>
  <c r="E346" i="1"/>
  <c r="D346" i="1"/>
  <c r="F345" i="1"/>
  <c r="E345" i="1"/>
  <c r="D345" i="1"/>
  <c r="B346" i="3" s="1"/>
  <c r="F344" i="1"/>
  <c r="E344" i="1"/>
  <c r="D344" i="1"/>
  <c r="F343" i="1"/>
  <c r="E343" i="1"/>
  <c r="D343" i="1"/>
  <c r="F342" i="1"/>
  <c r="E342" i="1"/>
  <c r="C343" i="3" s="1"/>
  <c r="D342" i="1"/>
  <c r="F341" i="1"/>
  <c r="E341" i="1"/>
  <c r="D341" i="1"/>
  <c r="B342" i="3" s="1"/>
  <c r="F340" i="1"/>
  <c r="E340" i="1"/>
  <c r="D340" i="1"/>
  <c r="F339" i="1"/>
  <c r="E339" i="1"/>
  <c r="D339" i="1"/>
  <c r="F338" i="1"/>
  <c r="E338" i="1"/>
  <c r="C339" i="3" s="1"/>
  <c r="D338" i="1"/>
  <c r="F337" i="1"/>
  <c r="E337" i="1"/>
  <c r="D337" i="1"/>
  <c r="B338" i="3" s="1"/>
  <c r="F336" i="1"/>
  <c r="E336" i="1"/>
  <c r="D336" i="1"/>
  <c r="F335" i="1"/>
  <c r="E335" i="1"/>
  <c r="D335" i="1"/>
  <c r="F334" i="1"/>
  <c r="E334" i="1"/>
  <c r="C335" i="3" s="1"/>
  <c r="D334" i="1"/>
  <c r="F333" i="1"/>
  <c r="E333" i="1"/>
  <c r="D333" i="1"/>
  <c r="B334" i="3" s="1"/>
  <c r="F332" i="1"/>
  <c r="E332" i="1"/>
  <c r="D332" i="1"/>
  <c r="F331" i="1"/>
  <c r="E331" i="1"/>
  <c r="D331" i="1"/>
  <c r="F330" i="1"/>
  <c r="E330" i="1"/>
  <c r="C331" i="3" s="1"/>
  <c r="D330" i="1"/>
  <c r="F329" i="1"/>
  <c r="E329" i="1"/>
  <c r="D329" i="1"/>
  <c r="B330" i="3" s="1"/>
  <c r="F328" i="1"/>
  <c r="E328" i="1"/>
  <c r="D328" i="1"/>
  <c r="F327" i="1"/>
  <c r="E327" i="1"/>
  <c r="D327" i="1"/>
  <c r="F326" i="1"/>
  <c r="E326" i="1"/>
  <c r="C327" i="3" s="1"/>
  <c r="D326" i="1"/>
  <c r="F325" i="1"/>
  <c r="E325" i="1"/>
  <c r="D325" i="1"/>
  <c r="B326" i="3" s="1"/>
  <c r="F324" i="1"/>
  <c r="E324" i="1"/>
  <c r="D324" i="1"/>
  <c r="F323" i="1"/>
  <c r="E323" i="1"/>
  <c r="D323" i="1"/>
  <c r="F322" i="1"/>
  <c r="E322" i="1"/>
  <c r="C323" i="3" s="1"/>
  <c r="D322" i="1"/>
  <c r="F321" i="1"/>
  <c r="E321" i="1"/>
  <c r="D321" i="1"/>
  <c r="B322" i="3" s="1"/>
  <c r="F320" i="1"/>
  <c r="E320" i="1"/>
  <c r="D320" i="1"/>
  <c r="F319" i="1"/>
  <c r="E319" i="1"/>
  <c r="D319" i="1"/>
  <c r="F318" i="1"/>
  <c r="E318" i="1"/>
  <c r="C319" i="3" s="1"/>
  <c r="D318" i="1"/>
  <c r="F317" i="1"/>
  <c r="E317" i="1"/>
  <c r="D317" i="1"/>
  <c r="B318" i="3" s="1"/>
  <c r="F316" i="1"/>
  <c r="E316" i="1"/>
  <c r="D316" i="1"/>
  <c r="F315" i="1"/>
  <c r="E315" i="1"/>
  <c r="D315" i="1"/>
  <c r="F314" i="1"/>
  <c r="E314" i="1"/>
  <c r="C315" i="3" s="1"/>
  <c r="D314" i="1"/>
  <c r="F313" i="1"/>
  <c r="E313" i="1"/>
  <c r="D313" i="1"/>
  <c r="B314" i="3" s="1"/>
  <c r="F312" i="1"/>
  <c r="E312" i="1"/>
  <c r="D312" i="1"/>
  <c r="F311" i="1"/>
  <c r="E311" i="1"/>
  <c r="D311" i="1"/>
  <c r="F310" i="1"/>
  <c r="E310" i="1"/>
  <c r="C311" i="3" s="1"/>
  <c r="D310" i="1"/>
  <c r="F309" i="1"/>
  <c r="E309" i="1"/>
  <c r="D309" i="1"/>
  <c r="B310" i="3" s="1"/>
  <c r="F308" i="1"/>
  <c r="E308" i="1"/>
  <c r="D308" i="1"/>
  <c r="F307" i="1"/>
  <c r="E307" i="1"/>
  <c r="D307" i="1"/>
  <c r="F306" i="1"/>
  <c r="E306" i="1"/>
  <c r="C307" i="3" s="1"/>
  <c r="D306" i="1"/>
  <c r="F305" i="1"/>
  <c r="E305" i="1"/>
  <c r="D305" i="1"/>
  <c r="B306" i="3" s="1"/>
  <c r="F304" i="1"/>
  <c r="E304" i="1"/>
  <c r="D304" i="1"/>
  <c r="F303" i="1"/>
  <c r="E303" i="1"/>
  <c r="D303" i="1"/>
  <c r="F302" i="1"/>
  <c r="E302" i="1"/>
  <c r="C303" i="3" s="1"/>
  <c r="D302" i="1"/>
  <c r="F301" i="1"/>
  <c r="E301" i="1"/>
  <c r="D301" i="1"/>
  <c r="B302" i="3" s="1"/>
  <c r="F300" i="1"/>
  <c r="E300" i="1"/>
  <c r="D300" i="1"/>
  <c r="F299" i="1"/>
  <c r="E299" i="1"/>
  <c r="D299" i="1"/>
  <c r="F298" i="1"/>
  <c r="E298" i="1"/>
  <c r="C299" i="3" s="1"/>
  <c r="D298" i="1"/>
  <c r="F297" i="1"/>
  <c r="E297" i="1"/>
  <c r="D297" i="1"/>
  <c r="B298" i="3" s="1"/>
  <c r="F296" i="1"/>
  <c r="E296" i="1"/>
  <c r="D296" i="1"/>
  <c r="F295" i="1"/>
  <c r="E295" i="1"/>
  <c r="D295" i="1"/>
  <c r="F294" i="1"/>
  <c r="E294" i="1"/>
  <c r="D294" i="1"/>
  <c r="F293" i="1"/>
  <c r="E293" i="1"/>
  <c r="D293" i="1"/>
  <c r="B294" i="3" s="1"/>
  <c r="F292" i="1"/>
  <c r="E292" i="1"/>
  <c r="D292" i="1"/>
  <c r="F291" i="1"/>
  <c r="E291" i="1"/>
  <c r="D291" i="1"/>
  <c r="F290" i="1"/>
  <c r="E290" i="1"/>
  <c r="D290" i="1"/>
  <c r="F289" i="1"/>
  <c r="E289" i="1"/>
  <c r="D289" i="1"/>
  <c r="B290" i="3" s="1"/>
  <c r="F288" i="1"/>
  <c r="E288" i="1"/>
  <c r="D288" i="1"/>
  <c r="F287" i="1"/>
  <c r="E287" i="1"/>
  <c r="D287" i="1"/>
  <c r="F286" i="1"/>
  <c r="E286" i="1"/>
  <c r="D286" i="1"/>
  <c r="F285" i="1"/>
  <c r="E285" i="1"/>
  <c r="D285" i="1"/>
  <c r="B286" i="3" s="1"/>
  <c r="F284" i="1"/>
  <c r="E284" i="1"/>
  <c r="D284" i="1"/>
  <c r="F283" i="1"/>
  <c r="E283" i="1"/>
  <c r="D283" i="1"/>
  <c r="F282" i="1"/>
  <c r="E282" i="1"/>
  <c r="D282" i="1"/>
  <c r="F281" i="1"/>
  <c r="E281" i="1"/>
  <c r="D281" i="1"/>
  <c r="F280" i="1"/>
  <c r="E280" i="1"/>
  <c r="D280" i="1"/>
  <c r="F279" i="1"/>
  <c r="E279" i="1"/>
  <c r="D279" i="1"/>
  <c r="F278" i="1"/>
  <c r="E278" i="1"/>
  <c r="D278" i="1"/>
  <c r="F277" i="1"/>
  <c r="E277" i="1"/>
  <c r="D277" i="1"/>
  <c r="F276" i="1"/>
  <c r="E276" i="1"/>
  <c r="D276" i="1"/>
  <c r="F275" i="1"/>
  <c r="E275" i="1"/>
  <c r="D275" i="1"/>
  <c r="F274" i="1"/>
  <c r="E274" i="1"/>
  <c r="D274" i="1"/>
  <c r="F273" i="1"/>
  <c r="E273" i="1"/>
  <c r="D273" i="1"/>
  <c r="F272" i="1"/>
  <c r="E272" i="1"/>
  <c r="D272" i="1"/>
  <c r="F271" i="1"/>
  <c r="E271" i="1"/>
  <c r="D271" i="1"/>
  <c r="F270" i="1"/>
  <c r="E270" i="1"/>
  <c r="D270" i="1"/>
  <c r="F269" i="1"/>
  <c r="E269" i="1"/>
  <c r="D269" i="1"/>
  <c r="B270" i="3" s="1"/>
  <c r="F268" i="1"/>
  <c r="E268" i="1"/>
  <c r="D268" i="1"/>
  <c r="F267" i="1"/>
  <c r="E267" i="1"/>
  <c r="D267" i="1"/>
  <c r="F266" i="1"/>
  <c r="E266" i="1"/>
  <c r="C267" i="3" s="1"/>
  <c r="D266" i="1"/>
  <c r="F265" i="1"/>
  <c r="E265" i="1"/>
  <c r="D265" i="1"/>
  <c r="B266" i="3" s="1"/>
  <c r="F264" i="1"/>
  <c r="E264" i="1"/>
  <c r="D264" i="1"/>
  <c r="F263" i="1"/>
  <c r="E263" i="1"/>
  <c r="D263" i="1"/>
  <c r="F262" i="1"/>
  <c r="E262" i="1"/>
  <c r="C263" i="3" s="1"/>
  <c r="D262" i="1"/>
  <c r="F261" i="1"/>
  <c r="E261" i="1"/>
  <c r="D261" i="1"/>
  <c r="B262" i="3" s="1"/>
  <c r="F260" i="1"/>
  <c r="E260" i="1"/>
  <c r="D260" i="1"/>
  <c r="F259" i="1"/>
  <c r="E259" i="1"/>
  <c r="D259" i="1"/>
  <c r="F258" i="1"/>
  <c r="E258" i="1"/>
  <c r="C259" i="3" s="1"/>
  <c r="D258" i="1"/>
  <c r="F257" i="1"/>
  <c r="E257" i="1"/>
  <c r="D257" i="1"/>
  <c r="B258" i="3" s="1"/>
  <c r="F256" i="1"/>
  <c r="E256" i="1"/>
  <c r="D256" i="1"/>
  <c r="F255" i="1"/>
  <c r="E255" i="1"/>
  <c r="D255" i="1"/>
  <c r="F254" i="1"/>
  <c r="E254" i="1"/>
  <c r="C255" i="3" s="1"/>
  <c r="D254" i="1"/>
  <c r="F253" i="1"/>
  <c r="E253" i="1"/>
  <c r="D253" i="1"/>
  <c r="B254" i="3" s="1"/>
  <c r="F252" i="1"/>
  <c r="E252" i="1"/>
  <c r="D252" i="1"/>
  <c r="F251" i="1"/>
  <c r="E251" i="1"/>
  <c r="D251" i="1"/>
  <c r="F250" i="1"/>
  <c r="E250" i="1"/>
  <c r="C251" i="3" s="1"/>
  <c r="D250" i="1"/>
  <c r="F249" i="1"/>
  <c r="E249" i="1"/>
  <c r="D249" i="1"/>
  <c r="B250" i="3" s="1"/>
  <c r="F248" i="1"/>
  <c r="E248" i="1"/>
  <c r="D248" i="1"/>
  <c r="F247" i="1"/>
  <c r="E247" i="1"/>
  <c r="D247" i="1"/>
  <c r="F246" i="1"/>
  <c r="E246" i="1"/>
  <c r="C247" i="3" s="1"/>
  <c r="D246" i="1"/>
  <c r="F245" i="1"/>
  <c r="E245" i="1"/>
  <c r="D245" i="1"/>
  <c r="B246" i="3" s="1"/>
  <c r="F244" i="1"/>
  <c r="E244" i="1"/>
  <c r="D244" i="1"/>
  <c r="F243" i="1"/>
  <c r="E243" i="1"/>
  <c r="D243" i="1"/>
  <c r="F242" i="1"/>
  <c r="E242" i="1"/>
  <c r="C243" i="3" s="1"/>
  <c r="D242" i="1"/>
  <c r="F241" i="1"/>
  <c r="E241" i="1"/>
  <c r="D241" i="1"/>
  <c r="B242" i="3" s="1"/>
  <c r="F240" i="1"/>
  <c r="E240" i="1"/>
  <c r="D240" i="1"/>
  <c r="F239" i="1"/>
  <c r="E239" i="1"/>
  <c r="D239" i="1"/>
  <c r="F238" i="1"/>
  <c r="E238" i="1"/>
  <c r="C239" i="3" s="1"/>
  <c r="D238" i="1"/>
  <c r="F237" i="1"/>
  <c r="E237" i="1"/>
  <c r="D237" i="1"/>
  <c r="B238" i="3" s="1"/>
  <c r="F236" i="1"/>
  <c r="E236" i="1"/>
  <c r="D236" i="1"/>
  <c r="F235" i="1"/>
  <c r="E235" i="1"/>
  <c r="D235" i="1"/>
  <c r="F234" i="1"/>
  <c r="E234" i="1"/>
  <c r="C235" i="3" s="1"/>
  <c r="D234" i="1"/>
  <c r="F233" i="1"/>
  <c r="E233" i="1"/>
  <c r="D233" i="1"/>
  <c r="B234" i="3" s="1"/>
  <c r="F232" i="1"/>
  <c r="E232" i="1"/>
  <c r="D232" i="1"/>
  <c r="F231" i="1"/>
  <c r="E231" i="1"/>
  <c r="D231" i="1"/>
  <c r="F230" i="1"/>
  <c r="E230" i="1"/>
  <c r="C231" i="3" s="1"/>
  <c r="D230" i="1"/>
  <c r="F229" i="1"/>
  <c r="E229" i="1"/>
  <c r="D229" i="1"/>
  <c r="B230" i="3" s="1"/>
  <c r="F228" i="1"/>
  <c r="E228" i="1"/>
  <c r="D228" i="1"/>
  <c r="F227" i="1"/>
  <c r="E227" i="1"/>
  <c r="D227" i="1"/>
  <c r="F226" i="1"/>
  <c r="E226" i="1"/>
  <c r="C227" i="3" s="1"/>
  <c r="D226" i="1"/>
  <c r="F225" i="1"/>
  <c r="E225" i="1"/>
  <c r="D225" i="1"/>
  <c r="F224" i="1"/>
  <c r="E224" i="1"/>
  <c r="D224" i="1"/>
  <c r="F223" i="1"/>
  <c r="E223" i="1"/>
  <c r="D223" i="1"/>
  <c r="F222" i="1"/>
  <c r="E222" i="1"/>
  <c r="C223" i="3" s="1"/>
  <c r="D222" i="1"/>
  <c r="F221" i="1"/>
  <c r="E221" i="1"/>
  <c r="D221" i="1"/>
  <c r="B222" i="3" s="1"/>
  <c r="F220" i="1"/>
  <c r="E220" i="1"/>
  <c r="D220" i="1"/>
  <c r="F219" i="1"/>
  <c r="E219" i="1"/>
  <c r="D219" i="1"/>
  <c r="F218" i="1"/>
  <c r="E218" i="1"/>
  <c r="C219" i="3" s="1"/>
  <c r="D218" i="1"/>
  <c r="F217" i="1"/>
  <c r="E217" i="1"/>
  <c r="D217" i="1"/>
  <c r="B218" i="3" s="1"/>
  <c r="F216" i="1"/>
  <c r="E216" i="1"/>
  <c r="D216" i="1"/>
  <c r="F215" i="1"/>
  <c r="E215" i="1"/>
  <c r="D215" i="1"/>
  <c r="F214" i="1"/>
  <c r="E214" i="1"/>
  <c r="C215" i="3" s="1"/>
  <c r="D214" i="1"/>
  <c r="F213" i="1"/>
  <c r="E213" i="1"/>
  <c r="D213" i="1"/>
  <c r="B214" i="3" s="1"/>
  <c r="F212" i="1"/>
  <c r="E212" i="1"/>
  <c r="D212" i="1"/>
  <c r="F211" i="1"/>
  <c r="E211" i="1"/>
  <c r="D211" i="1"/>
  <c r="F210" i="1"/>
  <c r="E210" i="1"/>
  <c r="C211" i="3" s="1"/>
  <c r="D210" i="1"/>
  <c r="F209" i="1"/>
  <c r="E209" i="1"/>
  <c r="D209" i="1"/>
  <c r="B210" i="3" s="1"/>
  <c r="F208" i="1"/>
  <c r="E208" i="1"/>
  <c r="D208" i="1"/>
  <c r="F207" i="1"/>
  <c r="E207" i="1"/>
  <c r="D207" i="1"/>
  <c r="F206" i="1"/>
  <c r="E206" i="1"/>
  <c r="C207" i="3" s="1"/>
  <c r="D206" i="1"/>
  <c r="F205" i="1"/>
  <c r="E205" i="1"/>
  <c r="D205" i="1"/>
  <c r="B206" i="3" s="1"/>
  <c r="F204" i="1"/>
  <c r="E204" i="1"/>
  <c r="D204" i="1"/>
  <c r="F203" i="1"/>
  <c r="E203" i="1"/>
  <c r="D203" i="1"/>
  <c r="F202" i="1"/>
  <c r="E202" i="1"/>
  <c r="C203" i="3" s="1"/>
  <c r="D202" i="1"/>
  <c r="F201" i="1"/>
  <c r="E201" i="1"/>
  <c r="D201" i="1"/>
  <c r="B202" i="3" s="1"/>
  <c r="F200" i="1"/>
  <c r="E200" i="1"/>
  <c r="D200" i="1"/>
  <c r="F199" i="1"/>
  <c r="E199" i="1"/>
  <c r="D199" i="1"/>
  <c r="F198" i="1"/>
  <c r="E198" i="1"/>
  <c r="C199" i="3" s="1"/>
  <c r="D198" i="1"/>
  <c r="F197" i="1"/>
  <c r="E197" i="1"/>
  <c r="D197" i="1"/>
  <c r="B198" i="3" s="1"/>
  <c r="F196" i="1"/>
  <c r="E196" i="1"/>
  <c r="D196" i="1"/>
  <c r="F195" i="1"/>
  <c r="E195" i="1"/>
  <c r="D195" i="1"/>
  <c r="F194" i="1"/>
  <c r="E194" i="1"/>
  <c r="C195" i="3" s="1"/>
  <c r="D194" i="1"/>
  <c r="F193" i="1"/>
  <c r="E193" i="1"/>
  <c r="D193" i="1"/>
  <c r="B194" i="3" s="1"/>
  <c r="F192" i="1"/>
  <c r="E192" i="1"/>
  <c r="D192" i="1"/>
  <c r="F191" i="1"/>
  <c r="E191" i="1"/>
  <c r="D191" i="1"/>
  <c r="F190" i="1"/>
  <c r="E190" i="1"/>
  <c r="C191" i="3" s="1"/>
  <c r="D190" i="1"/>
  <c r="F189" i="1"/>
  <c r="E189" i="1"/>
  <c r="D189" i="1"/>
  <c r="F188" i="1"/>
  <c r="E188" i="1"/>
  <c r="D188" i="1"/>
  <c r="F187" i="1"/>
  <c r="E187" i="1"/>
  <c r="D187" i="1"/>
  <c r="F186" i="1"/>
  <c r="E186" i="1"/>
  <c r="C187" i="3" s="1"/>
  <c r="D186" i="1"/>
  <c r="F185" i="1"/>
  <c r="E185" i="1"/>
  <c r="D185" i="1"/>
  <c r="B186" i="3" s="1"/>
  <c r="F184" i="1"/>
  <c r="E184" i="1"/>
  <c r="D184" i="1"/>
  <c r="F183" i="1"/>
  <c r="E183" i="1"/>
  <c r="D183" i="1"/>
  <c r="F182" i="1"/>
  <c r="E182" i="1"/>
  <c r="C183" i="3" s="1"/>
  <c r="D182" i="1"/>
  <c r="F181" i="1"/>
  <c r="E181" i="1"/>
  <c r="D181" i="1"/>
  <c r="B182" i="3" s="1"/>
  <c r="F180" i="1"/>
  <c r="E180" i="1"/>
  <c r="D180" i="1"/>
  <c r="F179" i="1"/>
  <c r="E179" i="1"/>
  <c r="D179" i="1"/>
  <c r="F178" i="1"/>
  <c r="E178" i="1"/>
  <c r="C179" i="3" s="1"/>
  <c r="D178" i="1"/>
  <c r="F177" i="1"/>
  <c r="E177" i="1"/>
  <c r="D177" i="1"/>
  <c r="B178" i="3" s="1"/>
  <c r="F176" i="1"/>
  <c r="E176" i="1"/>
  <c r="D176" i="1"/>
  <c r="F175" i="1"/>
  <c r="E175" i="1"/>
  <c r="D175" i="1"/>
  <c r="F174" i="1"/>
  <c r="E174" i="1"/>
  <c r="C175" i="3" s="1"/>
  <c r="D174" i="1"/>
  <c r="F173" i="1"/>
  <c r="E173" i="1"/>
  <c r="D173" i="1"/>
  <c r="B174" i="3" s="1"/>
  <c r="F172" i="1"/>
  <c r="E172" i="1"/>
  <c r="D172" i="1"/>
  <c r="F171" i="1"/>
  <c r="E171" i="1"/>
  <c r="D171" i="1"/>
  <c r="F170" i="1"/>
  <c r="E170" i="1"/>
  <c r="D170" i="1"/>
  <c r="F169" i="1"/>
  <c r="E169" i="1"/>
  <c r="D169" i="1"/>
  <c r="B170" i="3" s="1"/>
  <c r="F168" i="1"/>
  <c r="E168" i="1"/>
  <c r="D168" i="1"/>
  <c r="F167" i="1"/>
  <c r="E167" i="1"/>
  <c r="D167" i="1"/>
  <c r="F166" i="1"/>
  <c r="E166" i="1"/>
  <c r="D166" i="1"/>
  <c r="F165" i="1"/>
  <c r="E165" i="1"/>
  <c r="D165" i="1"/>
  <c r="B166" i="3" s="1"/>
  <c r="F164" i="1"/>
  <c r="E164" i="1"/>
  <c r="D164" i="1"/>
  <c r="F163" i="1"/>
  <c r="E163" i="1"/>
  <c r="D163" i="1"/>
  <c r="F162" i="1"/>
  <c r="E162" i="1"/>
  <c r="C163" i="3" s="1"/>
  <c r="D162" i="1"/>
  <c r="F161" i="1"/>
  <c r="E161" i="1"/>
  <c r="D161" i="1"/>
  <c r="B162" i="3" s="1"/>
  <c r="F160" i="1"/>
  <c r="E160" i="1"/>
  <c r="D160" i="1"/>
  <c r="F159" i="1"/>
  <c r="E159" i="1"/>
  <c r="D159" i="1"/>
  <c r="F158" i="1"/>
  <c r="E158" i="1"/>
  <c r="C159" i="3" s="1"/>
  <c r="D158" i="1"/>
  <c r="F157" i="1"/>
  <c r="E157" i="1"/>
  <c r="D157" i="1"/>
  <c r="B158" i="3" s="1"/>
  <c r="F156" i="1"/>
  <c r="E156" i="1"/>
  <c r="D156" i="1"/>
  <c r="F155" i="1"/>
  <c r="E155" i="1"/>
  <c r="D155" i="1"/>
  <c r="F154" i="1"/>
  <c r="E154" i="1"/>
  <c r="C155" i="3" s="1"/>
  <c r="D154" i="1"/>
  <c r="F153" i="1"/>
  <c r="E153" i="1"/>
  <c r="D153" i="1"/>
  <c r="B154" i="3" s="1"/>
  <c r="F152" i="1"/>
  <c r="E152" i="1"/>
  <c r="D152" i="1"/>
  <c r="F151" i="1"/>
  <c r="E151" i="1"/>
  <c r="D151" i="1"/>
  <c r="F150" i="1"/>
  <c r="E150" i="1"/>
  <c r="C151" i="3" s="1"/>
  <c r="D150" i="1"/>
  <c r="F149" i="1"/>
  <c r="E149" i="1"/>
  <c r="D149" i="1"/>
  <c r="B150" i="3" s="1"/>
  <c r="F148" i="1"/>
  <c r="E148" i="1"/>
  <c r="D148" i="1"/>
  <c r="F147" i="1"/>
  <c r="E147" i="1"/>
  <c r="D147" i="1"/>
  <c r="F146" i="1"/>
  <c r="E146" i="1"/>
  <c r="D146" i="1"/>
  <c r="F145" i="1"/>
  <c r="E145" i="1"/>
  <c r="D145" i="1"/>
  <c r="B146" i="3" s="1"/>
  <c r="F144" i="1"/>
  <c r="E144" i="1"/>
  <c r="D144" i="1"/>
  <c r="F143" i="1"/>
  <c r="E143" i="1"/>
  <c r="D143" i="1"/>
  <c r="F142" i="1"/>
  <c r="E142" i="1"/>
  <c r="C143" i="3" s="1"/>
  <c r="D142" i="1"/>
  <c r="F141" i="1"/>
  <c r="E141" i="1"/>
  <c r="D141" i="1"/>
  <c r="B142" i="3" s="1"/>
  <c r="F140" i="1"/>
  <c r="E140" i="1"/>
  <c r="D140" i="1"/>
  <c r="F139" i="1"/>
  <c r="E139" i="1"/>
  <c r="D139" i="1"/>
  <c r="F138" i="1"/>
  <c r="E138" i="1"/>
  <c r="D138" i="1"/>
  <c r="F137" i="1"/>
  <c r="E137" i="1"/>
  <c r="D137" i="1"/>
  <c r="B138" i="3" s="1"/>
  <c r="F136" i="1"/>
  <c r="E136" i="1"/>
  <c r="D136" i="1"/>
  <c r="F135" i="1"/>
  <c r="E135" i="1"/>
  <c r="D135" i="1"/>
  <c r="F134" i="1"/>
  <c r="E134" i="1"/>
  <c r="C135" i="3" s="1"/>
  <c r="D134" i="1"/>
  <c r="F133" i="1"/>
  <c r="E133" i="1"/>
  <c r="D133" i="1"/>
  <c r="B134" i="3" s="1"/>
  <c r="F132" i="1"/>
  <c r="E132" i="1"/>
  <c r="D132" i="1"/>
  <c r="F131" i="1"/>
  <c r="E131" i="1"/>
  <c r="D131" i="1"/>
  <c r="F130" i="1"/>
  <c r="E130" i="1"/>
  <c r="C131" i="3" s="1"/>
  <c r="D130" i="1"/>
  <c r="F129" i="1"/>
  <c r="E129" i="1"/>
  <c r="D129" i="1"/>
  <c r="B130" i="3" s="1"/>
  <c r="F128" i="1"/>
  <c r="E128" i="1"/>
  <c r="D128" i="1"/>
  <c r="F127" i="1"/>
  <c r="E127" i="1"/>
  <c r="D127" i="1"/>
  <c r="F126" i="1"/>
  <c r="E126" i="1"/>
  <c r="C127" i="3" s="1"/>
  <c r="D126" i="1"/>
  <c r="F125" i="1"/>
  <c r="E125" i="1"/>
  <c r="D125" i="1"/>
  <c r="B126" i="3" s="1"/>
  <c r="F124" i="1"/>
  <c r="E124" i="1"/>
  <c r="D124" i="1"/>
  <c r="F123" i="1"/>
  <c r="E123" i="1"/>
  <c r="D123" i="1"/>
  <c r="F122" i="1"/>
  <c r="E122" i="1"/>
  <c r="C123" i="3" s="1"/>
  <c r="D122" i="1"/>
  <c r="F121" i="1"/>
  <c r="E121" i="1"/>
  <c r="D121" i="1"/>
  <c r="B122" i="3" s="1"/>
  <c r="F120" i="1"/>
  <c r="E120" i="1"/>
  <c r="D120" i="1"/>
  <c r="F119" i="1"/>
  <c r="E119" i="1"/>
  <c r="D119" i="1"/>
  <c r="F118" i="1"/>
  <c r="E118" i="1"/>
  <c r="C119" i="3" s="1"/>
  <c r="D118" i="1"/>
  <c r="F117" i="1"/>
  <c r="E117" i="1"/>
  <c r="D117" i="1"/>
  <c r="B118" i="3" s="1"/>
  <c r="F116" i="1"/>
  <c r="E116" i="1"/>
  <c r="D116" i="1"/>
  <c r="F115" i="1"/>
  <c r="E115" i="1"/>
  <c r="D115" i="1"/>
  <c r="F114" i="1"/>
  <c r="E114" i="1"/>
  <c r="C115" i="3" s="1"/>
  <c r="D114" i="1"/>
  <c r="F113" i="1"/>
  <c r="E113" i="1"/>
  <c r="D113" i="1"/>
  <c r="B114" i="3" s="1"/>
  <c r="F112" i="1"/>
  <c r="E112" i="1"/>
  <c r="D112" i="1"/>
  <c r="F111" i="1"/>
  <c r="E111" i="1"/>
  <c r="D111" i="1"/>
  <c r="F110" i="1"/>
  <c r="E110" i="1"/>
  <c r="C111" i="3" s="1"/>
  <c r="D110" i="1"/>
  <c r="F109" i="1"/>
  <c r="E109" i="1"/>
  <c r="D109" i="1"/>
  <c r="B110" i="3" s="1"/>
  <c r="F108" i="1"/>
  <c r="E108" i="1"/>
  <c r="D108" i="1"/>
  <c r="F107" i="1"/>
  <c r="E107" i="1"/>
  <c r="D107" i="1"/>
  <c r="F106" i="1"/>
  <c r="E106" i="1"/>
  <c r="C107" i="3" s="1"/>
  <c r="D106" i="1"/>
  <c r="F105" i="1"/>
  <c r="E105" i="1"/>
  <c r="D105" i="1"/>
  <c r="F104" i="1"/>
  <c r="E104" i="1"/>
  <c r="D104" i="1"/>
  <c r="F103" i="1"/>
  <c r="E103" i="1"/>
  <c r="D103" i="1"/>
  <c r="F102" i="1"/>
  <c r="E102" i="1"/>
  <c r="C103" i="3" s="1"/>
  <c r="D102" i="1"/>
  <c r="F101" i="1"/>
  <c r="E101" i="1"/>
  <c r="D101" i="1"/>
  <c r="F100" i="1"/>
  <c r="E100" i="1"/>
  <c r="D100" i="1"/>
  <c r="F99" i="1"/>
  <c r="E99" i="1"/>
  <c r="D99" i="1"/>
  <c r="F98" i="1"/>
  <c r="E98" i="1"/>
  <c r="C99" i="3" s="1"/>
  <c r="D98" i="1"/>
  <c r="F97" i="1"/>
  <c r="E97" i="1"/>
  <c r="D97" i="1"/>
  <c r="F96" i="1"/>
  <c r="E96" i="1"/>
  <c r="D96" i="1"/>
  <c r="F95" i="1"/>
  <c r="E95" i="1"/>
  <c r="D95" i="1"/>
  <c r="F94" i="1"/>
  <c r="E94" i="1"/>
  <c r="C95" i="3" s="1"/>
  <c r="D94" i="1"/>
  <c r="F93" i="1"/>
  <c r="E93" i="1"/>
  <c r="D93" i="1"/>
  <c r="F92" i="1"/>
  <c r="E92" i="1"/>
  <c r="D92" i="1"/>
  <c r="F91" i="1"/>
  <c r="E91" i="1"/>
  <c r="D91" i="1"/>
  <c r="F90" i="1"/>
  <c r="E90" i="1"/>
  <c r="C91" i="3" s="1"/>
  <c r="D90" i="1"/>
  <c r="F89" i="1"/>
  <c r="E89" i="1"/>
  <c r="D89" i="1"/>
  <c r="F88" i="1"/>
  <c r="E88" i="1"/>
  <c r="D88" i="1"/>
  <c r="F87" i="1"/>
  <c r="E87" i="1"/>
  <c r="D87" i="1"/>
  <c r="F86" i="1"/>
  <c r="E86" i="1"/>
  <c r="C87" i="3" s="1"/>
  <c r="D86" i="1"/>
  <c r="F85" i="1"/>
  <c r="E85" i="1"/>
  <c r="D85" i="1"/>
  <c r="F84" i="1"/>
  <c r="E84" i="1"/>
  <c r="D84" i="1"/>
  <c r="F83" i="1"/>
  <c r="E83" i="1"/>
  <c r="D83" i="1"/>
  <c r="F82" i="1"/>
  <c r="E82" i="1"/>
  <c r="C83" i="3" s="1"/>
  <c r="D82" i="1"/>
  <c r="F81" i="1"/>
  <c r="E81" i="1"/>
  <c r="D81" i="1"/>
  <c r="F80" i="1"/>
  <c r="E80" i="1"/>
  <c r="D80" i="1"/>
  <c r="F79" i="1"/>
  <c r="E79" i="1"/>
  <c r="D79" i="1"/>
  <c r="F78" i="1"/>
  <c r="E78" i="1"/>
  <c r="C79" i="3" s="1"/>
  <c r="D78" i="1"/>
  <c r="F77" i="1"/>
  <c r="E77" i="1"/>
  <c r="D77" i="1"/>
  <c r="B78" i="3" s="1"/>
  <c r="F76" i="1"/>
  <c r="E76" i="1"/>
  <c r="D76" i="1"/>
  <c r="F75" i="1"/>
  <c r="E75" i="1"/>
  <c r="D75" i="1"/>
  <c r="F74" i="1"/>
  <c r="E74" i="1"/>
  <c r="C75" i="3" s="1"/>
  <c r="D74" i="1"/>
  <c r="F73" i="1"/>
  <c r="E73" i="1"/>
  <c r="D73" i="1"/>
  <c r="B74" i="3" s="1"/>
  <c r="F72" i="1"/>
  <c r="E72" i="1"/>
  <c r="D72" i="1"/>
  <c r="F71" i="1"/>
  <c r="E71" i="1"/>
  <c r="D71" i="1"/>
  <c r="F70" i="1"/>
  <c r="E70" i="1"/>
  <c r="C71" i="3" s="1"/>
  <c r="D70" i="1"/>
  <c r="F69" i="1"/>
  <c r="E69" i="1"/>
  <c r="D69" i="1"/>
  <c r="B70" i="3" s="1"/>
  <c r="F68" i="1"/>
  <c r="E68" i="1"/>
  <c r="D68" i="1"/>
  <c r="F67" i="1"/>
  <c r="E67" i="1"/>
  <c r="D67" i="1"/>
  <c r="F66" i="1"/>
  <c r="E66" i="1"/>
  <c r="C67" i="3" s="1"/>
  <c r="D66" i="1"/>
  <c r="F65" i="1"/>
  <c r="E65" i="1"/>
  <c r="D65" i="1"/>
  <c r="B66" i="3" s="1"/>
  <c r="F64" i="1"/>
  <c r="E64" i="1"/>
  <c r="D64" i="1"/>
  <c r="F63" i="1"/>
  <c r="E63" i="1"/>
  <c r="D63" i="1"/>
  <c r="F62" i="1"/>
  <c r="E62" i="1"/>
  <c r="C63" i="3" s="1"/>
  <c r="D62" i="1"/>
  <c r="F61" i="1"/>
  <c r="E61" i="1"/>
  <c r="D61" i="1"/>
  <c r="B62" i="3" s="1"/>
  <c r="F60" i="1"/>
  <c r="E60" i="1"/>
  <c r="D60" i="1"/>
  <c r="F59" i="1"/>
  <c r="E59" i="1"/>
  <c r="D59" i="1"/>
  <c r="F58" i="1"/>
  <c r="E58" i="1"/>
  <c r="C59" i="3" s="1"/>
  <c r="D58" i="1"/>
  <c r="F57" i="1"/>
  <c r="E57" i="1"/>
  <c r="D57" i="1"/>
  <c r="B58" i="3" s="1"/>
  <c r="F56" i="1"/>
  <c r="E56" i="1"/>
  <c r="D56" i="1"/>
  <c r="F55" i="1"/>
  <c r="E55" i="1"/>
  <c r="D55" i="1"/>
  <c r="F54" i="1"/>
  <c r="E54" i="1"/>
  <c r="C55" i="3" s="1"/>
  <c r="D54" i="1"/>
  <c r="F53" i="1"/>
  <c r="E53" i="1"/>
  <c r="D53" i="1"/>
  <c r="B54" i="3" s="1"/>
  <c r="F52" i="1"/>
  <c r="E52" i="1"/>
  <c r="D52" i="1"/>
  <c r="F51" i="1"/>
  <c r="E51" i="1"/>
  <c r="D51" i="1"/>
  <c r="F50" i="1"/>
  <c r="E50" i="1"/>
  <c r="C51" i="3" s="1"/>
  <c r="D50" i="1"/>
  <c r="F49" i="1"/>
  <c r="E49" i="1"/>
  <c r="D49" i="1"/>
  <c r="B50" i="3" s="1"/>
  <c r="F48" i="1"/>
  <c r="E48" i="1"/>
  <c r="D48" i="1"/>
  <c r="F47" i="1"/>
  <c r="E47" i="1"/>
  <c r="D47" i="1"/>
  <c r="F46" i="1"/>
  <c r="E46" i="1"/>
  <c r="C47" i="3" s="1"/>
  <c r="D46" i="1"/>
  <c r="F45" i="1"/>
  <c r="E45" i="1"/>
  <c r="D45" i="1"/>
  <c r="B46" i="3" s="1"/>
  <c r="F44" i="1"/>
  <c r="E44" i="1"/>
  <c r="D44" i="1"/>
  <c r="F43" i="1"/>
  <c r="E43" i="1"/>
  <c r="D43" i="1"/>
  <c r="F42" i="1"/>
  <c r="E42" i="1"/>
  <c r="C43" i="3" s="1"/>
  <c r="D42" i="1"/>
  <c r="F41" i="1"/>
  <c r="E41" i="1"/>
  <c r="D41" i="1"/>
  <c r="B42" i="3" s="1"/>
  <c r="F40" i="1"/>
  <c r="E40" i="1"/>
  <c r="D40" i="1"/>
  <c r="F39" i="1"/>
  <c r="E39" i="1"/>
  <c r="D39" i="1"/>
  <c r="F38" i="1"/>
  <c r="E38" i="1"/>
  <c r="C39" i="3" s="1"/>
  <c r="D38" i="1"/>
  <c r="F37" i="1"/>
  <c r="E37" i="1"/>
  <c r="D37" i="1"/>
  <c r="B38" i="3" s="1"/>
  <c r="F36" i="1"/>
  <c r="E36" i="1"/>
  <c r="D36" i="1"/>
  <c r="F35" i="1"/>
  <c r="E35" i="1"/>
  <c r="D35" i="1"/>
  <c r="F34" i="1"/>
  <c r="E34" i="1"/>
  <c r="C35" i="3" s="1"/>
  <c r="D34" i="1"/>
  <c r="F33" i="1"/>
  <c r="E33" i="1"/>
  <c r="D33" i="1"/>
  <c r="B34" i="3" s="1"/>
  <c r="F32" i="1"/>
  <c r="E32" i="1"/>
  <c r="D32" i="1"/>
  <c r="F31" i="1"/>
  <c r="E31" i="1"/>
  <c r="D31" i="1"/>
  <c r="F30" i="1"/>
  <c r="E30" i="1"/>
  <c r="C31" i="3" s="1"/>
  <c r="D30" i="1"/>
  <c r="F29" i="1"/>
  <c r="E29" i="1"/>
  <c r="D29" i="1"/>
  <c r="B30" i="3" s="1"/>
  <c r="F28" i="1"/>
  <c r="E28" i="1"/>
  <c r="D28" i="1"/>
  <c r="F27" i="1"/>
  <c r="E27" i="1"/>
  <c r="D27" i="1"/>
  <c r="F26" i="1"/>
  <c r="E26" i="1"/>
  <c r="C27" i="3" s="1"/>
  <c r="D26" i="1"/>
  <c r="F25" i="1"/>
  <c r="E25" i="1"/>
  <c r="D25" i="1"/>
  <c r="B26" i="3" s="1"/>
  <c r="F24" i="1"/>
  <c r="E24" i="1"/>
  <c r="D24" i="1"/>
  <c r="F23" i="1"/>
  <c r="E23" i="1"/>
  <c r="D23" i="1"/>
  <c r="F22" i="1"/>
  <c r="E22" i="1"/>
  <c r="C23" i="3" s="1"/>
  <c r="D22" i="1"/>
  <c r="F21" i="1"/>
  <c r="E21" i="1"/>
  <c r="D21" i="1"/>
  <c r="B22" i="3" s="1"/>
  <c r="F20" i="1"/>
  <c r="E20" i="1"/>
  <c r="D20" i="1"/>
  <c r="F19" i="1"/>
  <c r="E19" i="1"/>
  <c r="D19" i="1"/>
  <c r="F18" i="1"/>
  <c r="E18" i="1"/>
  <c r="C19" i="3" s="1"/>
  <c r="D18" i="1"/>
  <c r="F17" i="1"/>
  <c r="E17" i="1"/>
  <c r="D17" i="1"/>
  <c r="B18" i="3" s="1"/>
  <c r="F16" i="1"/>
  <c r="E16" i="1"/>
  <c r="D16" i="1"/>
  <c r="F15" i="1"/>
  <c r="E15" i="1"/>
  <c r="D15" i="1"/>
  <c r="F14" i="1"/>
  <c r="E14" i="1"/>
  <c r="C15" i="3" s="1"/>
  <c r="D14" i="1"/>
  <c r="F13" i="1"/>
  <c r="E13" i="1"/>
  <c r="D13" i="1"/>
  <c r="B14" i="3" s="1"/>
  <c r="F12" i="1"/>
  <c r="E12" i="1"/>
  <c r="D12" i="1"/>
  <c r="F11" i="1"/>
  <c r="E11" i="1"/>
  <c r="D11" i="1"/>
  <c r="F10" i="1"/>
  <c r="E10" i="1"/>
  <c r="C11" i="3" s="1"/>
  <c r="D10" i="1"/>
  <c r="F9" i="1"/>
  <c r="E9" i="1"/>
  <c r="D9" i="1"/>
  <c r="B10" i="3" s="1"/>
  <c r="F8" i="1"/>
  <c r="E8" i="1"/>
  <c r="D8" i="1"/>
  <c r="F7" i="1"/>
  <c r="E7" i="1"/>
  <c r="D7" i="1"/>
  <c r="F6" i="1"/>
  <c r="E6" i="1"/>
  <c r="C7" i="3" s="1"/>
  <c r="D6" i="1"/>
  <c r="F5" i="1"/>
  <c r="E5" i="1"/>
  <c r="D5" i="1"/>
  <c r="B6" i="3" s="1"/>
  <c r="F4" i="1"/>
  <c r="E4" i="1"/>
  <c r="D4" i="1"/>
  <c r="F3" i="1"/>
  <c r="I9" i="2" s="1" a="1"/>
  <c r="I9" i="2" s="1"/>
  <c r="E3" i="1"/>
  <c r="D3" i="1"/>
  <c r="F2" i="1"/>
  <c r="D6" i="2" l="1"/>
  <c r="B190" i="3"/>
  <c r="B278" i="3"/>
  <c r="B378" i="3"/>
  <c r="B386" i="3"/>
  <c r="B394" i="3"/>
  <c r="C171" i="3"/>
  <c r="C275" i="3"/>
  <c r="C283" i="3"/>
  <c r="C291" i="3"/>
  <c r="E16" i="2"/>
  <c r="F16" i="2"/>
  <c r="B4" i="3"/>
  <c r="D16" i="2"/>
  <c r="C16" i="2"/>
  <c r="I16" i="2"/>
  <c r="H16" i="2"/>
  <c r="G16" i="2"/>
  <c r="B12" i="3"/>
  <c r="B28" i="3"/>
  <c r="B36" i="3"/>
  <c r="B44" i="3"/>
  <c r="B52" i="3"/>
  <c r="B60" i="3"/>
  <c r="B72" i="3"/>
  <c r="B80" i="3"/>
  <c r="B92" i="3"/>
  <c r="B100" i="3"/>
  <c r="B108" i="3"/>
  <c r="B120" i="3"/>
  <c r="B128" i="3"/>
  <c r="B136" i="3"/>
  <c r="B148" i="3"/>
  <c r="B156" i="3"/>
  <c r="B164" i="3"/>
  <c r="B176" i="3"/>
  <c r="B184" i="3"/>
  <c r="B192" i="3"/>
  <c r="B200" i="3"/>
  <c r="B208" i="3"/>
  <c r="B220" i="3"/>
  <c r="B228" i="3"/>
  <c r="B236" i="3"/>
  <c r="B248" i="3"/>
  <c r="B256" i="3"/>
  <c r="B264" i="3"/>
  <c r="B272" i="3"/>
  <c r="B280" i="3"/>
  <c r="B288" i="3"/>
  <c r="B300" i="3"/>
  <c r="B308" i="3"/>
  <c r="B316" i="3"/>
  <c r="B324" i="3"/>
  <c r="B332" i="3"/>
  <c r="B344" i="3"/>
  <c r="B352" i="3"/>
  <c r="B360" i="3"/>
  <c r="B372" i="3"/>
  <c r="B380" i="3"/>
  <c r="B388" i="3"/>
  <c r="B400" i="3"/>
  <c r="B408" i="3"/>
  <c r="B416" i="3"/>
  <c r="G17" i="2"/>
  <c r="C4" i="3"/>
  <c r="I17" i="2"/>
  <c r="H17" i="2"/>
  <c r="F17" i="2"/>
  <c r="C17" i="2"/>
  <c r="E17" i="2"/>
  <c r="D17" i="2"/>
  <c r="C12" i="3"/>
  <c r="C20" i="3"/>
  <c r="C32" i="3"/>
  <c r="C44" i="3"/>
  <c r="C52" i="3"/>
  <c r="C60" i="3"/>
  <c r="C68" i="3"/>
  <c r="C76" i="3"/>
  <c r="C84" i="3"/>
  <c r="C96" i="3"/>
  <c r="C104" i="3"/>
  <c r="C112" i="3"/>
  <c r="C124" i="3"/>
  <c r="C132" i="3"/>
  <c r="C140" i="3"/>
  <c r="C148" i="3"/>
  <c r="C156" i="3"/>
  <c r="C164" i="3"/>
  <c r="C180" i="3"/>
  <c r="C188" i="3"/>
  <c r="C196" i="3"/>
  <c r="C204" i="3"/>
  <c r="C212" i="3"/>
  <c r="C224" i="3"/>
  <c r="C232" i="3"/>
  <c r="C240" i="3"/>
  <c r="C252" i="3"/>
  <c r="C260" i="3"/>
  <c r="C268" i="3"/>
  <c r="C276" i="3"/>
  <c r="C280" i="3"/>
  <c r="C288" i="3"/>
  <c r="C296" i="3"/>
  <c r="C304" i="3"/>
  <c r="C312" i="3"/>
  <c r="C324" i="3"/>
  <c r="C336" i="3"/>
  <c r="C360" i="3"/>
  <c r="B86" i="3"/>
  <c r="B98" i="3"/>
  <c r="B226" i="3"/>
  <c r="B274" i="3"/>
  <c r="B282" i="3"/>
  <c r="B374" i="3"/>
  <c r="B382" i="3"/>
  <c r="B390" i="3"/>
  <c r="B398" i="3"/>
  <c r="C139" i="3"/>
  <c r="C138" i="3"/>
  <c r="C147" i="3"/>
  <c r="C167" i="3"/>
  <c r="C271" i="3"/>
  <c r="C279" i="3"/>
  <c r="C287" i="3"/>
  <c r="C295" i="3"/>
  <c r="C347" i="3"/>
  <c r="C351" i="3"/>
  <c r="C355" i="3"/>
  <c r="C359" i="3"/>
  <c r="C363" i="3"/>
  <c r="C367" i="3"/>
  <c r="C172" i="3"/>
  <c r="B8" i="3"/>
  <c r="B16" i="3"/>
  <c r="B24" i="3"/>
  <c r="B32" i="3"/>
  <c r="B40" i="3"/>
  <c r="B48" i="3"/>
  <c r="B56" i="3"/>
  <c r="B64" i="3"/>
  <c r="B68" i="3"/>
  <c r="B76" i="3"/>
  <c r="B88" i="3"/>
  <c r="B96" i="3"/>
  <c r="B104" i="3"/>
  <c r="B112" i="3"/>
  <c r="B124" i="3"/>
  <c r="B132" i="3"/>
  <c r="B140" i="3"/>
  <c r="B144" i="3"/>
  <c r="B152" i="3"/>
  <c r="B160" i="3"/>
  <c r="B168" i="3"/>
  <c r="B172" i="3"/>
  <c r="B180" i="3"/>
  <c r="B188" i="3"/>
  <c r="B196" i="3"/>
  <c r="B204" i="3"/>
  <c r="B212" i="3"/>
  <c r="B216" i="3"/>
  <c r="B224" i="3"/>
  <c r="B232" i="3"/>
  <c r="B240" i="3"/>
  <c r="B244" i="3"/>
  <c r="B252" i="3"/>
  <c r="B260" i="3"/>
  <c r="B268" i="3"/>
  <c r="B276" i="3"/>
  <c r="B284" i="3"/>
  <c r="B292" i="3"/>
  <c r="B296" i="3"/>
  <c r="B304" i="3"/>
  <c r="B312" i="3"/>
  <c r="B320" i="3"/>
  <c r="B328" i="3"/>
  <c r="B336" i="3"/>
  <c r="B340" i="3"/>
  <c r="B348" i="3"/>
  <c r="B356" i="3"/>
  <c r="B364" i="3"/>
  <c r="B368" i="3"/>
  <c r="B376" i="3"/>
  <c r="B384" i="3"/>
  <c r="B392" i="3"/>
  <c r="B396" i="3"/>
  <c r="B404" i="3"/>
  <c r="B412" i="3"/>
  <c r="B420" i="3"/>
  <c r="B664" i="3"/>
  <c r="B680" i="3"/>
  <c r="B684" i="3"/>
  <c r="B688" i="3"/>
  <c r="B692" i="3"/>
  <c r="C8" i="3"/>
  <c r="C16" i="3"/>
  <c r="C24" i="3"/>
  <c r="C28" i="3"/>
  <c r="C36" i="3"/>
  <c r="C40" i="3"/>
  <c r="C48" i="3"/>
  <c r="C56" i="3"/>
  <c r="C64" i="3"/>
  <c r="C72" i="3"/>
  <c r="C80" i="3"/>
  <c r="C88" i="3"/>
  <c r="C92" i="3"/>
  <c r="C100" i="3"/>
  <c r="C108" i="3"/>
  <c r="C116" i="3"/>
  <c r="C120" i="3"/>
  <c r="C128" i="3"/>
  <c r="C136" i="3"/>
  <c r="C144" i="3"/>
  <c r="C152" i="3"/>
  <c r="C160" i="3"/>
  <c r="C168" i="3"/>
  <c r="C176" i="3"/>
  <c r="C184" i="3"/>
  <c r="C192" i="3"/>
  <c r="C200" i="3"/>
  <c r="C208" i="3"/>
  <c r="C216" i="3"/>
  <c r="C220" i="3"/>
  <c r="C228" i="3"/>
  <c r="C236" i="3"/>
  <c r="C244" i="3"/>
  <c r="C248" i="3"/>
  <c r="C256" i="3"/>
  <c r="C264" i="3"/>
  <c r="C272" i="3"/>
  <c r="C284" i="3"/>
  <c r="C292" i="3"/>
  <c r="C300" i="3"/>
  <c r="C308" i="3"/>
  <c r="C316" i="3"/>
  <c r="C320" i="3"/>
  <c r="C328" i="3"/>
  <c r="C332" i="3"/>
  <c r="C340" i="3"/>
  <c r="C344" i="3"/>
  <c r="C348" i="3"/>
  <c r="C352" i="3"/>
  <c r="C356" i="3"/>
  <c r="C364" i="3"/>
  <c r="C368" i="3"/>
  <c r="C372" i="3"/>
  <c r="C376" i="3"/>
  <c r="C10" i="2"/>
  <c r="C4" i="2"/>
  <c r="C11" i="2"/>
  <c r="C5" i="2"/>
  <c r="C12" i="2"/>
  <c r="C6" i="2"/>
  <c r="C14" i="2"/>
  <c r="C8" i="2"/>
  <c r="C7" i="2"/>
  <c r="C9" i="2"/>
  <c r="C15" i="2"/>
  <c r="C13" i="2"/>
  <c r="H6" i="2" a="1"/>
  <c r="H6" i="2" s="1"/>
  <c r="G15" i="2"/>
  <c r="G9" i="2"/>
  <c r="E8" i="2" a="1"/>
  <c r="E8" i="2" s="1"/>
  <c r="D8" i="2"/>
  <c r="E6" i="2" a="1"/>
  <c r="E6" i="2" s="1"/>
  <c r="F5" i="2"/>
  <c r="D4" i="2"/>
  <c r="B5" i="3"/>
  <c r="B9" i="3"/>
  <c r="B13" i="3"/>
  <c r="B17" i="3"/>
  <c r="B21" i="3"/>
  <c r="B25" i="3"/>
  <c r="B29" i="3"/>
  <c r="B33" i="3"/>
  <c r="B37" i="3"/>
  <c r="B41" i="3"/>
  <c r="B45" i="3"/>
  <c r="B49" i="3"/>
  <c r="B53" i="3"/>
  <c r="B57" i="3"/>
  <c r="B61" i="3"/>
  <c r="B65" i="3"/>
  <c r="B69" i="3"/>
  <c r="B73" i="3"/>
  <c r="B77" i="3"/>
  <c r="B217" i="3"/>
  <c r="B82" i="3"/>
  <c r="B94" i="3"/>
  <c r="B106" i="3"/>
  <c r="B20" i="3"/>
  <c r="B116" i="3"/>
  <c r="C5" i="3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105" i="3"/>
  <c r="C109" i="3"/>
  <c r="C113" i="3"/>
  <c r="C117" i="3"/>
  <c r="C121" i="3"/>
  <c r="C125" i="3"/>
  <c r="C129" i="3"/>
  <c r="C133" i="3"/>
  <c r="C137" i="3"/>
  <c r="C141" i="3"/>
  <c r="C145" i="3"/>
  <c r="C149" i="3"/>
  <c r="C153" i="3"/>
  <c r="C157" i="3"/>
  <c r="C161" i="3"/>
  <c r="C165" i="3"/>
  <c r="C169" i="3"/>
  <c r="C173" i="3"/>
  <c r="C177" i="3"/>
  <c r="C181" i="3"/>
  <c r="C185" i="3"/>
  <c r="C189" i="3"/>
  <c r="C193" i="3"/>
  <c r="C197" i="3"/>
  <c r="C201" i="3"/>
  <c r="C205" i="3"/>
  <c r="C209" i="3"/>
  <c r="C213" i="3"/>
  <c r="C217" i="3"/>
  <c r="C221" i="3"/>
  <c r="C225" i="3"/>
  <c r="C229" i="3"/>
  <c r="C233" i="3"/>
  <c r="C237" i="3"/>
  <c r="C241" i="3"/>
  <c r="C245" i="3"/>
  <c r="C249" i="3"/>
  <c r="C253" i="3"/>
  <c r="C257" i="3"/>
  <c r="C261" i="3"/>
  <c r="C265" i="3"/>
  <c r="C269" i="3"/>
  <c r="C273" i="3"/>
  <c r="C277" i="3"/>
  <c r="C281" i="3"/>
  <c r="C285" i="3"/>
  <c r="C289" i="3"/>
  <c r="C293" i="3"/>
  <c r="C297" i="3"/>
  <c r="C301" i="3"/>
  <c r="C305" i="3"/>
  <c r="C309" i="3"/>
  <c r="C313" i="3"/>
  <c r="C317" i="3"/>
  <c r="C321" i="3"/>
  <c r="C325" i="3"/>
  <c r="C329" i="3"/>
  <c r="C333" i="3"/>
  <c r="C337" i="3"/>
  <c r="C341" i="3"/>
  <c r="C345" i="3"/>
  <c r="C349" i="3"/>
  <c r="C353" i="3"/>
  <c r="C357" i="3"/>
  <c r="C361" i="3"/>
  <c r="C365" i="3"/>
  <c r="C369" i="3"/>
  <c r="C373" i="3"/>
  <c r="C377" i="3"/>
  <c r="B90" i="3"/>
  <c r="B102" i="3"/>
  <c r="B84" i="3"/>
  <c r="B534" i="3"/>
  <c r="B542" i="3"/>
  <c r="B550" i="3"/>
  <c r="B558" i="3"/>
  <c r="B566" i="3"/>
  <c r="B574" i="3"/>
  <c r="B582" i="3"/>
  <c r="B590" i="3"/>
  <c r="B598" i="3"/>
  <c r="B606" i="3"/>
  <c r="B614" i="3"/>
  <c r="B626" i="3"/>
  <c r="B634" i="3"/>
  <c r="B642" i="3"/>
  <c r="B650" i="3"/>
  <c r="B654" i="3"/>
  <c r="B662" i="3"/>
  <c r="B670" i="3"/>
  <c r="B682" i="3"/>
  <c r="B690" i="3"/>
  <c r="B698" i="3"/>
  <c r="B706" i="3"/>
  <c r="B714" i="3"/>
  <c r="B722" i="3"/>
  <c r="B730" i="3"/>
  <c r="B738" i="3"/>
  <c r="B746" i="3"/>
  <c r="B754" i="3"/>
  <c r="B762" i="3"/>
  <c r="B770" i="3"/>
  <c r="B778" i="3"/>
  <c r="B786" i="3"/>
  <c r="B794" i="3"/>
  <c r="B802" i="3"/>
  <c r="B810" i="3"/>
  <c r="B818" i="3"/>
  <c r="B826" i="3"/>
  <c r="B834" i="3"/>
  <c r="B842" i="3"/>
  <c r="B846" i="3"/>
  <c r="B854" i="3"/>
  <c r="B858" i="3"/>
  <c r="B906" i="3"/>
  <c r="B910" i="3"/>
  <c r="B914" i="3"/>
  <c r="B918" i="3"/>
  <c r="B922" i="3"/>
  <c r="B926" i="3"/>
  <c r="B930" i="3"/>
  <c r="B430" i="3"/>
  <c r="B434" i="3"/>
  <c r="B438" i="3"/>
  <c r="B442" i="3"/>
  <c r="B446" i="3"/>
  <c r="B450" i="3"/>
  <c r="B454" i="3"/>
  <c r="B458" i="3"/>
  <c r="B462" i="3"/>
  <c r="B466" i="3"/>
  <c r="B470" i="3"/>
  <c r="B474" i="3"/>
  <c r="B478" i="3"/>
  <c r="B482" i="3"/>
  <c r="B486" i="3"/>
  <c r="B490" i="3"/>
  <c r="B494" i="3"/>
  <c r="B498" i="3"/>
  <c r="B502" i="3"/>
  <c r="B506" i="3"/>
  <c r="B510" i="3"/>
  <c r="B514" i="3"/>
  <c r="B518" i="3"/>
  <c r="B522" i="3"/>
  <c r="B530" i="3"/>
  <c r="B538" i="3"/>
  <c r="B546" i="3"/>
  <c r="B554" i="3"/>
  <c r="B562" i="3"/>
  <c r="B570" i="3"/>
  <c r="B578" i="3"/>
  <c r="B586" i="3"/>
  <c r="B594" i="3"/>
  <c r="B602" i="3"/>
  <c r="B610" i="3"/>
  <c r="B618" i="3"/>
  <c r="B622" i="3"/>
  <c r="B630" i="3"/>
  <c r="B638" i="3"/>
  <c r="B646" i="3"/>
  <c r="B658" i="3"/>
  <c r="B666" i="3"/>
  <c r="B674" i="3"/>
  <c r="B678" i="3"/>
  <c r="B686" i="3"/>
  <c r="B694" i="3"/>
  <c r="B702" i="3"/>
  <c r="B710" i="3"/>
  <c r="B718" i="3"/>
  <c r="B726" i="3"/>
  <c r="B734" i="3"/>
  <c r="B742" i="3"/>
  <c r="B750" i="3"/>
  <c r="B758" i="3"/>
  <c r="B766" i="3"/>
  <c r="B774" i="3"/>
  <c r="B782" i="3"/>
  <c r="B790" i="3"/>
  <c r="B798" i="3"/>
  <c r="B806" i="3"/>
  <c r="B814" i="3"/>
  <c r="B822" i="3"/>
  <c r="B830" i="3"/>
  <c r="B838" i="3"/>
  <c r="B850" i="3"/>
  <c r="C298" i="3"/>
  <c r="D13" i="2"/>
  <c r="C380" i="3"/>
  <c r="C384" i="3"/>
  <c r="C388" i="3"/>
  <c r="C392" i="3"/>
  <c r="C396" i="3"/>
  <c r="C400" i="3"/>
  <c r="C404" i="3"/>
  <c r="C408" i="3"/>
  <c r="C412" i="3"/>
  <c r="C416" i="3"/>
  <c r="C420" i="3"/>
  <c r="C424" i="3"/>
  <c r="C428" i="3"/>
  <c r="C432" i="3"/>
  <c r="C436" i="3"/>
  <c r="C440" i="3"/>
  <c r="C444" i="3"/>
  <c r="C448" i="3"/>
  <c r="C452" i="3"/>
  <c r="C456" i="3"/>
  <c r="C460" i="3"/>
  <c r="C464" i="3"/>
  <c r="C468" i="3"/>
  <c r="C472" i="3"/>
  <c r="C476" i="3"/>
  <c r="C480" i="3"/>
  <c r="C484" i="3"/>
  <c r="C488" i="3"/>
  <c r="C492" i="3"/>
  <c r="C496" i="3"/>
  <c r="C500" i="3"/>
  <c r="C504" i="3"/>
  <c r="C508" i="3"/>
  <c r="C512" i="3"/>
  <c r="C516" i="3"/>
  <c r="C520" i="3"/>
  <c r="C524" i="3"/>
  <c r="C528" i="3"/>
  <c r="C532" i="3"/>
  <c r="C536" i="3"/>
  <c r="C540" i="3"/>
  <c r="C544" i="3"/>
  <c r="C548" i="3"/>
  <c r="C552" i="3"/>
  <c r="C556" i="3"/>
  <c r="C560" i="3"/>
  <c r="C564" i="3"/>
  <c r="C568" i="3"/>
  <c r="C572" i="3"/>
  <c r="C576" i="3"/>
  <c r="C580" i="3"/>
  <c r="C579" i="3"/>
  <c r="C584" i="3"/>
  <c r="C588" i="3"/>
  <c r="C592" i="3"/>
  <c r="C596" i="3"/>
  <c r="C600" i="3"/>
  <c r="C604" i="3"/>
  <c r="C608" i="3"/>
  <c r="C612" i="3"/>
  <c r="C616" i="3"/>
  <c r="C620" i="3"/>
  <c r="C624" i="3"/>
  <c r="C628" i="3"/>
  <c r="C632" i="3"/>
  <c r="C636" i="3"/>
  <c r="C640" i="3"/>
  <c r="C644" i="3"/>
  <c r="C648" i="3"/>
  <c r="C652" i="3"/>
  <c r="C656" i="3"/>
  <c r="C660" i="3"/>
  <c r="C664" i="3"/>
  <c r="C668" i="3"/>
  <c r="C672" i="3"/>
  <c r="C676" i="3"/>
  <c r="C680" i="3"/>
  <c r="C684" i="3"/>
  <c r="C688" i="3"/>
  <c r="C692" i="3"/>
  <c r="C696" i="3"/>
  <c r="C700" i="3"/>
  <c r="C704" i="3"/>
  <c r="C708" i="3"/>
  <c r="C716" i="3"/>
  <c r="C720" i="3"/>
  <c r="C724" i="3"/>
  <c r="C728" i="3"/>
  <c r="C732" i="3"/>
  <c r="C736" i="3"/>
  <c r="C740" i="3"/>
  <c r="C744" i="3"/>
  <c r="C748" i="3"/>
  <c r="C752" i="3"/>
  <c r="C756" i="3"/>
  <c r="C760" i="3"/>
  <c r="C764" i="3"/>
  <c r="C768" i="3"/>
  <c r="C772" i="3"/>
  <c r="C776" i="3"/>
  <c r="C780" i="3"/>
  <c r="C779" i="3"/>
  <c r="C784" i="3"/>
  <c r="C788" i="3"/>
  <c r="C792" i="3"/>
  <c r="C796" i="3"/>
  <c r="C800" i="3"/>
  <c r="C804" i="3"/>
  <c r="C808" i="3"/>
  <c r="C812" i="3"/>
  <c r="C816" i="3"/>
  <c r="C820" i="3"/>
  <c r="C824" i="3"/>
  <c r="C828" i="3"/>
  <c r="C832" i="3"/>
  <c r="C836" i="3"/>
  <c r="C840" i="3"/>
  <c r="C844" i="3"/>
  <c r="C848" i="3"/>
  <c r="C852" i="3"/>
  <c r="C856" i="3"/>
  <c r="C860" i="3"/>
  <c r="C908" i="3"/>
  <c r="C905" i="3"/>
  <c r="B81" i="3"/>
  <c r="B85" i="3"/>
  <c r="B89" i="3"/>
  <c r="B93" i="3"/>
  <c r="B97" i="3"/>
  <c r="B101" i="3"/>
  <c r="B105" i="3"/>
  <c r="B109" i="3"/>
  <c r="B113" i="3"/>
  <c r="B117" i="3"/>
  <c r="B121" i="3"/>
  <c r="B125" i="3"/>
  <c r="B129" i="3"/>
  <c r="B133" i="3"/>
  <c r="B137" i="3"/>
  <c r="B141" i="3"/>
  <c r="B145" i="3"/>
  <c r="B149" i="3"/>
  <c r="B153" i="3"/>
  <c r="B157" i="3"/>
  <c r="B161" i="3"/>
  <c r="B165" i="3"/>
  <c r="B169" i="3"/>
  <c r="B173" i="3"/>
  <c r="B177" i="3"/>
  <c r="B181" i="3"/>
  <c r="B185" i="3"/>
  <c r="B189" i="3"/>
  <c r="B193" i="3"/>
  <c r="B197" i="3"/>
  <c r="B201" i="3"/>
  <c r="B205" i="3"/>
  <c r="B209" i="3"/>
  <c r="B213" i="3"/>
  <c r="B221" i="3"/>
  <c r="B225" i="3"/>
  <c r="B229" i="3"/>
  <c r="B233" i="3"/>
  <c r="B237" i="3"/>
  <c r="B241" i="3"/>
  <c r="B245" i="3"/>
  <c r="B249" i="3"/>
  <c r="B253" i="3"/>
  <c r="B257" i="3"/>
  <c r="B261" i="3"/>
  <c r="B265" i="3"/>
  <c r="B269" i="3"/>
  <c r="B273" i="3"/>
  <c r="B277" i="3"/>
  <c r="B281" i="3"/>
  <c r="B285" i="3"/>
  <c r="B289" i="3"/>
  <c r="B293" i="3"/>
  <c r="B297" i="3"/>
  <c r="B301" i="3"/>
  <c r="B305" i="3"/>
  <c r="B309" i="3"/>
  <c r="B313" i="3"/>
  <c r="B317" i="3"/>
  <c r="B321" i="3"/>
  <c r="B325" i="3"/>
  <c r="B329" i="3"/>
  <c r="B333" i="3"/>
  <c r="B337" i="3"/>
  <c r="B341" i="3"/>
  <c r="B345" i="3"/>
  <c r="B349" i="3"/>
  <c r="B353" i="3"/>
  <c r="B357" i="3"/>
  <c r="B361" i="3"/>
  <c r="B365" i="3"/>
  <c r="B369" i="3"/>
  <c r="B373" i="3"/>
  <c r="B377" i="3"/>
  <c r="B381" i="3"/>
  <c r="B385" i="3"/>
  <c r="B389" i="3"/>
  <c r="B393" i="3"/>
  <c r="B397" i="3"/>
  <c r="B401" i="3"/>
  <c r="B405" i="3"/>
  <c r="B409" i="3"/>
  <c r="B413" i="3"/>
  <c r="B417" i="3"/>
  <c r="B421" i="3"/>
  <c r="B425" i="3"/>
  <c r="B429" i="3"/>
  <c r="B433" i="3"/>
  <c r="B437" i="3"/>
  <c r="B441" i="3"/>
  <c r="B445" i="3"/>
  <c r="B449" i="3"/>
  <c r="B453" i="3"/>
  <c r="B457" i="3"/>
  <c r="B461" i="3"/>
  <c r="B465" i="3"/>
  <c r="B469" i="3"/>
  <c r="B473" i="3"/>
  <c r="B477" i="3"/>
  <c r="B481" i="3"/>
  <c r="B485" i="3"/>
  <c r="B489" i="3"/>
  <c r="B493" i="3"/>
  <c r="B497" i="3"/>
  <c r="B501" i="3"/>
  <c r="B505" i="3"/>
  <c r="B509" i="3"/>
  <c r="B513" i="3"/>
  <c r="B517" i="3"/>
  <c r="B521" i="3"/>
  <c r="B525" i="3"/>
  <c r="B529" i="3"/>
  <c r="B533" i="3"/>
  <c r="B537" i="3"/>
  <c r="B541" i="3"/>
  <c r="B545" i="3"/>
  <c r="B549" i="3"/>
  <c r="B553" i="3"/>
  <c r="B557" i="3"/>
  <c r="B561" i="3"/>
  <c r="B565" i="3"/>
  <c r="B569" i="3"/>
  <c r="B573" i="3"/>
  <c r="B577" i="3"/>
  <c r="B581" i="3"/>
  <c r="B585" i="3"/>
  <c r="B589" i="3"/>
  <c r="B593" i="3"/>
  <c r="B597" i="3"/>
  <c r="B601" i="3"/>
  <c r="B605" i="3"/>
  <c r="B609" i="3"/>
  <c r="B613" i="3"/>
  <c r="B617" i="3"/>
  <c r="B621" i="3"/>
  <c r="B625" i="3"/>
  <c r="B629" i="3"/>
  <c r="B633" i="3"/>
  <c r="B637" i="3"/>
  <c r="B641" i="3"/>
  <c r="B645" i="3"/>
  <c r="B649" i="3"/>
  <c r="B653" i="3"/>
  <c r="B657" i="3"/>
  <c r="B661" i="3"/>
  <c r="B665" i="3"/>
  <c r="B669" i="3"/>
  <c r="B673" i="3"/>
  <c r="B677" i="3"/>
  <c r="B681" i="3"/>
  <c r="B685" i="3"/>
  <c r="B689" i="3"/>
  <c r="B693" i="3"/>
  <c r="B697" i="3"/>
  <c r="B701" i="3"/>
  <c r="B705" i="3"/>
  <c r="B709" i="3"/>
  <c r="B713" i="3"/>
  <c r="B717" i="3"/>
  <c r="B721" i="3"/>
  <c r="B725" i="3"/>
  <c r="B729" i="3"/>
  <c r="B733" i="3"/>
  <c r="B737" i="3"/>
  <c r="B741" i="3"/>
  <c r="B745" i="3"/>
  <c r="B749" i="3"/>
  <c r="B753" i="3"/>
  <c r="H5" i="2" a="1"/>
  <c r="H5" i="2" s="1"/>
  <c r="H8" i="2" a="1"/>
  <c r="H8" i="2" s="1"/>
  <c r="B757" i="3"/>
  <c r="B761" i="3"/>
  <c r="B765" i="3"/>
  <c r="B769" i="3"/>
  <c r="B773" i="3"/>
  <c r="B777" i="3"/>
  <c r="B781" i="3"/>
  <c r="B785" i="3"/>
  <c r="B789" i="3"/>
  <c r="B793" i="3"/>
  <c r="B797" i="3"/>
  <c r="B801" i="3"/>
  <c r="B805" i="3"/>
  <c r="B809" i="3"/>
  <c r="B813" i="3"/>
  <c r="B817" i="3"/>
  <c r="B821" i="3"/>
  <c r="B825" i="3"/>
  <c r="B829" i="3"/>
  <c r="B833" i="3"/>
  <c r="B837" i="3"/>
  <c r="B841" i="3"/>
  <c r="B845" i="3"/>
  <c r="B849" i="3"/>
  <c r="B853" i="3"/>
  <c r="B857" i="3"/>
  <c r="B861" i="3"/>
  <c r="B865" i="3"/>
  <c r="B869" i="3"/>
  <c r="B873" i="3"/>
  <c r="B877" i="3"/>
  <c r="B881" i="3"/>
  <c r="B885" i="3"/>
  <c r="B889" i="3"/>
  <c r="B893" i="3"/>
  <c r="B897" i="3"/>
  <c r="B901" i="3"/>
  <c r="B905" i="3"/>
  <c r="B909" i="3"/>
  <c r="B913" i="3"/>
  <c r="B917" i="3"/>
  <c r="B921" i="3"/>
  <c r="B925" i="3"/>
  <c r="B929" i="3"/>
  <c r="B933" i="3"/>
  <c r="B937" i="3"/>
  <c r="B941" i="3"/>
  <c r="B945" i="3"/>
  <c r="B949" i="3"/>
  <c r="B953" i="3"/>
  <c r="B957" i="3"/>
  <c r="B961" i="3"/>
  <c r="B965" i="3"/>
  <c r="B969" i="3"/>
  <c r="B973" i="3"/>
  <c r="B977" i="3"/>
  <c r="B981" i="3"/>
  <c r="B985" i="3"/>
  <c r="B989" i="3"/>
  <c r="B993" i="3"/>
  <c r="B997" i="3"/>
  <c r="B1001" i="3"/>
  <c r="B1005" i="3"/>
  <c r="B1009" i="3"/>
  <c r="B1013" i="3"/>
  <c r="B1017" i="3"/>
  <c r="B1021" i="3"/>
  <c r="B1025" i="3"/>
  <c r="B1029" i="3"/>
  <c r="B1033" i="3"/>
  <c r="B1037" i="3"/>
  <c r="B1041" i="3"/>
  <c r="B1045" i="3"/>
  <c r="B1049" i="3"/>
  <c r="B1053" i="3"/>
  <c r="B1057" i="3"/>
  <c r="B1061" i="3"/>
  <c r="B1065" i="3"/>
  <c r="B1069" i="3"/>
  <c r="B1073" i="3"/>
  <c r="I5" i="2" a="1"/>
  <c r="I5" i="2" s="1"/>
  <c r="F9" i="2"/>
  <c r="E10" i="2" a="1"/>
  <c r="E10" i="2" s="1"/>
  <c r="C6" i="3"/>
  <c r="C10" i="3"/>
  <c r="C14" i="3"/>
  <c r="C18" i="3"/>
  <c r="C22" i="3"/>
  <c r="C26" i="3"/>
  <c r="C30" i="3"/>
  <c r="C34" i="3"/>
  <c r="C38" i="3"/>
  <c r="C42" i="3"/>
  <c r="C46" i="3"/>
  <c r="C50" i="3"/>
  <c r="C54" i="3"/>
  <c r="C58" i="3"/>
  <c r="C62" i="3"/>
  <c r="C66" i="3"/>
  <c r="C70" i="3"/>
  <c r="C74" i="3"/>
  <c r="C78" i="3"/>
  <c r="C82" i="3"/>
  <c r="C86" i="3"/>
  <c r="C90" i="3"/>
  <c r="C94" i="3"/>
  <c r="C98" i="3"/>
  <c r="C102" i="3"/>
  <c r="C106" i="3"/>
  <c r="C110" i="3"/>
  <c r="C114" i="3"/>
  <c r="C118" i="3"/>
  <c r="C122" i="3"/>
  <c r="C126" i="3"/>
  <c r="C130" i="3"/>
  <c r="C134" i="3"/>
  <c r="C142" i="3"/>
  <c r="C146" i="3"/>
  <c r="C150" i="3"/>
  <c r="C154" i="3"/>
  <c r="C158" i="3"/>
  <c r="C162" i="3"/>
  <c r="C166" i="3"/>
  <c r="C170" i="3"/>
  <c r="C174" i="3"/>
  <c r="C178" i="3"/>
  <c r="C182" i="3"/>
  <c r="C186" i="3"/>
  <c r="C190" i="3"/>
  <c r="C194" i="3"/>
  <c r="C198" i="3"/>
  <c r="C202" i="3"/>
  <c r="C206" i="3"/>
  <c r="C210" i="3"/>
  <c r="C214" i="3"/>
  <c r="C218" i="3"/>
  <c r="C222" i="3"/>
  <c r="C226" i="3"/>
  <c r="C230" i="3"/>
  <c r="C234" i="3"/>
  <c r="C238" i="3"/>
  <c r="C242" i="3"/>
  <c r="C246" i="3"/>
  <c r="C250" i="3"/>
  <c r="C254" i="3"/>
  <c r="C258" i="3"/>
  <c r="C262" i="3"/>
  <c r="C266" i="3"/>
  <c r="C270" i="3"/>
  <c r="C274" i="3"/>
  <c r="C278" i="3"/>
  <c r="C282" i="3"/>
  <c r="C286" i="3"/>
  <c r="C290" i="3"/>
  <c r="C294" i="3"/>
  <c r="C302" i="3"/>
  <c r="C306" i="3"/>
  <c r="C310" i="3"/>
  <c r="C314" i="3"/>
  <c r="C318" i="3"/>
  <c r="C322" i="3"/>
  <c r="C326" i="3"/>
  <c r="C330" i="3"/>
  <c r="C334" i="3"/>
  <c r="C338" i="3"/>
  <c r="C342" i="3"/>
  <c r="C346" i="3"/>
  <c r="C350" i="3"/>
  <c r="C354" i="3"/>
  <c r="C358" i="3"/>
  <c r="C362" i="3"/>
  <c r="C366" i="3"/>
  <c r="C370" i="3"/>
  <c r="C374" i="3"/>
  <c r="C378" i="3"/>
  <c r="C382" i="3"/>
  <c r="C386" i="3"/>
  <c r="C390" i="3"/>
  <c r="C394" i="3"/>
  <c r="C398" i="3"/>
  <c r="C402" i="3"/>
  <c r="C406" i="3"/>
  <c r="C410" i="3"/>
  <c r="C414" i="3"/>
  <c r="C418" i="3"/>
  <c r="C422" i="3"/>
  <c r="C426" i="3"/>
  <c r="C430" i="3"/>
  <c r="C434" i="3"/>
  <c r="C438" i="3"/>
  <c r="C442" i="3"/>
  <c r="C446" i="3"/>
  <c r="C450" i="3"/>
  <c r="C454" i="3"/>
  <c r="C458" i="3"/>
  <c r="C462" i="3"/>
  <c r="C466" i="3"/>
  <c r="C470" i="3"/>
  <c r="C474" i="3"/>
  <c r="C478" i="3"/>
  <c r="C482" i="3"/>
  <c r="C486" i="3"/>
  <c r="C490" i="3"/>
  <c r="C494" i="3"/>
  <c r="C498" i="3"/>
  <c r="C506" i="3"/>
  <c r="C510" i="3"/>
  <c r="C514" i="3"/>
  <c r="C518" i="3"/>
  <c r="C522" i="3"/>
  <c r="C526" i="3"/>
  <c r="C530" i="3"/>
  <c r="C534" i="3"/>
  <c r="C538" i="3"/>
  <c r="C542" i="3"/>
  <c r="C546" i="3"/>
  <c r="C550" i="3"/>
  <c r="C554" i="3"/>
  <c r="C558" i="3"/>
  <c r="C562" i="3"/>
  <c r="C566" i="3"/>
  <c r="C570" i="3"/>
  <c r="C574" i="3"/>
  <c r="C578" i="3"/>
  <c r="C582" i="3"/>
  <c r="C586" i="3"/>
  <c r="C590" i="3"/>
  <c r="C594" i="3"/>
  <c r="C598" i="3"/>
  <c r="C602" i="3"/>
  <c r="C606" i="3"/>
  <c r="C610" i="3"/>
  <c r="C614" i="3"/>
  <c r="C618" i="3"/>
  <c r="C622" i="3"/>
  <c r="C626" i="3"/>
  <c r="C630" i="3"/>
  <c r="C634" i="3"/>
  <c r="C638" i="3"/>
  <c r="C642" i="3"/>
  <c r="C646" i="3"/>
  <c r="C650" i="3"/>
  <c r="C654" i="3"/>
  <c r="C658" i="3"/>
  <c r="C662" i="3"/>
  <c r="C666" i="3"/>
  <c r="C670" i="3"/>
  <c r="C674" i="3"/>
  <c r="C678" i="3"/>
  <c r="C682" i="3"/>
  <c r="C686" i="3"/>
  <c r="C694" i="3"/>
  <c r="C698" i="3"/>
  <c r="C702" i="3"/>
  <c r="C706" i="3"/>
  <c r="C710" i="3"/>
  <c r="C714" i="3"/>
  <c r="C718" i="3"/>
  <c r="C722" i="3"/>
  <c r="C726" i="3"/>
  <c r="C730" i="3"/>
  <c r="C734" i="3"/>
  <c r="C738" i="3"/>
  <c r="C742" i="3"/>
  <c r="C746" i="3"/>
  <c r="C750" i="3"/>
  <c r="C754" i="3"/>
  <c r="C758" i="3"/>
  <c r="C762" i="3"/>
  <c r="C766" i="3"/>
  <c r="C770" i="3"/>
  <c r="C774" i="3"/>
  <c r="C778" i="3"/>
  <c r="C782" i="3"/>
  <c r="C786" i="3"/>
  <c r="C790" i="3"/>
  <c r="C794" i="3"/>
  <c r="C798" i="3"/>
  <c r="C802" i="3"/>
  <c r="C806" i="3"/>
  <c r="C810" i="3"/>
  <c r="C814" i="3"/>
  <c r="C818" i="3"/>
  <c r="C822" i="3"/>
  <c r="C826" i="3"/>
  <c r="C830" i="3"/>
  <c r="C834" i="3"/>
  <c r="C838" i="3"/>
  <c r="C842" i="3"/>
  <c r="C846" i="3"/>
  <c r="C850" i="3"/>
  <c r="C854" i="3"/>
  <c r="C858" i="3"/>
  <c r="C862" i="3"/>
  <c r="C866" i="3"/>
  <c r="C870" i="3"/>
  <c r="C874" i="3"/>
  <c r="C878" i="3"/>
  <c r="C882" i="3"/>
  <c r="C886" i="3"/>
  <c r="C890" i="3"/>
  <c r="C894" i="3"/>
  <c r="C898" i="3"/>
  <c r="C902" i="3"/>
  <c r="C906" i="3"/>
  <c r="C910" i="3"/>
  <c r="C914" i="3"/>
  <c r="C918" i="3"/>
  <c r="C922" i="3"/>
  <c r="C926" i="3"/>
  <c r="C930" i="3"/>
  <c r="C934" i="3"/>
  <c r="C938" i="3"/>
  <c r="C942" i="3"/>
  <c r="C946" i="3"/>
  <c r="C950" i="3"/>
  <c r="C954" i="3"/>
  <c r="C958" i="3"/>
  <c r="C962" i="3"/>
  <c r="C966" i="3"/>
  <c r="C970" i="3"/>
  <c r="C974" i="3"/>
  <c r="C978" i="3"/>
  <c r="C982" i="3"/>
  <c r="C986" i="3"/>
  <c r="C990" i="3"/>
  <c r="C994" i="3"/>
  <c r="C998" i="3"/>
  <c r="C1002" i="3"/>
  <c r="C1006" i="3"/>
  <c r="C1010" i="3"/>
  <c r="C1014" i="3"/>
  <c r="C1018" i="3"/>
  <c r="C1022" i="3"/>
  <c r="C1026" i="3"/>
  <c r="C1030" i="3"/>
  <c r="C1034" i="3"/>
  <c r="C1038" i="3"/>
  <c r="C1042" i="3"/>
  <c r="C1046" i="3"/>
  <c r="C1050" i="3"/>
  <c r="C1054" i="3"/>
  <c r="C1058" i="3"/>
  <c r="C1062" i="3"/>
  <c r="C1066" i="3"/>
  <c r="C1070" i="3"/>
  <c r="C1074" i="3"/>
  <c r="C1078" i="3"/>
  <c r="C1082" i="3"/>
  <c r="C1086" i="3"/>
  <c r="C1090" i="3"/>
  <c r="C1094" i="3"/>
  <c r="C1098" i="3"/>
  <c r="C1102" i="3"/>
  <c r="C1106" i="3"/>
  <c r="C1110" i="3"/>
  <c r="C1114" i="3"/>
  <c r="C1118" i="3"/>
  <c r="C1122" i="3"/>
  <c r="C1126" i="3"/>
  <c r="C1130" i="3"/>
  <c r="C1134" i="3"/>
  <c r="C1138" i="3"/>
  <c r="C1142" i="3"/>
  <c r="C1146" i="3"/>
  <c r="C1150" i="3"/>
  <c r="C1154" i="3"/>
  <c r="C1158" i="3"/>
  <c r="C1162" i="3"/>
  <c r="C1166" i="3"/>
  <c r="C1170" i="3"/>
  <c r="C1174" i="3"/>
  <c r="C1178" i="3"/>
  <c r="C1182" i="3"/>
  <c r="C1186" i="3"/>
  <c r="C1190" i="3"/>
  <c r="C1194" i="3"/>
  <c r="C1198" i="3"/>
  <c r="C1206" i="3"/>
  <c r="C1210" i="3"/>
  <c r="C1214" i="3"/>
  <c r="C1218" i="3"/>
  <c r="D7" i="2"/>
  <c r="G10" i="2"/>
  <c r="E4" i="2" a="1"/>
  <c r="E4" i="2" s="1"/>
  <c r="E7" i="2" a="1"/>
  <c r="E7" i="2" s="1"/>
  <c r="I12" i="2" a="1"/>
  <c r="I12" i="2" s="1"/>
  <c r="B7" i="3"/>
  <c r="B11" i="3"/>
  <c r="B15" i="3"/>
  <c r="B19" i="3"/>
  <c r="B23" i="3"/>
  <c r="B27" i="3"/>
  <c r="B31" i="3"/>
  <c r="B35" i="3"/>
  <c r="B39" i="3"/>
  <c r="B43" i="3"/>
  <c r="B47" i="3"/>
  <c r="B51" i="3"/>
  <c r="B55" i="3"/>
  <c r="B59" i="3"/>
  <c r="B63" i="3"/>
  <c r="B67" i="3"/>
  <c r="B71" i="3"/>
  <c r="B75" i="3"/>
  <c r="B79" i="3"/>
  <c r="B83" i="3"/>
  <c r="B87" i="3"/>
  <c r="B91" i="3"/>
  <c r="B95" i="3"/>
  <c r="B99" i="3"/>
  <c r="B103" i="3"/>
  <c r="B107" i="3"/>
  <c r="B111" i="3"/>
  <c r="B115" i="3"/>
  <c r="B119" i="3"/>
  <c r="B123" i="3"/>
  <c r="B127" i="3"/>
  <c r="B131" i="3"/>
  <c r="B135" i="3"/>
  <c r="B139" i="3"/>
  <c r="B143" i="3"/>
  <c r="B147" i="3"/>
  <c r="B151" i="3"/>
  <c r="B155" i="3"/>
  <c r="B159" i="3"/>
  <c r="B163" i="3"/>
  <c r="B167" i="3"/>
  <c r="B171" i="3"/>
  <c r="B175" i="3"/>
  <c r="B179" i="3"/>
  <c r="B183" i="3"/>
  <c r="B187" i="3"/>
  <c r="B191" i="3"/>
  <c r="B195" i="3"/>
  <c r="B199" i="3"/>
  <c r="B203" i="3"/>
  <c r="B207" i="3"/>
  <c r="B211" i="3"/>
  <c r="B215" i="3"/>
  <c r="B219" i="3"/>
  <c r="B223" i="3"/>
  <c r="B227" i="3"/>
  <c r="B231" i="3"/>
  <c r="B235" i="3"/>
  <c r="B239" i="3"/>
  <c r="B243" i="3"/>
  <c r="B247" i="3"/>
  <c r="B251" i="3"/>
  <c r="B255" i="3"/>
  <c r="B259" i="3"/>
  <c r="B263" i="3"/>
  <c r="B267" i="3"/>
  <c r="B271" i="3"/>
  <c r="B275" i="3"/>
  <c r="B279" i="3"/>
  <c r="B283" i="3"/>
  <c r="B287" i="3"/>
  <c r="B291" i="3"/>
  <c r="B295" i="3"/>
  <c r="B299" i="3"/>
  <c r="B303" i="3"/>
  <c r="B307" i="3"/>
  <c r="B311" i="3"/>
  <c r="B315" i="3"/>
  <c r="B319" i="3"/>
  <c r="B323" i="3"/>
  <c r="B327" i="3"/>
  <c r="B331" i="3"/>
  <c r="B335" i="3"/>
  <c r="B339" i="3"/>
  <c r="B343" i="3"/>
  <c r="B347" i="3"/>
  <c r="B351" i="3"/>
  <c r="B355" i="3"/>
  <c r="B359" i="3"/>
  <c r="B363" i="3"/>
  <c r="B367" i="3"/>
  <c r="B371" i="3"/>
  <c r="B375" i="3"/>
  <c r="B379" i="3"/>
  <c r="B383" i="3"/>
  <c r="B387" i="3"/>
  <c r="B391" i="3"/>
  <c r="B395" i="3"/>
  <c r="B399" i="3"/>
  <c r="B403" i="3"/>
  <c r="B407" i="3"/>
  <c r="B411" i="3"/>
  <c r="B415" i="3"/>
  <c r="B419" i="3"/>
  <c r="B423" i="3"/>
  <c r="B427" i="3"/>
  <c r="B431" i="3"/>
  <c r="B435" i="3"/>
  <c r="B439" i="3"/>
  <c r="B443" i="3"/>
  <c r="B447" i="3"/>
  <c r="B451" i="3"/>
  <c r="B455" i="3"/>
  <c r="B459" i="3"/>
  <c r="B463" i="3"/>
  <c r="B467" i="3"/>
  <c r="B471" i="3"/>
  <c r="B475" i="3"/>
  <c r="B479" i="3"/>
  <c r="B483" i="3"/>
  <c r="B487" i="3"/>
  <c r="B491" i="3"/>
  <c r="B495" i="3"/>
  <c r="B499" i="3"/>
  <c r="B503" i="3"/>
  <c r="B507" i="3"/>
  <c r="B511" i="3"/>
  <c r="B515" i="3"/>
  <c r="B519" i="3"/>
  <c r="B523" i="3"/>
  <c r="B527" i="3"/>
  <c r="B531" i="3"/>
  <c r="B535" i="3"/>
  <c r="B539" i="3"/>
  <c r="B543" i="3"/>
  <c r="B547" i="3"/>
  <c r="B551" i="3"/>
  <c r="B647" i="3"/>
  <c r="H4" i="2" a="1"/>
  <c r="H4" i="2" s="1"/>
  <c r="G7" i="2"/>
  <c r="C387" i="3"/>
  <c r="C395" i="3"/>
  <c r="C407" i="3"/>
  <c r="C415" i="3"/>
  <c r="C427" i="3"/>
  <c r="C435" i="3"/>
  <c r="C451" i="3"/>
  <c r="C459" i="3"/>
  <c r="C467" i="3"/>
  <c r="C479" i="3"/>
  <c r="C487" i="3"/>
  <c r="C499" i="3"/>
  <c r="C511" i="3"/>
  <c r="C519" i="3"/>
  <c r="C531" i="3"/>
  <c r="C539" i="3"/>
  <c r="C555" i="3"/>
  <c r="C735" i="3"/>
  <c r="C875" i="3"/>
  <c r="I4" i="2" a="1"/>
  <c r="I4" i="2" s="1"/>
  <c r="H7" i="2" a="1"/>
  <c r="H7" i="2" s="1"/>
  <c r="C391" i="3"/>
  <c r="C399" i="3"/>
  <c r="C403" i="3"/>
  <c r="C411" i="3"/>
  <c r="C419" i="3"/>
  <c r="C423" i="3"/>
  <c r="C431" i="3"/>
  <c r="C439" i="3"/>
  <c r="C443" i="3"/>
  <c r="C447" i="3"/>
  <c r="C455" i="3"/>
  <c r="C463" i="3"/>
  <c r="C471" i="3"/>
  <c r="C475" i="3"/>
  <c r="C483" i="3"/>
  <c r="C491" i="3"/>
  <c r="C495" i="3"/>
  <c r="C503" i="3"/>
  <c r="C507" i="3"/>
  <c r="C515" i="3"/>
  <c r="C523" i="3"/>
  <c r="C527" i="3"/>
  <c r="C535" i="3"/>
  <c r="C543" i="3"/>
  <c r="C547" i="3"/>
  <c r="C551" i="3"/>
  <c r="C639" i="3"/>
  <c r="I15" i="2" a="1"/>
  <c r="I15" i="2" s="1"/>
  <c r="I14" i="2" a="1"/>
  <c r="I14" i="2" s="1"/>
  <c r="F12" i="2"/>
  <c r="F6" i="2"/>
  <c r="H14" i="2" a="1"/>
  <c r="H14" i="2" s="1"/>
  <c r="F13" i="2"/>
  <c r="F7" i="2"/>
  <c r="H15" i="2" a="1"/>
  <c r="H15" i="2" s="1"/>
  <c r="F14" i="2"/>
  <c r="F8" i="2"/>
  <c r="E15" i="2" a="1"/>
  <c r="E15" i="2" s="1"/>
  <c r="F10" i="2"/>
  <c r="F4" i="2"/>
  <c r="D15" i="2"/>
  <c r="D14" i="2"/>
  <c r="E12" i="2" a="1"/>
  <c r="E12" i="2" s="1"/>
  <c r="I13" i="2" a="1"/>
  <c r="I13" i="2" s="1"/>
  <c r="I11" i="2" a="1"/>
  <c r="I11" i="2" s="1"/>
  <c r="H13" i="2" a="1"/>
  <c r="H13" i="2" s="1"/>
  <c r="D10" i="2"/>
  <c r="G6" i="2"/>
  <c r="G13" i="2"/>
  <c r="H11" i="2" a="1"/>
  <c r="H11" i="2" s="1"/>
  <c r="E13" i="2" a="1"/>
  <c r="E13" i="2" s="1"/>
  <c r="G11" i="2"/>
  <c r="H9" i="2" a="1"/>
  <c r="H9" i="2" s="1"/>
  <c r="G14" i="2"/>
  <c r="H12" i="2" a="1"/>
  <c r="H12" i="2" s="1"/>
  <c r="I10" i="2" a="1"/>
  <c r="I10" i="2" s="1"/>
  <c r="E14" i="2" a="1"/>
  <c r="E14" i="2" s="1"/>
  <c r="G12" i="2"/>
  <c r="I8" i="2" a="1"/>
  <c r="I8" i="2" s="1"/>
  <c r="E9" i="2" a="1"/>
  <c r="E9" i="2" s="1"/>
  <c r="D12" i="2"/>
  <c r="D9" i="2"/>
  <c r="D5" i="2"/>
  <c r="F11" i="2"/>
  <c r="I6" i="2" a="1"/>
  <c r="I6" i="2" s="1"/>
  <c r="E11" i="2" a="1"/>
  <c r="E11" i="2" s="1"/>
  <c r="D11" i="2"/>
  <c r="G8" i="2"/>
  <c r="G4" i="2"/>
  <c r="H10" i="2" a="1"/>
  <c r="H10" i="2" s="1"/>
  <c r="E5" i="2" a="1"/>
  <c r="E5" i="2" s="1"/>
  <c r="I7" i="2" a="1"/>
  <c r="I7" i="2" s="1"/>
  <c r="F15" i="2"/>
  <c r="B555" i="3"/>
  <c r="B559" i="3"/>
  <c r="B563" i="3"/>
  <c r="B567" i="3"/>
  <c r="B571" i="3"/>
  <c r="B575" i="3"/>
  <c r="B579" i="3"/>
  <c r="B583" i="3"/>
  <c r="B587" i="3"/>
  <c r="B591" i="3"/>
  <c r="B595" i="3"/>
  <c r="B599" i="3"/>
  <c r="B603" i="3"/>
  <c r="B607" i="3"/>
  <c r="B611" i="3"/>
  <c r="B615" i="3"/>
  <c r="B619" i="3"/>
  <c r="B623" i="3"/>
  <c r="B627" i="3"/>
  <c r="B631" i="3"/>
  <c r="B635" i="3"/>
  <c r="B639" i="3"/>
  <c r="B643" i="3"/>
  <c r="B651" i="3"/>
  <c r="B655" i="3"/>
  <c r="B659" i="3"/>
  <c r="B663" i="3"/>
  <c r="B667" i="3"/>
  <c r="B671" i="3"/>
  <c r="B675" i="3"/>
  <c r="B679" i="3"/>
  <c r="B683" i="3"/>
  <c r="B687" i="3"/>
  <c r="B691" i="3"/>
  <c r="B695" i="3"/>
  <c r="B699" i="3"/>
  <c r="B703" i="3"/>
  <c r="B707" i="3"/>
  <c r="B711" i="3"/>
  <c r="B715" i="3"/>
  <c r="B719" i="3"/>
  <c r="B723" i="3"/>
  <c r="B727" i="3"/>
  <c r="B731" i="3"/>
  <c r="B735" i="3"/>
  <c r="B739" i="3"/>
  <c r="B743" i="3"/>
  <c r="B747" i="3"/>
  <c r="B751" i="3"/>
  <c r="B755" i="3"/>
  <c r="B759" i="3"/>
  <c r="B763" i="3"/>
  <c r="B767" i="3"/>
  <c r="B771" i="3"/>
  <c r="B775" i="3"/>
  <c r="B779" i="3"/>
  <c r="B783" i="3"/>
  <c r="B787" i="3"/>
  <c r="B791" i="3"/>
  <c r="B795" i="3"/>
  <c r="B799" i="3"/>
  <c r="B803" i="3"/>
  <c r="B807" i="3"/>
  <c r="B811" i="3"/>
  <c r="B815" i="3"/>
  <c r="B819" i="3"/>
  <c r="B823" i="3"/>
  <c r="B827" i="3"/>
  <c r="B831" i="3"/>
  <c r="B835" i="3"/>
  <c r="B839" i="3"/>
  <c r="B843" i="3"/>
  <c r="B847" i="3"/>
  <c r="B851" i="3"/>
  <c r="B855" i="3"/>
  <c r="B859" i="3"/>
  <c r="B863" i="3"/>
  <c r="B867" i="3"/>
  <c r="B871" i="3"/>
  <c r="B875" i="3"/>
  <c r="B879" i="3"/>
  <c r="B883" i="3"/>
  <c r="B887" i="3"/>
  <c r="B891" i="3"/>
  <c r="B895" i="3"/>
  <c r="B899" i="3"/>
  <c r="B903" i="3"/>
  <c r="B907" i="3"/>
  <c r="B911" i="3"/>
  <c r="B915" i="3"/>
  <c r="B919" i="3"/>
  <c r="B923" i="3"/>
  <c r="B927" i="3"/>
  <c r="B931" i="3"/>
  <c r="B935" i="3"/>
  <c r="B939" i="3"/>
  <c r="B943" i="3"/>
  <c r="B947" i="3"/>
  <c r="B951" i="3"/>
  <c r="B955" i="3"/>
  <c r="B959" i="3"/>
  <c r="B963" i="3"/>
  <c r="B967" i="3"/>
  <c r="B971" i="3"/>
  <c r="B975" i="3"/>
  <c r="B979" i="3"/>
  <c r="B983" i="3"/>
  <c r="B987" i="3"/>
  <c r="B991" i="3"/>
  <c r="B995" i="3"/>
  <c r="B999" i="3"/>
  <c r="B1003" i="3"/>
  <c r="B1007" i="3"/>
  <c r="B1011" i="3"/>
  <c r="B1015" i="3"/>
  <c r="B1019" i="3"/>
  <c r="B1023" i="3"/>
  <c r="B1027" i="3"/>
  <c r="B1031" i="3"/>
  <c r="B1035" i="3"/>
  <c r="B1039" i="3"/>
  <c r="B1043" i="3"/>
  <c r="B1047" i="3"/>
  <c r="B1051" i="3"/>
  <c r="B1055" i="3"/>
  <c r="B1059" i="3"/>
  <c r="B1063" i="3"/>
  <c r="B1067" i="3"/>
  <c r="B1071" i="3"/>
  <c r="B1075" i="3"/>
  <c r="B1079" i="3"/>
  <c r="B1083" i="3"/>
  <c r="B1087" i="3"/>
  <c r="B1091" i="3"/>
  <c r="B1095" i="3"/>
  <c r="B1099" i="3"/>
  <c r="B1103" i="3"/>
  <c r="B1107" i="3"/>
  <c r="B1111" i="3"/>
  <c r="B1115" i="3"/>
  <c r="B1119" i="3"/>
  <c r="B1123" i="3"/>
  <c r="B1127" i="3"/>
  <c r="B1131" i="3"/>
  <c r="B1135" i="3"/>
  <c r="B1139" i="3"/>
  <c r="B1143" i="3"/>
  <c r="B1147" i="3"/>
  <c r="B1151" i="3"/>
  <c r="B1155" i="3"/>
  <c r="B1159" i="3"/>
  <c r="B1163" i="3"/>
  <c r="B1167" i="3"/>
  <c r="B1171" i="3"/>
  <c r="B1175" i="3"/>
  <c r="B1179" i="3"/>
  <c r="B1183" i="3"/>
  <c r="B1187" i="3"/>
  <c r="B1191" i="3"/>
  <c r="B1195" i="3"/>
  <c r="B1199" i="3"/>
  <c r="B1203" i="3"/>
  <c r="B1207" i="3"/>
  <c r="B1211" i="3"/>
  <c r="B1215" i="3"/>
  <c r="B1219" i="3"/>
  <c r="B868" i="3"/>
  <c r="B872" i="3"/>
  <c r="B876" i="3"/>
  <c r="B880" i="3"/>
  <c r="B884" i="3"/>
  <c r="B888" i="3"/>
  <c r="B892" i="3"/>
  <c r="B896" i="3"/>
  <c r="B900" i="3"/>
  <c r="B904" i="3"/>
  <c r="B908" i="3"/>
  <c r="B912" i="3"/>
  <c r="B916" i="3"/>
  <c r="B920" i="3"/>
  <c r="B924" i="3"/>
  <c r="B928" i="3"/>
  <c r="B932" i="3"/>
  <c r="B936" i="3"/>
  <c r="B940" i="3"/>
  <c r="B944" i="3"/>
  <c r="B948" i="3"/>
  <c r="B952" i="3"/>
  <c r="B956" i="3"/>
  <c r="B960" i="3"/>
  <c r="B964" i="3"/>
  <c r="B968" i="3"/>
  <c r="B972" i="3"/>
  <c r="B976" i="3"/>
  <c r="B980" i="3"/>
  <c r="B984" i="3"/>
  <c r="B988" i="3"/>
  <c r="B992" i="3"/>
  <c r="B996" i="3"/>
  <c r="B1000" i="3"/>
  <c r="B1004" i="3"/>
  <c r="B1008" i="3"/>
  <c r="B1012" i="3"/>
  <c r="B1016" i="3"/>
  <c r="B1020" i="3"/>
  <c r="B1024" i="3"/>
  <c r="B1028" i="3"/>
  <c r="B1032" i="3"/>
  <c r="B1036" i="3"/>
  <c r="B1040" i="3"/>
  <c r="B1044" i="3"/>
  <c r="B1048" i="3"/>
  <c r="B1052" i="3"/>
  <c r="B1056" i="3"/>
  <c r="B1060" i="3"/>
  <c r="B1064" i="3"/>
  <c r="B1068" i="3"/>
  <c r="B1072" i="3"/>
  <c r="B1076" i="3"/>
  <c r="B1080" i="3"/>
  <c r="B1084" i="3"/>
  <c r="B1088" i="3"/>
  <c r="B1092" i="3"/>
  <c r="B1096" i="3"/>
  <c r="B1100" i="3"/>
  <c r="B1104" i="3"/>
  <c r="B1108" i="3"/>
  <c r="B1112" i="3"/>
  <c r="B1116" i="3"/>
  <c r="B1120" i="3"/>
  <c r="B1124" i="3"/>
  <c r="B1128" i="3"/>
  <c r="B1132" i="3"/>
  <c r="B1136" i="3"/>
  <c r="B1140" i="3"/>
  <c r="B1144" i="3"/>
  <c r="B1148" i="3"/>
  <c r="B1152" i="3"/>
  <c r="B1156" i="3"/>
  <c r="B1160" i="3"/>
  <c r="B1164" i="3"/>
  <c r="B1168" i="3"/>
  <c r="B1172" i="3"/>
  <c r="B1176" i="3"/>
  <c r="B1180" i="3"/>
  <c r="B1184" i="3"/>
  <c r="B1188" i="3"/>
  <c r="B1192" i="3"/>
  <c r="B1196" i="3"/>
  <c r="B1200" i="3"/>
  <c r="B1204" i="3"/>
  <c r="B1208" i="3"/>
  <c r="B1212" i="3"/>
  <c r="B1216" i="3"/>
  <c r="B1220" i="3"/>
  <c r="C559" i="3"/>
  <c r="C563" i="3"/>
  <c r="C567" i="3"/>
  <c r="C571" i="3"/>
  <c r="C575" i="3"/>
  <c r="C583" i="3"/>
  <c r="C587" i="3"/>
  <c r="C591" i="3"/>
  <c r="C595" i="3"/>
  <c r="C599" i="3"/>
  <c r="C603" i="3"/>
  <c r="C607" i="3"/>
  <c r="C611" i="3"/>
  <c r="C615" i="3"/>
  <c r="C619" i="3"/>
  <c r="C623" i="3"/>
  <c r="C627" i="3"/>
  <c r="C631" i="3"/>
  <c r="C635" i="3"/>
  <c r="C643" i="3"/>
  <c r="C647" i="3"/>
  <c r="C651" i="3"/>
  <c r="C655" i="3"/>
  <c r="C659" i="3"/>
  <c r="C663" i="3"/>
  <c r="C667" i="3"/>
  <c r="C671" i="3"/>
  <c r="C675" i="3"/>
  <c r="C679" i="3"/>
  <c r="C683" i="3"/>
  <c r="C687" i="3"/>
  <c r="C691" i="3"/>
  <c r="C695" i="3"/>
  <c r="C699" i="3"/>
  <c r="C703" i="3"/>
  <c r="C707" i="3"/>
  <c r="C711" i="3"/>
  <c r="C715" i="3"/>
  <c r="C719" i="3"/>
  <c r="C723" i="3"/>
  <c r="C727" i="3"/>
  <c r="C731" i="3"/>
  <c r="C739" i="3"/>
  <c r="C743" i="3"/>
  <c r="C747" i="3"/>
  <c r="C751" i="3"/>
  <c r="C755" i="3"/>
  <c r="C759" i="3"/>
  <c r="C763" i="3"/>
  <c r="C767" i="3"/>
  <c r="C771" i="3"/>
  <c r="C775" i="3"/>
  <c r="C783" i="3"/>
  <c r="C787" i="3"/>
  <c r="C791" i="3"/>
  <c r="C795" i="3"/>
  <c r="C799" i="3"/>
  <c r="C803" i="3"/>
  <c r="C807" i="3"/>
  <c r="C811" i="3"/>
  <c r="C815" i="3"/>
  <c r="C819" i="3"/>
  <c r="C823" i="3"/>
  <c r="C827" i="3"/>
  <c r="C831" i="3"/>
  <c r="C835" i="3"/>
  <c r="C839" i="3"/>
  <c r="C843" i="3"/>
  <c r="C847" i="3"/>
  <c r="C851" i="3"/>
  <c r="C855" i="3"/>
  <c r="C859" i="3"/>
  <c r="C863" i="3"/>
  <c r="C867" i="3"/>
  <c r="C871" i="3"/>
  <c r="C879" i="3"/>
  <c r="C883" i="3"/>
  <c r="C887" i="3"/>
  <c r="C891" i="3"/>
  <c r="C895" i="3"/>
  <c r="C899" i="3"/>
  <c r="C903" i="3"/>
  <c r="C907" i="3"/>
  <c r="C911" i="3"/>
  <c r="C915" i="3"/>
  <c r="C919" i="3"/>
  <c r="C923" i="3"/>
  <c r="C927" i="3"/>
  <c r="C931" i="3"/>
  <c r="C935" i="3"/>
  <c r="C939" i="3"/>
  <c r="C943" i="3"/>
  <c r="C947" i="3"/>
  <c r="C951" i="3"/>
  <c r="C955" i="3"/>
  <c r="C959" i="3"/>
  <c r="C963" i="3"/>
  <c r="C967" i="3"/>
  <c r="C971" i="3"/>
  <c r="C975" i="3"/>
  <c r="C979" i="3"/>
  <c r="C983" i="3"/>
  <c r="C987" i="3"/>
  <c r="C991" i="3"/>
  <c r="C995" i="3"/>
  <c r="C999" i="3"/>
  <c r="C1003" i="3"/>
  <c r="C1007" i="3"/>
  <c r="C1011" i="3"/>
  <c r="C1015" i="3"/>
  <c r="C1019" i="3"/>
  <c r="C1023" i="3"/>
  <c r="C1027" i="3"/>
  <c r="C1031" i="3"/>
  <c r="C1035" i="3"/>
  <c r="C1039" i="3"/>
  <c r="C1043" i="3"/>
  <c r="C1047" i="3"/>
  <c r="C1051" i="3"/>
  <c r="C1055" i="3"/>
  <c r="C1059" i="3"/>
  <c r="C1063" i="3"/>
  <c r="C1067" i="3"/>
  <c r="C1071" i="3"/>
  <c r="C1075" i="3"/>
  <c r="C1079" i="3"/>
  <c r="C1083" i="3"/>
  <c r="C1087" i="3"/>
  <c r="C1091" i="3"/>
  <c r="C1095" i="3"/>
  <c r="C1099" i="3"/>
  <c r="C1103" i="3"/>
  <c r="C1107" i="3"/>
  <c r="C1111" i="3"/>
  <c r="C1115" i="3"/>
  <c r="C1119" i="3"/>
  <c r="C1123" i="3"/>
  <c r="C1127" i="3"/>
  <c r="C1131" i="3"/>
  <c r="C1135" i="3"/>
  <c r="C1139" i="3"/>
  <c r="C1143" i="3"/>
  <c r="C1147" i="3"/>
  <c r="C1151" i="3"/>
  <c r="C1155" i="3"/>
  <c r="C1159" i="3"/>
  <c r="C1163" i="3"/>
  <c r="C1167" i="3"/>
  <c r="C1171" i="3"/>
  <c r="C1175" i="3"/>
  <c r="C1179" i="3"/>
  <c r="C1183" i="3"/>
  <c r="C1187" i="3"/>
  <c r="C1191" i="3"/>
  <c r="C1195" i="3"/>
  <c r="C1199" i="3"/>
  <c r="C1203" i="3"/>
  <c r="C1207" i="3"/>
  <c r="C1211" i="3"/>
  <c r="C1215" i="3"/>
  <c r="C1219" i="3"/>
  <c r="C869" i="3"/>
  <c r="C873" i="3"/>
  <c r="C877" i="3"/>
  <c r="C881" i="3"/>
  <c r="C885" i="3"/>
  <c r="C889" i="3"/>
  <c r="C893" i="3"/>
  <c r="C897" i="3"/>
  <c r="C901" i="3"/>
  <c r="C909" i="3"/>
  <c r="C917" i="3"/>
  <c r="C921" i="3"/>
  <c r="C925" i="3"/>
  <c r="C929" i="3"/>
  <c r="C933" i="3"/>
  <c r="C937" i="3"/>
  <c r="C941" i="3"/>
  <c r="C945" i="3"/>
  <c r="C949" i="3"/>
  <c r="C957" i="3"/>
  <c r="C961" i="3"/>
  <c r="C965" i="3"/>
  <c r="C969" i="3"/>
  <c r="C973" i="3"/>
  <c r="C981" i="3"/>
  <c r="C985" i="3"/>
  <c r="C989" i="3"/>
  <c r="C993" i="3"/>
  <c r="C997" i="3"/>
  <c r="C1001" i="3"/>
  <c r="C1005" i="3"/>
  <c r="C1009" i="3"/>
  <c r="C1013" i="3"/>
  <c r="C1017" i="3"/>
  <c r="C1021" i="3"/>
  <c r="C1025" i="3"/>
  <c r="C1029" i="3"/>
  <c r="C1033" i="3"/>
  <c r="C1037" i="3"/>
  <c r="C1041" i="3"/>
  <c r="C1045" i="3"/>
  <c r="C1049" i="3"/>
  <c r="C1053" i="3"/>
  <c r="C1057" i="3"/>
  <c r="C1061" i="3"/>
  <c r="C1065" i="3"/>
  <c r="C1069" i="3"/>
  <c r="C1073" i="3"/>
  <c r="C1077" i="3"/>
  <c r="C1081" i="3"/>
  <c r="C1085" i="3"/>
  <c r="C1089" i="3"/>
  <c r="C1093" i="3"/>
  <c r="C1097" i="3"/>
  <c r="C1101" i="3"/>
  <c r="C1105" i="3"/>
  <c r="C1109" i="3"/>
  <c r="C1113" i="3"/>
  <c r="C1117" i="3"/>
  <c r="C1121" i="3"/>
  <c r="C1125" i="3"/>
  <c r="C1129" i="3"/>
  <c r="C1133" i="3"/>
  <c r="C1137" i="3"/>
  <c r="C1141" i="3"/>
  <c r="C1145" i="3"/>
  <c r="C1149" i="3"/>
  <c r="C1153" i="3"/>
  <c r="C1157" i="3"/>
  <c r="C1161" i="3"/>
  <c r="C1165" i="3"/>
  <c r="C1169" i="3"/>
  <c r="C1173" i="3"/>
  <c r="C1177" i="3"/>
  <c r="C1181" i="3"/>
  <c r="C1185" i="3"/>
  <c r="C1189" i="3"/>
  <c r="C1193" i="3"/>
  <c r="C1197" i="3"/>
  <c r="C1201" i="3"/>
  <c r="C1205" i="3"/>
  <c r="C1209" i="3"/>
  <c r="C1213" i="3"/>
  <c r="C1217" i="3"/>
  <c r="B1082" i="3"/>
  <c r="B1086" i="3"/>
  <c r="B1090" i="3"/>
  <c r="B1098" i="3"/>
  <c r="B1102" i="3"/>
  <c r="B1106" i="3"/>
  <c r="B1110" i="3"/>
  <c r="B1118" i="3"/>
  <c r="B1122" i="3"/>
  <c r="B1126" i="3"/>
  <c r="B1130" i="3"/>
  <c r="B1134" i="3"/>
  <c r="B1138" i="3"/>
  <c r="B1142" i="3"/>
  <c r="B1146" i="3"/>
  <c r="B1150" i="3"/>
  <c r="B1154" i="3"/>
  <c r="B1158" i="3"/>
  <c r="B1162" i="3"/>
  <c r="B1166" i="3"/>
  <c r="B1170" i="3"/>
  <c r="B1174" i="3"/>
  <c r="B1178" i="3"/>
  <c r="B1182" i="3"/>
  <c r="B1186" i="3"/>
  <c r="B1190" i="3"/>
  <c r="B1194" i="3"/>
  <c r="B1198" i="3"/>
  <c r="B1202" i="3"/>
  <c r="B1206" i="3"/>
  <c r="B1214" i="3"/>
  <c r="B1218" i="3"/>
</calcChain>
</file>

<file path=xl/sharedStrings.xml><?xml version="1.0" encoding="utf-8"?>
<sst xmlns="http://schemas.openxmlformats.org/spreadsheetml/2006/main" count="38" uniqueCount="23">
  <si>
    <t>Data</t>
  </si>
  <si>
    <t>ICO2_Fechamento</t>
  </si>
  <si>
    <t>Ibovespa_Fechamento</t>
  </si>
  <si>
    <t>ICO2_LogRetorno</t>
  </si>
  <si>
    <t>Ibovespa_LogRetorno</t>
  </si>
  <si>
    <t>Ano</t>
  </si>
  <si>
    <t>Tabela 1 — Estatísticas descritivas dos log-retornos diários (ICO2 x Ibovespa), 2021–2026</t>
  </si>
  <si>
    <t>Índice</t>
  </si>
  <si>
    <t>Obs.</t>
  </si>
  <si>
    <t>Média</t>
  </si>
  <si>
    <t>Desvio Padrão</t>
  </si>
  <si>
    <t>Mínimo</t>
  </si>
  <si>
    <t>Máximo</t>
  </si>
  <si>
    <t>Assimetria</t>
  </si>
  <si>
    <t>Curtose</t>
  </si>
  <si>
    <t>ICO2</t>
  </si>
  <si>
    <t>Ibovespa</t>
  </si>
  <si>
    <t>Total</t>
  </si>
  <si>
    <t>Nota: log-retorno = LN(P_t / P_{t-1}); ano de 2021 contém apenas set–dez (81 obs.) e 2026 contém apenas jan–ago (166 obs.).</t>
  </si>
  <si>
    <t>Figura 2 — Volatilidade histórica (janela móvel de 30 dias, anualizada)</t>
  </si>
  <si>
    <t>Vol_Anualizada_ICO2</t>
  </si>
  <si>
    <t>Vol_Anualizada_Ibovespa</t>
  </si>
  <si>
    <t>Figura 1 — Evolução temporal dos índices e log-retornos (2021–2026)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</si>
</sst>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5" fillId="0" borderId="0" xfId="0" applyFont="1"/>
    <xf numFmtId="14" fontId="0" fillId="0" borderId="0" xfId="0" applyNumberFormat="1"/>
    <xf numFmtId="10" fontId="0" fillId="0" borderId="0" xfId="0" applyNumberFormat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Volatilidade anualizada — janela móvel de 30 dias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Fig2_VolatilidadeMovel!$B$3</c:f>
              <c:strCache>
                <c:ptCount val="1"/>
                <c:pt idx="0">
                  <c:v>Vol_Anualizada_ICO2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Fig2_VolatilidadeMovel!$A$4:$A$1220</c:f>
              <c:numCache>
                <c:formatCode>m/d/yy</c:formatCode>
                <c:ptCount val="1217"/>
                <c:pt idx="0">
                  <c:v>44484</c:v>
                </c:pt>
                <c:pt idx="1">
                  <c:v>44487</c:v>
                </c:pt>
                <c:pt idx="2">
                  <c:v>44488</c:v>
                </c:pt>
                <c:pt idx="3">
                  <c:v>44489</c:v>
                </c:pt>
                <c:pt idx="4">
                  <c:v>44490</c:v>
                </c:pt>
                <c:pt idx="5">
                  <c:v>44491</c:v>
                </c:pt>
                <c:pt idx="6">
                  <c:v>44494</c:v>
                </c:pt>
                <c:pt idx="7">
                  <c:v>44495</c:v>
                </c:pt>
                <c:pt idx="8">
                  <c:v>44496</c:v>
                </c:pt>
                <c:pt idx="9">
                  <c:v>44497</c:v>
                </c:pt>
                <c:pt idx="10">
                  <c:v>44498</c:v>
                </c:pt>
                <c:pt idx="11">
                  <c:v>44501</c:v>
                </c:pt>
                <c:pt idx="12">
                  <c:v>44503</c:v>
                </c:pt>
                <c:pt idx="13">
                  <c:v>44504</c:v>
                </c:pt>
                <c:pt idx="14">
                  <c:v>44505</c:v>
                </c:pt>
                <c:pt idx="15">
                  <c:v>44508</c:v>
                </c:pt>
                <c:pt idx="16">
                  <c:v>44509</c:v>
                </c:pt>
                <c:pt idx="17">
                  <c:v>44510</c:v>
                </c:pt>
                <c:pt idx="18">
                  <c:v>44511</c:v>
                </c:pt>
                <c:pt idx="19">
                  <c:v>44512</c:v>
                </c:pt>
                <c:pt idx="20">
                  <c:v>44516</c:v>
                </c:pt>
                <c:pt idx="21">
                  <c:v>44517</c:v>
                </c:pt>
                <c:pt idx="22">
                  <c:v>44518</c:v>
                </c:pt>
                <c:pt idx="23">
                  <c:v>44519</c:v>
                </c:pt>
                <c:pt idx="24">
                  <c:v>44522</c:v>
                </c:pt>
                <c:pt idx="25">
                  <c:v>44523</c:v>
                </c:pt>
                <c:pt idx="26">
                  <c:v>44524</c:v>
                </c:pt>
                <c:pt idx="27">
                  <c:v>44525</c:v>
                </c:pt>
                <c:pt idx="28">
                  <c:v>44526</c:v>
                </c:pt>
                <c:pt idx="29">
                  <c:v>44529</c:v>
                </c:pt>
                <c:pt idx="30">
                  <c:v>44530</c:v>
                </c:pt>
                <c:pt idx="31">
                  <c:v>44531</c:v>
                </c:pt>
                <c:pt idx="32">
                  <c:v>44532</c:v>
                </c:pt>
                <c:pt idx="33">
                  <c:v>44533</c:v>
                </c:pt>
                <c:pt idx="34">
                  <c:v>44536</c:v>
                </c:pt>
                <c:pt idx="35">
                  <c:v>44537</c:v>
                </c:pt>
                <c:pt idx="36">
                  <c:v>44538</c:v>
                </c:pt>
                <c:pt idx="37">
                  <c:v>44539</c:v>
                </c:pt>
                <c:pt idx="38">
                  <c:v>44540</c:v>
                </c:pt>
                <c:pt idx="39">
                  <c:v>44543</c:v>
                </c:pt>
                <c:pt idx="40">
                  <c:v>44544</c:v>
                </c:pt>
                <c:pt idx="41">
                  <c:v>44545</c:v>
                </c:pt>
                <c:pt idx="42">
                  <c:v>44546</c:v>
                </c:pt>
                <c:pt idx="43">
                  <c:v>44547</c:v>
                </c:pt>
                <c:pt idx="44">
                  <c:v>44550</c:v>
                </c:pt>
                <c:pt idx="45">
                  <c:v>44551</c:v>
                </c:pt>
                <c:pt idx="46">
                  <c:v>44552</c:v>
                </c:pt>
                <c:pt idx="47">
                  <c:v>44553</c:v>
                </c:pt>
                <c:pt idx="48">
                  <c:v>44557</c:v>
                </c:pt>
                <c:pt idx="49">
                  <c:v>44558</c:v>
                </c:pt>
                <c:pt idx="50">
                  <c:v>44559</c:v>
                </c:pt>
                <c:pt idx="51">
                  <c:v>44560</c:v>
                </c:pt>
                <c:pt idx="52">
                  <c:v>44564</c:v>
                </c:pt>
                <c:pt idx="53">
                  <c:v>44565</c:v>
                </c:pt>
                <c:pt idx="54">
                  <c:v>44566</c:v>
                </c:pt>
                <c:pt idx="55">
                  <c:v>44567</c:v>
                </c:pt>
                <c:pt idx="56">
                  <c:v>44568</c:v>
                </c:pt>
                <c:pt idx="57">
                  <c:v>44571</c:v>
                </c:pt>
                <c:pt idx="58">
                  <c:v>44572</c:v>
                </c:pt>
                <c:pt idx="59">
                  <c:v>44573</c:v>
                </c:pt>
                <c:pt idx="60">
                  <c:v>44574</c:v>
                </c:pt>
                <c:pt idx="61">
                  <c:v>44575</c:v>
                </c:pt>
                <c:pt idx="62">
                  <c:v>44578</c:v>
                </c:pt>
                <c:pt idx="63">
                  <c:v>44579</c:v>
                </c:pt>
                <c:pt idx="64">
                  <c:v>44580</c:v>
                </c:pt>
                <c:pt idx="65">
                  <c:v>44581</c:v>
                </c:pt>
                <c:pt idx="66">
                  <c:v>44582</c:v>
                </c:pt>
                <c:pt idx="67">
                  <c:v>44585</c:v>
                </c:pt>
                <c:pt idx="68">
                  <c:v>44586</c:v>
                </c:pt>
                <c:pt idx="69">
                  <c:v>44587</c:v>
                </c:pt>
                <c:pt idx="70">
                  <c:v>44588</c:v>
                </c:pt>
                <c:pt idx="71">
                  <c:v>44589</c:v>
                </c:pt>
                <c:pt idx="72">
                  <c:v>44592</c:v>
                </c:pt>
                <c:pt idx="73">
                  <c:v>44593</c:v>
                </c:pt>
                <c:pt idx="74">
                  <c:v>44594</c:v>
                </c:pt>
                <c:pt idx="75">
                  <c:v>44595</c:v>
                </c:pt>
                <c:pt idx="76">
                  <c:v>44596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44606</c:v>
                </c:pt>
                <c:pt idx="83">
                  <c:v>44607</c:v>
                </c:pt>
                <c:pt idx="84">
                  <c:v>44608</c:v>
                </c:pt>
                <c:pt idx="85">
                  <c:v>44609</c:v>
                </c:pt>
                <c:pt idx="86">
                  <c:v>44610</c:v>
                </c:pt>
                <c:pt idx="87">
                  <c:v>44613</c:v>
                </c:pt>
                <c:pt idx="88">
                  <c:v>44614</c:v>
                </c:pt>
                <c:pt idx="89">
                  <c:v>44615</c:v>
                </c:pt>
                <c:pt idx="90">
                  <c:v>44616</c:v>
                </c:pt>
                <c:pt idx="91">
                  <c:v>44617</c:v>
                </c:pt>
                <c:pt idx="92">
                  <c:v>44622</c:v>
                </c:pt>
                <c:pt idx="93">
                  <c:v>44623</c:v>
                </c:pt>
                <c:pt idx="94">
                  <c:v>44624</c:v>
                </c:pt>
                <c:pt idx="95">
                  <c:v>44627</c:v>
                </c:pt>
                <c:pt idx="96">
                  <c:v>44628</c:v>
                </c:pt>
                <c:pt idx="97">
                  <c:v>44629</c:v>
                </c:pt>
                <c:pt idx="98">
                  <c:v>44630</c:v>
                </c:pt>
                <c:pt idx="99">
                  <c:v>44631</c:v>
                </c:pt>
                <c:pt idx="100">
                  <c:v>44634</c:v>
                </c:pt>
                <c:pt idx="101">
                  <c:v>44635</c:v>
                </c:pt>
                <c:pt idx="102">
                  <c:v>44636</c:v>
                </c:pt>
                <c:pt idx="103">
                  <c:v>44637</c:v>
                </c:pt>
                <c:pt idx="104">
                  <c:v>44638</c:v>
                </c:pt>
                <c:pt idx="105">
                  <c:v>44641</c:v>
                </c:pt>
                <c:pt idx="106">
                  <c:v>44642</c:v>
                </c:pt>
                <c:pt idx="107">
                  <c:v>44643</c:v>
                </c:pt>
                <c:pt idx="108">
                  <c:v>44644</c:v>
                </c:pt>
                <c:pt idx="109">
                  <c:v>44645</c:v>
                </c:pt>
                <c:pt idx="110">
                  <c:v>44648</c:v>
                </c:pt>
                <c:pt idx="111">
                  <c:v>44649</c:v>
                </c:pt>
                <c:pt idx="112">
                  <c:v>44650</c:v>
                </c:pt>
                <c:pt idx="113">
                  <c:v>44651</c:v>
                </c:pt>
                <c:pt idx="114">
                  <c:v>44652</c:v>
                </c:pt>
                <c:pt idx="115">
                  <c:v>44655</c:v>
                </c:pt>
                <c:pt idx="116">
                  <c:v>44656</c:v>
                </c:pt>
                <c:pt idx="117">
                  <c:v>44657</c:v>
                </c:pt>
                <c:pt idx="118">
                  <c:v>44658</c:v>
                </c:pt>
                <c:pt idx="119">
                  <c:v>44659</c:v>
                </c:pt>
                <c:pt idx="120">
                  <c:v>44662</c:v>
                </c:pt>
                <c:pt idx="121">
                  <c:v>44663</c:v>
                </c:pt>
                <c:pt idx="122">
                  <c:v>44664</c:v>
                </c:pt>
                <c:pt idx="123">
                  <c:v>44665</c:v>
                </c:pt>
                <c:pt idx="124">
                  <c:v>44669</c:v>
                </c:pt>
                <c:pt idx="125">
                  <c:v>44670</c:v>
                </c:pt>
                <c:pt idx="126">
                  <c:v>44671</c:v>
                </c:pt>
                <c:pt idx="127">
                  <c:v>44673</c:v>
                </c:pt>
                <c:pt idx="128">
                  <c:v>44676</c:v>
                </c:pt>
                <c:pt idx="129">
                  <c:v>44677</c:v>
                </c:pt>
                <c:pt idx="130">
                  <c:v>44678</c:v>
                </c:pt>
                <c:pt idx="131">
                  <c:v>44679</c:v>
                </c:pt>
                <c:pt idx="132">
                  <c:v>44680</c:v>
                </c:pt>
                <c:pt idx="133">
                  <c:v>44683</c:v>
                </c:pt>
                <c:pt idx="134">
                  <c:v>44684</c:v>
                </c:pt>
                <c:pt idx="135">
                  <c:v>44685</c:v>
                </c:pt>
                <c:pt idx="136">
                  <c:v>44686</c:v>
                </c:pt>
                <c:pt idx="137">
                  <c:v>44687</c:v>
                </c:pt>
                <c:pt idx="138">
                  <c:v>44690</c:v>
                </c:pt>
                <c:pt idx="139">
                  <c:v>44691</c:v>
                </c:pt>
                <c:pt idx="140">
                  <c:v>44692</c:v>
                </c:pt>
                <c:pt idx="141">
                  <c:v>44693</c:v>
                </c:pt>
                <c:pt idx="142">
                  <c:v>44694</c:v>
                </c:pt>
                <c:pt idx="143">
                  <c:v>44697</c:v>
                </c:pt>
                <c:pt idx="144">
                  <c:v>44698</c:v>
                </c:pt>
                <c:pt idx="145">
                  <c:v>44699</c:v>
                </c:pt>
                <c:pt idx="146">
                  <c:v>44700</c:v>
                </c:pt>
                <c:pt idx="147">
                  <c:v>44701</c:v>
                </c:pt>
                <c:pt idx="148">
                  <c:v>44704</c:v>
                </c:pt>
                <c:pt idx="149">
                  <c:v>44705</c:v>
                </c:pt>
                <c:pt idx="150">
                  <c:v>44706</c:v>
                </c:pt>
                <c:pt idx="151">
                  <c:v>44707</c:v>
                </c:pt>
                <c:pt idx="152">
                  <c:v>44708</c:v>
                </c:pt>
                <c:pt idx="153">
                  <c:v>44711</c:v>
                </c:pt>
                <c:pt idx="154">
                  <c:v>44712</c:v>
                </c:pt>
                <c:pt idx="155">
                  <c:v>44713</c:v>
                </c:pt>
                <c:pt idx="156">
                  <c:v>44714</c:v>
                </c:pt>
                <c:pt idx="157">
                  <c:v>44715</c:v>
                </c:pt>
                <c:pt idx="158">
                  <c:v>44718</c:v>
                </c:pt>
                <c:pt idx="159">
                  <c:v>44719</c:v>
                </c:pt>
                <c:pt idx="160">
                  <c:v>44720</c:v>
                </c:pt>
                <c:pt idx="161">
                  <c:v>44721</c:v>
                </c:pt>
                <c:pt idx="162">
                  <c:v>44722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44729</c:v>
                </c:pt>
                <c:pt idx="167">
                  <c:v>44732</c:v>
                </c:pt>
                <c:pt idx="168">
                  <c:v>44733</c:v>
                </c:pt>
                <c:pt idx="169">
                  <c:v>44734</c:v>
                </c:pt>
                <c:pt idx="170">
                  <c:v>44735</c:v>
                </c:pt>
                <c:pt idx="171">
                  <c:v>44736</c:v>
                </c:pt>
                <c:pt idx="172">
                  <c:v>44739</c:v>
                </c:pt>
                <c:pt idx="173">
                  <c:v>44740</c:v>
                </c:pt>
                <c:pt idx="174">
                  <c:v>44741</c:v>
                </c:pt>
                <c:pt idx="175">
                  <c:v>44742</c:v>
                </c:pt>
                <c:pt idx="176">
                  <c:v>44743</c:v>
                </c:pt>
                <c:pt idx="177">
                  <c:v>44746</c:v>
                </c:pt>
                <c:pt idx="178">
                  <c:v>44747</c:v>
                </c:pt>
                <c:pt idx="179">
                  <c:v>44748</c:v>
                </c:pt>
                <c:pt idx="180">
                  <c:v>44749</c:v>
                </c:pt>
                <c:pt idx="181">
                  <c:v>44750</c:v>
                </c:pt>
                <c:pt idx="182">
                  <c:v>44753</c:v>
                </c:pt>
                <c:pt idx="183">
                  <c:v>44754</c:v>
                </c:pt>
                <c:pt idx="184">
                  <c:v>44755</c:v>
                </c:pt>
                <c:pt idx="185">
                  <c:v>44756</c:v>
                </c:pt>
                <c:pt idx="186">
                  <c:v>44757</c:v>
                </c:pt>
                <c:pt idx="187">
                  <c:v>44760</c:v>
                </c:pt>
                <c:pt idx="188">
                  <c:v>44761</c:v>
                </c:pt>
                <c:pt idx="189">
                  <c:v>44762</c:v>
                </c:pt>
                <c:pt idx="190">
                  <c:v>44763</c:v>
                </c:pt>
                <c:pt idx="191">
                  <c:v>44764</c:v>
                </c:pt>
                <c:pt idx="192">
                  <c:v>44767</c:v>
                </c:pt>
                <c:pt idx="193">
                  <c:v>44768</c:v>
                </c:pt>
                <c:pt idx="194">
                  <c:v>44769</c:v>
                </c:pt>
                <c:pt idx="195">
                  <c:v>44770</c:v>
                </c:pt>
                <c:pt idx="196">
                  <c:v>44771</c:v>
                </c:pt>
                <c:pt idx="197">
                  <c:v>44774</c:v>
                </c:pt>
                <c:pt idx="198">
                  <c:v>44775</c:v>
                </c:pt>
                <c:pt idx="199">
                  <c:v>44776</c:v>
                </c:pt>
                <c:pt idx="200">
                  <c:v>44777</c:v>
                </c:pt>
                <c:pt idx="201">
                  <c:v>44778</c:v>
                </c:pt>
                <c:pt idx="202">
                  <c:v>44781</c:v>
                </c:pt>
                <c:pt idx="203">
                  <c:v>44782</c:v>
                </c:pt>
                <c:pt idx="204">
                  <c:v>44783</c:v>
                </c:pt>
                <c:pt idx="205">
                  <c:v>44784</c:v>
                </c:pt>
                <c:pt idx="206">
                  <c:v>44785</c:v>
                </c:pt>
                <c:pt idx="207">
                  <c:v>44788</c:v>
                </c:pt>
                <c:pt idx="208">
                  <c:v>44789</c:v>
                </c:pt>
                <c:pt idx="209">
                  <c:v>44790</c:v>
                </c:pt>
                <c:pt idx="210">
                  <c:v>44791</c:v>
                </c:pt>
                <c:pt idx="211">
                  <c:v>44792</c:v>
                </c:pt>
                <c:pt idx="212">
                  <c:v>44795</c:v>
                </c:pt>
                <c:pt idx="213">
                  <c:v>44796</c:v>
                </c:pt>
                <c:pt idx="214">
                  <c:v>44797</c:v>
                </c:pt>
                <c:pt idx="215">
                  <c:v>44798</c:v>
                </c:pt>
                <c:pt idx="216">
                  <c:v>44799</c:v>
                </c:pt>
                <c:pt idx="217">
                  <c:v>44802</c:v>
                </c:pt>
                <c:pt idx="218">
                  <c:v>44803</c:v>
                </c:pt>
                <c:pt idx="219">
                  <c:v>44804</c:v>
                </c:pt>
                <c:pt idx="220">
                  <c:v>44805</c:v>
                </c:pt>
                <c:pt idx="221">
                  <c:v>44806</c:v>
                </c:pt>
                <c:pt idx="222">
                  <c:v>44809</c:v>
                </c:pt>
                <c:pt idx="223">
                  <c:v>44810</c:v>
                </c:pt>
                <c:pt idx="224">
                  <c:v>44812</c:v>
                </c:pt>
                <c:pt idx="225">
                  <c:v>44813</c:v>
                </c:pt>
                <c:pt idx="226">
                  <c:v>44816</c:v>
                </c:pt>
                <c:pt idx="227">
                  <c:v>44817</c:v>
                </c:pt>
                <c:pt idx="228">
                  <c:v>44818</c:v>
                </c:pt>
                <c:pt idx="229">
                  <c:v>44819</c:v>
                </c:pt>
                <c:pt idx="230">
                  <c:v>44820</c:v>
                </c:pt>
                <c:pt idx="231">
                  <c:v>44823</c:v>
                </c:pt>
                <c:pt idx="232">
                  <c:v>44824</c:v>
                </c:pt>
                <c:pt idx="233">
                  <c:v>44825</c:v>
                </c:pt>
                <c:pt idx="234">
                  <c:v>44826</c:v>
                </c:pt>
                <c:pt idx="235">
                  <c:v>44827</c:v>
                </c:pt>
                <c:pt idx="236">
                  <c:v>44830</c:v>
                </c:pt>
                <c:pt idx="237">
                  <c:v>44831</c:v>
                </c:pt>
                <c:pt idx="238">
                  <c:v>44832</c:v>
                </c:pt>
                <c:pt idx="239">
                  <c:v>44833</c:v>
                </c:pt>
                <c:pt idx="240">
                  <c:v>44834</c:v>
                </c:pt>
                <c:pt idx="241">
                  <c:v>44837</c:v>
                </c:pt>
                <c:pt idx="242">
                  <c:v>44838</c:v>
                </c:pt>
                <c:pt idx="243">
                  <c:v>44839</c:v>
                </c:pt>
                <c:pt idx="244">
                  <c:v>44840</c:v>
                </c:pt>
                <c:pt idx="245">
                  <c:v>44841</c:v>
                </c:pt>
                <c:pt idx="246">
                  <c:v>44844</c:v>
                </c:pt>
                <c:pt idx="247">
                  <c:v>44845</c:v>
                </c:pt>
                <c:pt idx="248">
                  <c:v>44847</c:v>
                </c:pt>
                <c:pt idx="249">
                  <c:v>44848</c:v>
                </c:pt>
                <c:pt idx="250">
                  <c:v>44851</c:v>
                </c:pt>
                <c:pt idx="251">
                  <c:v>44852</c:v>
                </c:pt>
                <c:pt idx="252">
                  <c:v>44853</c:v>
                </c:pt>
                <c:pt idx="253">
                  <c:v>44854</c:v>
                </c:pt>
                <c:pt idx="254">
                  <c:v>44855</c:v>
                </c:pt>
                <c:pt idx="255">
                  <c:v>44858</c:v>
                </c:pt>
                <c:pt idx="256">
                  <c:v>44859</c:v>
                </c:pt>
                <c:pt idx="257">
                  <c:v>44860</c:v>
                </c:pt>
                <c:pt idx="258">
                  <c:v>44861</c:v>
                </c:pt>
                <c:pt idx="259">
                  <c:v>44862</c:v>
                </c:pt>
                <c:pt idx="260">
                  <c:v>44865</c:v>
                </c:pt>
                <c:pt idx="261">
                  <c:v>44866</c:v>
                </c:pt>
                <c:pt idx="262">
                  <c:v>44868</c:v>
                </c:pt>
                <c:pt idx="263">
                  <c:v>44869</c:v>
                </c:pt>
                <c:pt idx="264">
                  <c:v>44872</c:v>
                </c:pt>
                <c:pt idx="265">
                  <c:v>44873</c:v>
                </c:pt>
                <c:pt idx="266">
                  <c:v>44874</c:v>
                </c:pt>
                <c:pt idx="267">
                  <c:v>44875</c:v>
                </c:pt>
                <c:pt idx="268">
                  <c:v>44876</c:v>
                </c:pt>
                <c:pt idx="269">
                  <c:v>44879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44921</c:v>
                </c:pt>
                <c:pt idx="299">
                  <c:v>44922</c:v>
                </c:pt>
                <c:pt idx="300">
                  <c:v>44923</c:v>
                </c:pt>
                <c:pt idx="301">
                  <c:v>44924</c:v>
                </c:pt>
                <c:pt idx="302">
                  <c:v>44928</c:v>
                </c:pt>
                <c:pt idx="303">
                  <c:v>44929</c:v>
                </c:pt>
                <c:pt idx="304">
                  <c:v>44930</c:v>
                </c:pt>
                <c:pt idx="305">
                  <c:v>44931</c:v>
                </c:pt>
                <c:pt idx="306">
                  <c:v>44932</c:v>
                </c:pt>
                <c:pt idx="307">
                  <c:v>44935</c:v>
                </c:pt>
                <c:pt idx="308">
                  <c:v>44936</c:v>
                </c:pt>
                <c:pt idx="309">
                  <c:v>44937</c:v>
                </c:pt>
                <c:pt idx="310">
                  <c:v>44938</c:v>
                </c:pt>
                <c:pt idx="311">
                  <c:v>44939</c:v>
                </c:pt>
                <c:pt idx="312">
                  <c:v>44942</c:v>
                </c:pt>
                <c:pt idx="313">
                  <c:v>44943</c:v>
                </c:pt>
                <c:pt idx="314">
                  <c:v>44944</c:v>
                </c:pt>
                <c:pt idx="315">
                  <c:v>44945</c:v>
                </c:pt>
                <c:pt idx="316">
                  <c:v>44946</c:v>
                </c:pt>
                <c:pt idx="317">
                  <c:v>44949</c:v>
                </c:pt>
                <c:pt idx="318">
                  <c:v>44950</c:v>
                </c:pt>
                <c:pt idx="319">
                  <c:v>44951</c:v>
                </c:pt>
                <c:pt idx="320">
                  <c:v>44952</c:v>
                </c:pt>
                <c:pt idx="321">
                  <c:v>44953</c:v>
                </c:pt>
                <c:pt idx="322">
                  <c:v>44956</c:v>
                </c:pt>
                <c:pt idx="323">
                  <c:v>44957</c:v>
                </c:pt>
                <c:pt idx="324">
                  <c:v>44958</c:v>
                </c:pt>
                <c:pt idx="325">
                  <c:v>44959</c:v>
                </c:pt>
                <c:pt idx="326">
                  <c:v>44960</c:v>
                </c:pt>
                <c:pt idx="327">
                  <c:v>44963</c:v>
                </c:pt>
                <c:pt idx="328">
                  <c:v>44964</c:v>
                </c:pt>
                <c:pt idx="329">
                  <c:v>44965</c:v>
                </c:pt>
                <c:pt idx="330">
                  <c:v>44966</c:v>
                </c:pt>
                <c:pt idx="331">
                  <c:v>44967</c:v>
                </c:pt>
                <c:pt idx="332">
                  <c:v>44970</c:v>
                </c:pt>
                <c:pt idx="333">
                  <c:v>44971</c:v>
                </c:pt>
                <c:pt idx="334">
                  <c:v>44972</c:v>
                </c:pt>
                <c:pt idx="335">
                  <c:v>44973</c:v>
                </c:pt>
                <c:pt idx="336">
                  <c:v>44974</c:v>
                </c:pt>
                <c:pt idx="337">
                  <c:v>44979</c:v>
                </c:pt>
                <c:pt idx="338">
                  <c:v>44980</c:v>
                </c:pt>
                <c:pt idx="339">
                  <c:v>44981</c:v>
                </c:pt>
                <c:pt idx="340">
                  <c:v>44984</c:v>
                </c:pt>
                <c:pt idx="341">
                  <c:v>44985</c:v>
                </c:pt>
                <c:pt idx="342">
                  <c:v>44986</c:v>
                </c:pt>
                <c:pt idx="343">
                  <c:v>44987</c:v>
                </c:pt>
                <c:pt idx="344">
                  <c:v>44988</c:v>
                </c:pt>
                <c:pt idx="345">
                  <c:v>44991</c:v>
                </c:pt>
                <c:pt idx="346">
                  <c:v>44992</c:v>
                </c:pt>
                <c:pt idx="347">
                  <c:v>44993</c:v>
                </c:pt>
                <c:pt idx="348">
                  <c:v>44994</c:v>
                </c:pt>
                <c:pt idx="349">
                  <c:v>44995</c:v>
                </c:pt>
                <c:pt idx="350">
                  <c:v>44998</c:v>
                </c:pt>
                <c:pt idx="351">
                  <c:v>44999</c:v>
                </c:pt>
                <c:pt idx="352">
                  <c:v>45000</c:v>
                </c:pt>
                <c:pt idx="353">
                  <c:v>45001</c:v>
                </c:pt>
                <c:pt idx="354">
                  <c:v>45002</c:v>
                </c:pt>
                <c:pt idx="355">
                  <c:v>45005</c:v>
                </c:pt>
                <c:pt idx="356">
                  <c:v>45006</c:v>
                </c:pt>
                <c:pt idx="357">
                  <c:v>45007</c:v>
                </c:pt>
                <c:pt idx="358">
                  <c:v>45008</c:v>
                </c:pt>
                <c:pt idx="359">
                  <c:v>45009</c:v>
                </c:pt>
                <c:pt idx="360">
                  <c:v>45012</c:v>
                </c:pt>
                <c:pt idx="361">
                  <c:v>45013</c:v>
                </c:pt>
                <c:pt idx="362">
                  <c:v>45014</c:v>
                </c:pt>
                <c:pt idx="363">
                  <c:v>45015</c:v>
                </c:pt>
                <c:pt idx="364">
                  <c:v>45016</c:v>
                </c:pt>
                <c:pt idx="365">
                  <c:v>45019</c:v>
                </c:pt>
                <c:pt idx="366">
                  <c:v>45020</c:v>
                </c:pt>
                <c:pt idx="367">
                  <c:v>45021</c:v>
                </c:pt>
                <c:pt idx="368">
                  <c:v>45022</c:v>
                </c:pt>
                <c:pt idx="369">
                  <c:v>45026</c:v>
                </c:pt>
                <c:pt idx="370">
                  <c:v>45027</c:v>
                </c:pt>
                <c:pt idx="371">
                  <c:v>45028</c:v>
                </c:pt>
                <c:pt idx="372">
                  <c:v>45029</c:v>
                </c:pt>
                <c:pt idx="373">
                  <c:v>45030</c:v>
                </c:pt>
                <c:pt idx="374">
                  <c:v>45033</c:v>
                </c:pt>
                <c:pt idx="375">
                  <c:v>45034</c:v>
                </c:pt>
                <c:pt idx="376">
                  <c:v>45035</c:v>
                </c:pt>
                <c:pt idx="377">
                  <c:v>45036</c:v>
                </c:pt>
                <c:pt idx="378">
                  <c:v>45040</c:v>
                </c:pt>
                <c:pt idx="379">
                  <c:v>45041</c:v>
                </c:pt>
                <c:pt idx="380">
                  <c:v>45042</c:v>
                </c:pt>
                <c:pt idx="381">
                  <c:v>45043</c:v>
                </c:pt>
                <c:pt idx="382">
                  <c:v>45044</c:v>
                </c:pt>
                <c:pt idx="383">
                  <c:v>45048</c:v>
                </c:pt>
                <c:pt idx="384">
                  <c:v>45049</c:v>
                </c:pt>
                <c:pt idx="385">
                  <c:v>45050</c:v>
                </c:pt>
                <c:pt idx="386">
                  <c:v>45051</c:v>
                </c:pt>
                <c:pt idx="387">
                  <c:v>45054</c:v>
                </c:pt>
                <c:pt idx="388">
                  <c:v>45055</c:v>
                </c:pt>
                <c:pt idx="389">
                  <c:v>45056</c:v>
                </c:pt>
                <c:pt idx="390">
                  <c:v>45057</c:v>
                </c:pt>
                <c:pt idx="391">
                  <c:v>45058</c:v>
                </c:pt>
                <c:pt idx="392">
                  <c:v>45061</c:v>
                </c:pt>
                <c:pt idx="393">
                  <c:v>45062</c:v>
                </c:pt>
                <c:pt idx="394">
                  <c:v>45063</c:v>
                </c:pt>
                <c:pt idx="395">
                  <c:v>45064</c:v>
                </c:pt>
                <c:pt idx="396">
                  <c:v>45065</c:v>
                </c:pt>
                <c:pt idx="397">
                  <c:v>45068</c:v>
                </c:pt>
                <c:pt idx="398">
                  <c:v>45069</c:v>
                </c:pt>
                <c:pt idx="399">
                  <c:v>45070</c:v>
                </c:pt>
                <c:pt idx="400">
                  <c:v>45071</c:v>
                </c:pt>
                <c:pt idx="401">
                  <c:v>45072</c:v>
                </c:pt>
                <c:pt idx="402">
                  <c:v>45075</c:v>
                </c:pt>
                <c:pt idx="403">
                  <c:v>45076</c:v>
                </c:pt>
                <c:pt idx="404">
                  <c:v>45077</c:v>
                </c:pt>
                <c:pt idx="405">
                  <c:v>45078</c:v>
                </c:pt>
                <c:pt idx="406">
                  <c:v>45079</c:v>
                </c:pt>
                <c:pt idx="407">
                  <c:v>45082</c:v>
                </c:pt>
                <c:pt idx="408">
                  <c:v>45083</c:v>
                </c:pt>
                <c:pt idx="409">
                  <c:v>45084</c:v>
                </c:pt>
                <c:pt idx="410">
                  <c:v>45086</c:v>
                </c:pt>
                <c:pt idx="411">
                  <c:v>45089</c:v>
                </c:pt>
                <c:pt idx="412">
                  <c:v>45090</c:v>
                </c:pt>
                <c:pt idx="413">
                  <c:v>45091</c:v>
                </c:pt>
                <c:pt idx="414">
                  <c:v>45092</c:v>
                </c:pt>
                <c:pt idx="415">
                  <c:v>45093</c:v>
                </c:pt>
                <c:pt idx="416">
                  <c:v>45096</c:v>
                </c:pt>
                <c:pt idx="417">
                  <c:v>45097</c:v>
                </c:pt>
                <c:pt idx="418">
                  <c:v>45098</c:v>
                </c:pt>
                <c:pt idx="419">
                  <c:v>45099</c:v>
                </c:pt>
                <c:pt idx="420">
                  <c:v>45100</c:v>
                </c:pt>
                <c:pt idx="421">
                  <c:v>45103</c:v>
                </c:pt>
                <c:pt idx="422">
                  <c:v>45104</c:v>
                </c:pt>
                <c:pt idx="423">
                  <c:v>45105</c:v>
                </c:pt>
                <c:pt idx="424">
                  <c:v>45106</c:v>
                </c:pt>
                <c:pt idx="425">
                  <c:v>45107</c:v>
                </c:pt>
                <c:pt idx="426">
                  <c:v>45110</c:v>
                </c:pt>
                <c:pt idx="427">
                  <c:v>45111</c:v>
                </c:pt>
                <c:pt idx="428">
                  <c:v>45112</c:v>
                </c:pt>
                <c:pt idx="429">
                  <c:v>45113</c:v>
                </c:pt>
                <c:pt idx="430">
                  <c:v>45114</c:v>
                </c:pt>
                <c:pt idx="431">
                  <c:v>45117</c:v>
                </c:pt>
                <c:pt idx="432">
                  <c:v>45118</c:v>
                </c:pt>
                <c:pt idx="433">
                  <c:v>45119</c:v>
                </c:pt>
                <c:pt idx="434">
                  <c:v>45120</c:v>
                </c:pt>
                <c:pt idx="435">
                  <c:v>45121</c:v>
                </c:pt>
                <c:pt idx="436">
                  <c:v>45124</c:v>
                </c:pt>
                <c:pt idx="437">
                  <c:v>45125</c:v>
                </c:pt>
                <c:pt idx="438">
                  <c:v>45126</c:v>
                </c:pt>
                <c:pt idx="439">
                  <c:v>45127</c:v>
                </c:pt>
                <c:pt idx="440">
                  <c:v>45128</c:v>
                </c:pt>
                <c:pt idx="441">
                  <c:v>45131</c:v>
                </c:pt>
                <c:pt idx="442">
                  <c:v>45132</c:v>
                </c:pt>
                <c:pt idx="443">
                  <c:v>45133</c:v>
                </c:pt>
                <c:pt idx="444">
                  <c:v>45134</c:v>
                </c:pt>
                <c:pt idx="445">
                  <c:v>45135</c:v>
                </c:pt>
                <c:pt idx="446">
                  <c:v>45138</c:v>
                </c:pt>
                <c:pt idx="447">
                  <c:v>45139</c:v>
                </c:pt>
                <c:pt idx="448">
                  <c:v>45140</c:v>
                </c:pt>
                <c:pt idx="449">
                  <c:v>45141</c:v>
                </c:pt>
                <c:pt idx="450">
                  <c:v>45142</c:v>
                </c:pt>
                <c:pt idx="451">
                  <c:v>45145</c:v>
                </c:pt>
                <c:pt idx="452">
                  <c:v>45146</c:v>
                </c:pt>
                <c:pt idx="453">
                  <c:v>45147</c:v>
                </c:pt>
                <c:pt idx="454">
                  <c:v>45148</c:v>
                </c:pt>
                <c:pt idx="455">
                  <c:v>45149</c:v>
                </c:pt>
                <c:pt idx="456">
                  <c:v>45152</c:v>
                </c:pt>
                <c:pt idx="457">
                  <c:v>45153</c:v>
                </c:pt>
                <c:pt idx="458">
                  <c:v>45154</c:v>
                </c:pt>
                <c:pt idx="459">
                  <c:v>45155</c:v>
                </c:pt>
                <c:pt idx="460">
                  <c:v>45156</c:v>
                </c:pt>
                <c:pt idx="461">
                  <c:v>45159</c:v>
                </c:pt>
                <c:pt idx="462">
                  <c:v>45160</c:v>
                </c:pt>
                <c:pt idx="463">
                  <c:v>45161</c:v>
                </c:pt>
                <c:pt idx="464">
                  <c:v>45162</c:v>
                </c:pt>
                <c:pt idx="465">
                  <c:v>45163</c:v>
                </c:pt>
                <c:pt idx="466">
                  <c:v>45166</c:v>
                </c:pt>
                <c:pt idx="467">
                  <c:v>45167</c:v>
                </c:pt>
                <c:pt idx="468">
                  <c:v>45168</c:v>
                </c:pt>
                <c:pt idx="469">
                  <c:v>45169</c:v>
                </c:pt>
                <c:pt idx="470">
                  <c:v>45170</c:v>
                </c:pt>
                <c:pt idx="471">
                  <c:v>45173</c:v>
                </c:pt>
                <c:pt idx="472">
                  <c:v>45174</c:v>
                </c:pt>
                <c:pt idx="473">
                  <c:v>45175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45212</c:v>
                </c:pt>
                <c:pt idx="499">
                  <c:v>45215</c:v>
                </c:pt>
                <c:pt idx="500">
                  <c:v>45216</c:v>
                </c:pt>
                <c:pt idx="501">
                  <c:v>45217</c:v>
                </c:pt>
                <c:pt idx="502">
                  <c:v>45218</c:v>
                </c:pt>
                <c:pt idx="503">
                  <c:v>45219</c:v>
                </c:pt>
                <c:pt idx="504">
                  <c:v>45222</c:v>
                </c:pt>
                <c:pt idx="505">
                  <c:v>45223</c:v>
                </c:pt>
                <c:pt idx="506">
                  <c:v>45224</c:v>
                </c:pt>
                <c:pt idx="507">
                  <c:v>45225</c:v>
                </c:pt>
                <c:pt idx="508">
                  <c:v>45226</c:v>
                </c:pt>
                <c:pt idx="509">
                  <c:v>45229</c:v>
                </c:pt>
                <c:pt idx="510">
                  <c:v>45230</c:v>
                </c:pt>
                <c:pt idx="511">
                  <c:v>45231</c:v>
                </c:pt>
                <c:pt idx="512">
                  <c:v>45233</c:v>
                </c:pt>
                <c:pt idx="513">
                  <c:v>45236</c:v>
                </c:pt>
                <c:pt idx="514">
                  <c:v>45237</c:v>
                </c:pt>
                <c:pt idx="515">
                  <c:v>45238</c:v>
                </c:pt>
                <c:pt idx="516">
                  <c:v>45239</c:v>
                </c:pt>
                <c:pt idx="517">
                  <c:v>45240</c:v>
                </c:pt>
                <c:pt idx="518">
                  <c:v>45243</c:v>
                </c:pt>
                <c:pt idx="519">
                  <c:v>45244</c:v>
                </c:pt>
                <c:pt idx="520">
                  <c:v>45246</c:v>
                </c:pt>
                <c:pt idx="521">
                  <c:v>45247</c:v>
                </c:pt>
                <c:pt idx="522">
                  <c:v>45250</c:v>
                </c:pt>
                <c:pt idx="523">
                  <c:v>45251</c:v>
                </c:pt>
                <c:pt idx="524">
                  <c:v>45252</c:v>
                </c:pt>
                <c:pt idx="525">
                  <c:v>45253</c:v>
                </c:pt>
                <c:pt idx="526">
                  <c:v>45254</c:v>
                </c:pt>
                <c:pt idx="527">
                  <c:v>45257</c:v>
                </c:pt>
                <c:pt idx="528">
                  <c:v>45258</c:v>
                </c:pt>
                <c:pt idx="529">
                  <c:v>45259</c:v>
                </c:pt>
                <c:pt idx="530">
                  <c:v>45260</c:v>
                </c:pt>
                <c:pt idx="531">
                  <c:v>45261</c:v>
                </c:pt>
                <c:pt idx="532">
                  <c:v>45264</c:v>
                </c:pt>
                <c:pt idx="533">
                  <c:v>45265</c:v>
                </c:pt>
                <c:pt idx="534">
                  <c:v>45266</c:v>
                </c:pt>
                <c:pt idx="535">
                  <c:v>45267</c:v>
                </c:pt>
                <c:pt idx="536">
                  <c:v>45268</c:v>
                </c:pt>
                <c:pt idx="537">
                  <c:v>45271</c:v>
                </c:pt>
                <c:pt idx="538">
                  <c:v>45272</c:v>
                </c:pt>
                <c:pt idx="539">
                  <c:v>45273</c:v>
                </c:pt>
                <c:pt idx="540">
                  <c:v>45274</c:v>
                </c:pt>
                <c:pt idx="541">
                  <c:v>45275</c:v>
                </c:pt>
                <c:pt idx="542">
                  <c:v>45278</c:v>
                </c:pt>
                <c:pt idx="543">
                  <c:v>45279</c:v>
                </c:pt>
                <c:pt idx="544">
                  <c:v>45280</c:v>
                </c:pt>
                <c:pt idx="545">
                  <c:v>45281</c:v>
                </c:pt>
                <c:pt idx="546">
                  <c:v>45282</c:v>
                </c:pt>
                <c:pt idx="547">
                  <c:v>45286</c:v>
                </c:pt>
                <c:pt idx="548">
                  <c:v>45287</c:v>
                </c:pt>
                <c:pt idx="549">
                  <c:v>45288</c:v>
                </c:pt>
                <c:pt idx="550">
                  <c:v>45293</c:v>
                </c:pt>
                <c:pt idx="551">
                  <c:v>45294</c:v>
                </c:pt>
                <c:pt idx="552">
                  <c:v>45295</c:v>
                </c:pt>
                <c:pt idx="553">
                  <c:v>45296</c:v>
                </c:pt>
                <c:pt idx="554">
                  <c:v>45299</c:v>
                </c:pt>
                <c:pt idx="555">
                  <c:v>45300</c:v>
                </c:pt>
                <c:pt idx="556">
                  <c:v>45301</c:v>
                </c:pt>
                <c:pt idx="557">
                  <c:v>45302</c:v>
                </c:pt>
                <c:pt idx="558">
                  <c:v>45303</c:v>
                </c:pt>
                <c:pt idx="559">
                  <c:v>45306</c:v>
                </c:pt>
                <c:pt idx="560">
                  <c:v>45307</c:v>
                </c:pt>
                <c:pt idx="561">
                  <c:v>45308</c:v>
                </c:pt>
                <c:pt idx="562">
                  <c:v>45309</c:v>
                </c:pt>
                <c:pt idx="563">
                  <c:v>45310</c:v>
                </c:pt>
                <c:pt idx="564">
                  <c:v>45313</c:v>
                </c:pt>
                <c:pt idx="565">
                  <c:v>45314</c:v>
                </c:pt>
                <c:pt idx="566">
                  <c:v>45315</c:v>
                </c:pt>
                <c:pt idx="567">
                  <c:v>45316</c:v>
                </c:pt>
                <c:pt idx="568">
                  <c:v>45317</c:v>
                </c:pt>
                <c:pt idx="569">
                  <c:v>45320</c:v>
                </c:pt>
                <c:pt idx="570">
                  <c:v>45321</c:v>
                </c:pt>
                <c:pt idx="571">
                  <c:v>45322</c:v>
                </c:pt>
                <c:pt idx="572">
                  <c:v>45323</c:v>
                </c:pt>
                <c:pt idx="573">
                  <c:v>45324</c:v>
                </c:pt>
                <c:pt idx="574">
                  <c:v>45327</c:v>
                </c:pt>
                <c:pt idx="575">
                  <c:v>45328</c:v>
                </c:pt>
                <c:pt idx="576">
                  <c:v>45329</c:v>
                </c:pt>
                <c:pt idx="577">
                  <c:v>45330</c:v>
                </c:pt>
                <c:pt idx="578">
                  <c:v>45331</c:v>
                </c:pt>
                <c:pt idx="579">
                  <c:v>45336</c:v>
                </c:pt>
                <c:pt idx="580">
                  <c:v>45337</c:v>
                </c:pt>
                <c:pt idx="581">
                  <c:v>45338</c:v>
                </c:pt>
                <c:pt idx="582">
                  <c:v>45341</c:v>
                </c:pt>
                <c:pt idx="583">
                  <c:v>45342</c:v>
                </c:pt>
                <c:pt idx="584">
                  <c:v>45343</c:v>
                </c:pt>
                <c:pt idx="585">
                  <c:v>45344</c:v>
                </c:pt>
                <c:pt idx="586">
                  <c:v>45345</c:v>
                </c:pt>
                <c:pt idx="587">
                  <c:v>45348</c:v>
                </c:pt>
                <c:pt idx="588">
                  <c:v>45349</c:v>
                </c:pt>
                <c:pt idx="589">
                  <c:v>45350</c:v>
                </c:pt>
                <c:pt idx="590">
                  <c:v>45351</c:v>
                </c:pt>
                <c:pt idx="591">
                  <c:v>45352</c:v>
                </c:pt>
                <c:pt idx="592">
                  <c:v>45355</c:v>
                </c:pt>
                <c:pt idx="593">
                  <c:v>45356</c:v>
                </c:pt>
                <c:pt idx="594">
                  <c:v>45357</c:v>
                </c:pt>
                <c:pt idx="595">
                  <c:v>45358</c:v>
                </c:pt>
                <c:pt idx="596">
                  <c:v>45359</c:v>
                </c:pt>
                <c:pt idx="597">
                  <c:v>45362</c:v>
                </c:pt>
                <c:pt idx="598">
                  <c:v>45363</c:v>
                </c:pt>
                <c:pt idx="599">
                  <c:v>45364</c:v>
                </c:pt>
                <c:pt idx="600">
                  <c:v>45365</c:v>
                </c:pt>
                <c:pt idx="601">
                  <c:v>45366</c:v>
                </c:pt>
                <c:pt idx="602">
                  <c:v>45369</c:v>
                </c:pt>
                <c:pt idx="603">
                  <c:v>45370</c:v>
                </c:pt>
                <c:pt idx="604">
                  <c:v>45371</c:v>
                </c:pt>
                <c:pt idx="605">
                  <c:v>45372</c:v>
                </c:pt>
                <c:pt idx="606">
                  <c:v>45373</c:v>
                </c:pt>
                <c:pt idx="607">
                  <c:v>45376</c:v>
                </c:pt>
                <c:pt idx="608">
                  <c:v>45377</c:v>
                </c:pt>
                <c:pt idx="609">
                  <c:v>45378</c:v>
                </c:pt>
                <c:pt idx="610">
                  <c:v>45379</c:v>
                </c:pt>
                <c:pt idx="611">
                  <c:v>45383</c:v>
                </c:pt>
                <c:pt idx="612">
                  <c:v>45384</c:v>
                </c:pt>
                <c:pt idx="613">
                  <c:v>45385</c:v>
                </c:pt>
                <c:pt idx="614">
                  <c:v>45386</c:v>
                </c:pt>
                <c:pt idx="615">
                  <c:v>45387</c:v>
                </c:pt>
                <c:pt idx="616">
                  <c:v>45390</c:v>
                </c:pt>
                <c:pt idx="617">
                  <c:v>45391</c:v>
                </c:pt>
                <c:pt idx="618">
                  <c:v>45392</c:v>
                </c:pt>
                <c:pt idx="619">
                  <c:v>45393</c:v>
                </c:pt>
                <c:pt idx="620">
                  <c:v>45394</c:v>
                </c:pt>
                <c:pt idx="621">
                  <c:v>45397</c:v>
                </c:pt>
                <c:pt idx="622">
                  <c:v>45398</c:v>
                </c:pt>
                <c:pt idx="623">
                  <c:v>45399</c:v>
                </c:pt>
                <c:pt idx="624">
                  <c:v>45400</c:v>
                </c:pt>
                <c:pt idx="625">
                  <c:v>45401</c:v>
                </c:pt>
                <c:pt idx="626">
                  <c:v>45404</c:v>
                </c:pt>
                <c:pt idx="627">
                  <c:v>45405</c:v>
                </c:pt>
                <c:pt idx="628">
                  <c:v>45406</c:v>
                </c:pt>
                <c:pt idx="629">
                  <c:v>45407</c:v>
                </c:pt>
                <c:pt idx="630">
                  <c:v>45408</c:v>
                </c:pt>
                <c:pt idx="631">
                  <c:v>45411</c:v>
                </c:pt>
                <c:pt idx="632">
                  <c:v>45412</c:v>
                </c:pt>
                <c:pt idx="633">
                  <c:v>45414</c:v>
                </c:pt>
                <c:pt idx="634">
                  <c:v>45415</c:v>
                </c:pt>
                <c:pt idx="635">
                  <c:v>45418</c:v>
                </c:pt>
                <c:pt idx="636">
                  <c:v>45419</c:v>
                </c:pt>
                <c:pt idx="637">
                  <c:v>45420</c:v>
                </c:pt>
                <c:pt idx="638">
                  <c:v>45421</c:v>
                </c:pt>
                <c:pt idx="639">
                  <c:v>45422</c:v>
                </c:pt>
                <c:pt idx="640">
                  <c:v>45425</c:v>
                </c:pt>
                <c:pt idx="641">
                  <c:v>45426</c:v>
                </c:pt>
                <c:pt idx="642">
                  <c:v>45427</c:v>
                </c:pt>
                <c:pt idx="643">
                  <c:v>45428</c:v>
                </c:pt>
                <c:pt idx="644">
                  <c:v>45429</c:v>
                </c:pt>
                <c:pt idx="645">
                  <c:v>45432</c:v>
                </c:pt>
                <c:pt idx="646">
                  <c:v>45433</c:v>
                </c:pt>
                <c:pt idx="647">
                  <c:v>45434</c:v>
                </c:pt>
                <c:pt idx="648">
                  <c:v>45435</c:v>
                </c:pt>
                <c:pt idx="649">
                  <c:v>45436</c:v>
                </c:pt>
                <c:pt idx="650">
                  <c:v>45439</c:v>
                </c:pt>
                <c:pt idx="651">
                  <c:v>45440</c:v>
                </c:pt>
                <c:pt idx="652">
                  <c:v>45441</c:v>
                </c:pt>
                <c:pt idx="653">
                  <c:v>45443</c:v>
                </c:pt>
                <c:pt idx="654">
                  <c:v>45446</c:v>
                </c:pt>
                <c:pt idx="655">
                  <c:v>45447</c:v>
                </c:pt>
                <c:pt idx="656">
                  <c:v>45448</c:v>
                </c:pt>
                <c:pt idx="657">
                  <c:v>45449</c:v>
                </c:pt>
                <c:pt idx="658">
                  <c:v>45450</c:v>
                </c:pt>
                <c:pt idx="659">
                  <c:v>45453</c:v>
                </c:pt>
                <c:pt idx="660">
                  <c:v>45454</c:v>
                </c:pt>
                <c:pt idx="661">
                  <c:v>45455</c:v>
                </c:pt>
                <c:pt idx="662">
                  <c:v>45456</c:v>
                </c:pt>
                <c:pt idx="663">
                  <c:v>45457</c:v>
                </c:pt>
                <c:pt idx="664">
                  <c:v>45460</c:v>
                </c:pt>
                <c:pt idx="665">
                  <c:v>45461</c:v>
                </c:pt>
                <c:pt idx="666">
                  <c:v>45462</c:v>
                </c:pt>
                <c:pt idx="667">
                  <c:v>45463</c:v>
                </c:pt>
                <c:pt idx="668">
                  <c:v>45464</c:v>
                </c:pt>
                <c:pt idx="669">
                  <c:v>45467</c:v>
                </c:pt>
                <c:pt idx="670">
                  <c:v>45468</c:v>
                </c:pt>
                <c:pt idx="671">
                  <c:v>45469</c:v>
                </c:pt>
                <c:pt idx="672">
                  <c:v>45470</c:v>
                </c:pt>
                <c:pt idx="673">
                  <c:v>45471</c:v>
                </c:pt>
                <c:pt idx="674">
                  <c:v>45474</c:v>
                </c:pt>
                <c:pt idx="675">
                  <c:v>45475</c:v>
                </c:pt>
                <c:pt idx="676">
                  <c:v>45476</c:v>
                </c:pt>
                <c:pt idx="677">
                  <c:v>45477</c:v>
                </c:pt>
                <c:pt idx="678">
                  <c:v>45478</c:v>
                </c:pt>
                <c:pt idx="679">
                  <c:v>45481</c:v>
                </c:pt>
                <c:pt idx="680">
                  <c:v>45482</c:v>
                </c:pt>
                <c:pt idx="681">
                  <c:v>45483</c:v>
                </c:pt>
                <c:pt idx="682">
                  <c:v>45484</c:v>
                </c:pt>
                <c:pt idx="683">
                  <c:v>45485</c:v>
                </c:pt>
                <c:pt idx="684">
                  <c:v>45488</c:v>
                </c:pt>
                <c:pt idx="685">
                  <c:v>45489</c:v>
                </c:pt>
                <c:pt idx="686">
                  <c:v>45490</c:v>
                </c:pt>
                <c:pt idx="687">
                  <c:v>45491</c:v>
                </c:pt>
                <c:pt idx="688">
                  <c:v>45492</c:v>
                </c:pt>
                <c:pt idx="689">
                  <c:v>45495</c:v>
                </c:pt>
                <c:pt idx="690">
                  <c:v>45496</c:v>
                </c:pt>
                <c:pt idx="691">
                  <c:v>45497</c:v>
                </c:pt>
                <c:pt idx="692">
                  <c:v>45498</c:v>
                </c:pt>
                <c:pt idx="693">
                  <c:v>45499</c:v>
                </c:pt>
                <c:pt idx="694">
                  <c:v>45502</c:v>
                </c:pt>
                <c:pt idx="695">
                  <c:v>45503</c:v>
                </c:pt>
                <c:pt idx="696">
                  <c:v>45504</c:v>
                </c:pt>
                <c:pt idx="697">
                  <c:v>45505</c:v>
                </c:pt>
                <c:pt idx="698">
                  <c:v>45506</c:v>
                </c:pt>
                <c:pt idx="699">
                  <c:v>45509</c:v>
                </c:pt>
                <c:pt idx="700">
                  <c:v>45510</c:v>
                </c:pt>
                <c:pt idx="701">
                  <c:v>45511</c:v>
                </c:pt>
                <c:pt idx="702">
                  <c:v>45512</c:v>
                </c:pt>
                <c:pt idx="703">
                  <c:v>45513</c:v>
                </c:pt>
                <c:pt idx="704">
                  <c:v>45516</c:v>
                </c:pt>
                <c:pt idx="705">
                  <c:v>45517</c:v>
                </c:pt>
                <c:pt idx="706">
                  <c:v>45518</c:v>
                </c:pt>
                <c:pt idx="707">
                  <c:v>45519</c:v>
                </c:pt>
                <c:pt idx="708">
                  <c:v>45520</c:v>
                </c:pt>
                <c:pt idx="709">
                  <c:v>45523</c:v>
                </c:pt>
                <c:pt idx="710">
                  <c:v>45524</c:v>
                </c:pt>
                <c:pt idx="711">
                  <c:v>45525</c:v>
                </c:pt>
                <c:pt idx="712">
                  <c:v>45526</c:v>
                </c:pt>
                <c:pt idx="713">
                  <c:v>45527</c:v>
                </c:pt>
                <c:pt idx="714">
                  <c:v>45530</c:v>
                </c:pt>
                <c:pt idx="715">
                  <c:v>45531</c:v>
                </c:pt>
                <c:pt idx="716">
                  <c:v>45532</c:v>
                </c:pt>
                <c:pt idx="717">
                  <c:v>45533</c:v>
                </c:pt>
                <c:pt idx="718">
                  <c:v>45534</c:v>
                </c:pt>
                <c:pt idx="719">
                  <c:v>45537</c:v>
                </c:pt>
                <c:pt idx="720">
                  <c:v>45538</c:v>
                </c:pt>
                <c:pt idx="721">
                  <c:v>45539</c:v>
                </c:pt>
                <c:pt idx="722">
                  <c:v>45540</c:v>
                </c:pt>
                <c:pt idx="723">
                  <c:v>45541</c:v>
                </c:pt>
                <c:pt idx="724">
                  <c:v>45544</c:v>
                </c:pt>
                <c:pt idx="725">
                  <c:v>45545</c:v>
                </c:pt>
                <c:pt idx="726">
                  <c:v>45546</c:v>
                </c:pt>
                <c:pt idx="727">
                  <c:v>45547</c:v>
                </c:pt>
                <c:pt idx="728">
                  <c:v>45548</c:v>
                </c:pt>
                <c:pt idx="729">
                  <c:v>45551</c:v>
                </c:pt>
                <c:pt idx="730">
                  <c:v>45552</c:v>
                </c:pt>
                <c:pt idx="731">
                  <c:v>45553</c:v>
                </c:pt>
                <c:pt idx="732">
                  <c:v>45554</c:v>
                </c:pt>
                <c:pt idx="733">
                  <c:v>45555</c:v>
                </c:pt>
                <c:pt idx="734">
                  <c:v>45558</c:v>
                </c:pt>
                <c:pt idx="735">
                  <c:v>45559</c:v>
                </c:pt>
                <c:pt idx="736">
                  <c:v>45560</c:v>
                </c:pt>
                <c:pt idx="737">
                  <c:v>45561</c:v>
                </c:pt>
                <c:pt idx="738">
                  <c:v>45562</c:v>
                </c:pt>
                <c:pt idx="739">
                  <c:v>45565</c:v>
                </c:pt>
                <c:pt idx="740">
                  <c:v>45566</c:v>
                </c:pt>
                <c:pt idx="741">
                  <c:v>45567</c:v>
                </c:pt>
                <c:pt idx="742">
                  <c:v>45568</c:v>
                </c:pt>
                <c:pt idx="743">
                  <c:v>45569</c:v>
                </c:pt>
                <c:pt idx="744">
                  <c:v>45572</c:v>
                </c:pt>
                <c:pt idx="745">
                  <c:v>45573</c:v>
                </c:pt>
                <c:pt idx="746">
                  <c:v>45574</c:v>
                </c:pt>
                <c:pt idx="747">
                  <c:v>45575</c:v>
                </c:pt>
                <c:pt idx="748">
                  <c:v>45576</c:v>
                </c:pt>
                <c:pt idx="749">
                  <c:v>45579</c:v>
                </c:pt>
                <c:pt idx="750">
                  <c:v>45580</c:v>
                </c:pt>
                <c:pt idx="751">
                  <c:v>45581</c:v>
                </c:pt>
                <c:pt idx="752">
                  <c:v>45582</c:v>
                </c:pt>
                <c:pt idx="753">
                  <c:v>45583</c:v>
                </c:pt>
                <c:pt idx="754">
                  <c:v>45586</c:v>
                </c:pt>
                <c:pt idx="755">
                  <c:v>45587</c:v>
                </c:pt>
                <c:pt idx="756">
                  <c:v>45588</c:v>
                </c:pt>
                <c:pt idx="757">
                  <c:v>45589</c:v>
                </c:pt>
                <c:pt idx="758">
                  <c:v>45590</c:v>
                </c:pt>
                <c:pt idx="759">
                  <c:v>45593</c:v>
                </c:pt>
                <c:pt idx="760">
                  <c:v>45594</c:v>
                </c:pt>
                <c:pt idx="761">
                  <c:v>45595</c:v>
                </c:pt>
                <c:pt idx="762">
                  <c:v>45596</c:v>
                </c:pt>
                <c:pt idx="763">
                  <c:v>45597</c:v>
                </c:pt>
                <c:pt idx="764">
                  <c:v>45600</c:v>
                </c:pt>
                <c:pt idx="765">
                  <c:v>45601</c:v>
                </c:pt>
                <c:pt idx="766">
                  <c:v>45602</c:v>
                </c:pt>
                <c:pt idx="767">
                  <c:v>45603</c:v>
                </c:pt>
                <c:pt idx="768">
                  <c:v>45604</c:v>
                </c:pt>
                <c:pt idx="769">
                  <c:v>45607</c:v>
                </c:pt>
                <c:pt idx="770">
                  <c:v>45608</c:v>
                </c:pt>
                <c:pt idx="771">
                  <c:v>45609</c:v>
                </c:pt>
                <c:pt idx="772">
                  <c:v>45610</c:v>
                </c:pt>
                <c:pt idx="773">
                  <c:v>45614</c:v>
                </c:pt>
                <c:pt idx="774">
                  <c:v>45615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45652</c:v>
                </c:pt>
                <c:pt idx="799">
                  <c:v>45653</c:v>
                </c:pt>
                <c:pt idx="800">
                  <c:v>45656</c:v>
                </c:pt>
                <c:pt idx="801">
                  <c:v>45659</c:v>
                </c:pt>
                <c:pt idx="802">
                  <c:v>45660</c:v>
                </c:pt>
                <c:pt idx="803">
                  <c:v>45663</c:v>
                </c:pt>
                <c:pt idx="804">
                  <c:v>45664</c:v>
                </c:pt>
                <c:pt idx="805">
                  <c:v>45665</c:v>
                </c:pt>
                <c:pt idx="806">
                  <c:v>45666</c:v>
                </c:pt>
                <c:pt idx="807">
                  <c:v>45667</c:v>
                </c:pt>
                <c:pt idx="808">
                  <c:v>45670</c:v>
                </c:pt>
                <c:pt idx="809">
                  <c:v>45671</c:v>
                </c:pt>
                <c:pt idx="810">
                  <c:v>45672</c:v>
                </c:pt>
                <c:pt idx="811">
                  <c:v>45673</c:v>
                </c:pt>
                <c:pt idx="812">
                  <c:v>45674</c:v>
                </c:pt>
                <c:pt idx="813">
                  <c:v>45677</c:v>
                </c:pt>
                <c:pt idx="814">
                  <c:v>45678</c:v>
                </c:pt>
                <c:pt idx="815">
                  <c:v>45679</c:v>
                </c:pt>
                <c:pt idx="816">
                  <c:v>45680</c:v>
                </c:pt>
                <c:pt idx="817">
                  <c:v>45681</c:v>
                </c:pt>
                <c:pt idx="818">
                  <c:v>45684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45772</c:v>
                </c:pt>
                <c:pt idx="879">
                  <c:v>45775</c:v>
                </c:pt>
                <c:pt idx="880">
                  <c:v>45776</c:v>
                </c:pt>
                <c:pt idx="881">
                  <c:v>45777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45817</c:v>
                </c:pt>
                <c:pt idx="909">
                  <c:v>45818</c:v>
                </c:pt>
                <c:pt idx="910">
                  <c:v>45819</c:v>
                </c:pt>
                <c:pt idx="911">
                  <c:v>45820</c:v>
                </c:pt>
                <c:pt idx="912">
                  <c:v>45821</c:v>
                </c:pt>
                <c:pt idx="913">
                  <c:v>45824</c:v>
                </c:pt>
                <c:pt idx="914">
                  <c:v>45825</c:v>
                </c:pt>
                <c:pt idx="915">
                  <c:v>45826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45982</c:v>
                </c:pt>
                <c:pt idx="1026">
                  <c:v>45985</c:v>
                </c:pt>
                <c:pt idx="1027">
                  <c:v>45986</c:v>
                </c:pt>
                <c:pt idx="1028">
                  <c:v>45987</c:v>
                </c:pt>
                <c:pt idx="1029">
                  <c:v>45988</c:v>
                </c:pt>
                <c:pt idx="1030">
                  <c:v>45989</c:v>
                </c:pt>
                <c:pt idx="1031">
                  <c:v>45992</c:v>
                </c:pt>
                <c:pt idx="1032">
                  <c:v>45993</c:v>
                </c:pt>
                <c:pt idx="1033">
                  <c:v>45994</c:v>
                </c:pt>
                <c:pt idx="1034">
                  <c:v>45995</c:v>
                </c:pt>
                <c:pt idx="1035">
                  <c:v>45996</c:v>
                </c:pt>
                <c:pt idx="1036">
                  <c:v>45999</c:v>
                </c:pt>
                <c:pt idx="1037">
                  <c:v>46000</c:v>
                </c:pt>
                <c:pt idx="1038">
                  <c:v>46001</c:v>
                </c:pt>
                <c:pt idx="1039">
                  <c:v>46002</c:v>
                </c:pt>
                <c:pt idx="1040">
                  <c:v>46003</c:v>
                </c:pt>
                <c:pt idx="1041">
                  <c:v>46006</c:v>
                </c:pt>
                <c:pt idx="1042">
                  <c:v>46007</c:v>
                </c:pt>
                <c:pt idx="1043">
                  <c:v>46008</c:v>
                </c:pt>
                <c:pt idx="1044">
                  <c:v>46009</c:v>
                </c:pt>
                <c:pt idx="1045">
                  <c:v>46010</c:v>
                </c:pt>
                <c:pt idx="1046">
                  <c:v>46013</c:v>
                </c:pt>
                <c:pt idx="1047">
                  <c:v>46014</c:v>
                </c:pt>
                <c:pt idx="1048">
                  <c:v>46017</c:v>
                </c:pt>
                <c:pt idx="1049">
                  <c:v>46020</c:v>
                </c:pt>
                <c:pt idx="1050">
                  <c:v>46021</c:v>
                </c:pt>
                <c:pt idx="1051">
                  <c:v>46024</c:v>
                </c:pt>
                <c:pt idx="1052">
                  <c:v>46027</c:v>
                </c:pt>
                <c:pt idx="1053">
                  <c:v>46028</c:v>
                </c:pt>
                <c:pt idx="1054">
                  <c:v>46029</c:v>
                </c:pt>
                <c:pt idx="1055">
                  <c:v>46030</c:v>
                </c:pt>
                <c:pt idx="1056">
                  <c:v>46031</c:v>
                </c:pt>
                <c:pt idx="1057">
                  <c:v>46034</c:v>
                </c:pt>
                <c:pt idx="1058">
                  <c:v>46035</c:v>
                </c:pt>
                <c:pt idx="1059">
                  <c:v>46036</c:v>
                </c:pt>
                <c:pt idx="1060">
                  <c:v>46037</c:v>
                </c:pt>
                <c:pt idx="1061">
                  <c:v>46038</c:v>
                </c:pt>
                <c:pt idx="1062">
                  <c:v>46041</c:v>
                </c:pt>
                <c:pt idx="1063">
                  <c:v>46042</c:v>
                </c:pt>
                <c:pt idx="1064">
                  <c:v>46043</c:v>
                </c:pt>
                <c:pt idx="1065">
                  <c:v>46044</c:v>
                </c:pt>
                <c:pt idx="1066">
                  <c:v>46045</c:v>
                </c:pt>
                <c:pt idx="1067">
                  <c:v>46048</c:v>
                </c:pt>
                <c:pt idx="1068">
                  <c:v>46049</c:v>
                </c:pt>
                <c:pt idx="1069">
                  <c:v>46050</c:v>
                </c:pt>
                <c:pt idx="1070">
                  <c:v>46051</c:v>
                </c:pt>
                <c:pt idx="1071">
                  <c:v>46052</c:v>
                </c:pt>
                <c:pt idx="1072">
                  <c:v>46055</c:v>
                </c:pt>
                <c:pt idx="1073">
                  <c:v>46056</c:v>
                </c:pt>
                <c:pt idx="1074">
                  <c:v>46057</c:v>
                </c:pt>
                <c:pt idx="1075">
                  <c:v>46058</c:v>
                </c:pt>
                <c:pt idx="1076">
                  <c:v>46059</c:v>
                </c:pt>
                <c:pt idx="1077">
                  <c:v>46062</c:v>
                </c:pt>
                <c:pt idx="1078">
                  <c:v>46063</c:v>
                </c:pt>
                <c:pt idx="1079">
                  <c:v>46064</c:v>
                </c:pt>
                <c:pt idx="1080">
                  <c:v>46065</c:v>
                </c:pt>
                <c:pt idx="1081">
                  <c:v>46066</c:v>
                </c:pt>
                <c:pt idx="1082">
                  <c:v>46071</c:v>
                </c:pt>
                <c:pt idx="1083">
                  <c:v>46072</c:v>
                </c:pt>
                <c:pt idx="1084">
                  <c:v>46073</c:v>
                </c:pt>
                <c:pt idx="1085">
                  <c:v>46076</c:v>
                </c:pt>
                <c:pt idx="1086">
                  <c:v>46077</c:v>
                </c:pt>
                <c:pt idx="1087">
                  <c:v>46078</c:v>
                </c:pt>
                <c:pt idx="1088">
                  <c:v>46079</c:v>
                </c:pt>
                <c:pt idx="1089">
                  <c:v>46080</c:v>
                </c:pt>
                <c:pt idx="1090">
                  <c:v>46083</c:v>
                </c:pt>
                <c:pt idx="1091">
                  <c:v>46084</c:v>
                </c:pt>
                <c:pt idx="1092">
                  <c:v>46085</c:v>
                </c:pt>
                <c:pt idx="1093">
                  <c:v>46086</c:v>
                </c:pt>
                <c:pt idx="1094">
                  <c:v>46087</c:v>
                </c:pt>
                <c:pt idx="1095">
                  <c:v>46090</c:v>
                </c:pt>
                <c:pt idx="1096">
                  <c:v>46091</c:v>
                </c:pt>
                <c:pt idx="1097">
                  <c:v>46092</c:v>
                </c:pt>
                <c:pt idx="1098">
                  <c:v>46093</c:v>
                </c:pt>
                <c:pt idx="1099">
                  <c:v>46094</c:v>
                </c:pt>
                <c:pt idx="1100">
                  <c:v>46097</c:v>
                </c:pt>
                <c:pt idx="1101">
                  <c:v>46098</c:v>
                </c:pt>
                <c:pt idx="1102">
                  <c:v>46099</c:v>
                </c:pt>
                <c:pt idx="1103">
                  <c:v>46100</c:v>
                </c:pt>
                <c:pt idx="1104">
                  <c:v>46101</c:v>
                </c:pt>
                <c:pt idx="1105">
                  <c:v>46104</c:v>
                </c:pt>
                <c:pt idx="1106">
                  <c:v>46105</c:v>
                </c:pt>
                <c:pt idx="1107">
                  <c:v>46106</c:v>
                </c:pt>
                <c:pt idx="1108">
                  <c:v>46107</c:v>
                </c:pt>
                <c:pt idx="1109">
                  <c:v>46108</c:v>
                </c:pt>
                <c:pt idx="1110">
                  <c:v>46111</c:v>
                </c:pt>
                <c:pt idx="1111">
                  <c:v>46112</c:v>
                </c:pt>
                <c:pt idx="1112">
                  <c:v>46113</c:v>
                </c:pt>
                <c:pt idx="1113">
                  <c:v>46114</c:v>
                </c:pt>
                <c:pt idx="1114">
                  <c:v>46118</c:v>
                </c:pt>
                <c:pt idx="1115">
                  <c:v>46119</c:v>
                </c:pt>
                <c:pt idx="1116">
                  <c:v>46120</c:v>
                </c:pt>
                <c:pt idx="1117">
                  <c:v>46121</c:v>
                </c:pt>
                <c:pt idx="1118">
                  <c:v>46122</c:v>
                </c:pt>
                <c:pt idx="1119">
                  <c:v>46125</c:v>
                </c:pt>
                <c:pt idx="1120">
                  <c:v>46126</c:v>
                </c:pt>
                <c:pt idx="1121">
                  <c:v>46127</c:v>
                </c:pt>
                <c:pt idx="1122">
                  <c:v>46128</c:v>
                </c:pt>
                <c:pt idx="1123">
                  <c:v>46129</c:v>
                </c:pt>
                <c:pt idx="1124">
                  <c:v>46132</c:v>
                </c:pt>
                <c:pt idx="1125">
                  <c:v>46134</c:v>
                </c:pt>
                <c:pt idx="1126">
                  <c:v>46135</c:v>
                </c:pt>
                <c:pt idx="1127">
                  <c:v>46136</c:v>
                </c:pt>
                <c:pt idx="1128">
                  <c:v>46139</c:v>
                </c:pt>
                <c:pt idx="1129">
                  <c:v>46140</c:v>
                </c:pt>
                <c:pt idx="1130">
                  <c:v>46141</c:v>
                </c:pt>
                <c:pt idx="1131">
                  <c:v>46142</c:v>
                </c:pt>
                <c:pt idx="1132">
                  <c:v>46146</c:v>
                </c:pt>
                <c:pt idx="1133">
                  <c:v>46147</c:v>
                </c:pt>
                <c:pt idx="1134">
                  <c:v>46148</c:v>
                </c:pt>
                <c:pt idx="1135">
                  <c:v>46149</c:v>
                </c:pt>
                <c:pt idx="1136">
                  <c:v>46150</c:v>
                </c:pt>
                <c:pt idx="1137">
                  <c:v>46153</c:v>
                </c:pt>
                <c:pt idx="1138">
                  <c:v>46154</c:v>
                </c:pt>
                <c:pt idx="1139">
                  <c:v>46155</c:v>
                </c:pt>
                <c:pt idx="1140">
                  <c:v>46156</c:v>
                </c:pt>
                <c:pt idx="1141">
                  <c:v>46157</c:v>
                </c:pt>
                <c:pt idx="1142">
                  <c:v>46160</c:v>
                </c:pt>
                <c:pt idx="1143">
                  <c:v>46161</c:v>
                </c:pt>
                <c:pt idx="1144">
                  <c:v>46162</c:v>
                </c:pt>
                <c:pt idx="1145">
                  <c:v>46163</c:v>
                </c:pt>
                <c:pt idx="1146">
                  <c:v>46164</c:v>
                </c:pt>
                <c:pt idx="1147">
                  <c:v>46167</c:v>
                </c:pt>
                <c:pt idx="1148">
                  <c:v>46168</c:v>
                </c:pt>
                <c:pt idx="1149">
                  <c:v>46169</c:v>
                </c:pt>
                <c:pt idx="1150">
                  <c:v>46170</c:v>
                </c:pt>
                <c:pt idx="1151">
                  <c:v>46171</c:v>
                </c:pt>
                <c:pt idx="1152">
                  <c:v>46174</c:v>
                </c:pt>
                <c:pt idx="1153">
                  <c:v>46175</c:v>
                </c:pt>
                <c:pt idx="1154">
                  <c:v>46176</c:v>
                </c:pt>
                <c:pt idx="1155">
                  <c:v>46178</c:v>
                </c:pt>
                <c:pt idx="1156">
                  <c:v>46181</c:v>
                </c:pt>
                <c:pt idx="1157">
                  <c:v>46182</c:v>
                </c:pt>
                <c:pt idx="1158">
                  <c:v>46183</c:v>
                </c:pt>
                <c:pt idx="1159">
                  <c:v>46184</c:v>
                </c:pt>
                <c:pt idx="1160">
                  <c:v>46185</c:v>
                </c:pt>
                <c:pt idx="1161">
                  <c:v>46188</c:v>
                </c:pt>
                <c:pt idx="1162">
                  <c:v>46189</c:v>
                </c:pt>
                <c:pt idx="1163">
                  <c:v>46190</c:v>
                </c:pt>
                <c:pt idx="1164">
                  <c:v>46191</c:v>
                </c:pt>
                <c:pt idx="1165">
                  <c:v>46192</c:v>
                </c:pt>
                <c:pt idx="1166">
                  <c:v>46195</c:v>
                </c:pt>
                <c:pt idx="1167">
                  <c:v>46196</c:v>
                </c:pt>
                <c:pt idx="1168">
                  <c:v>46197</c:v>
                </c:pt>
                <c:pt idx="1169">
                  <c:v>46198</c:v>
                </c:pt>
                <c:pt idx="1170">
                  <c:v>46199</c:v>
                </c:pt>
                <c:pt idx="1171">
                  <c:v>46202</c:v>
                </c:pt>
                <c:pt idx="1172">
                  <c:v>46203</c:v>
                </c:pt>
                <c:pt idx="1173">
                  <c:v>46204</c:v>
                </c:pt>
                <c:pt idx="1174">
                  <c:v>46205</c:v>
                </c:pt>
                <c:pt idx="1175">
                  <c:v>46206</c:v>
                </c:pt>
                <c:pt idx="1176">
                  <c:v>46209</c:v>
                </c:pt>
                <c:pt idx="1177">
                  <c:v>46210</c:v>
                </c:pt>
                <c:pt idx="1178">
                  <c:v>46211</c:v>
                </c:pt>
                <c:pt idx="1179">
                  <c:v>46212</c:v>
                </c:pt>
                <c:pt idx="1180">
                  <c:v>46213</c:v>
                </c:pt>
                <c:pt idx="1181">
                  <c:v>46216</c:v>
                </c:pt>
                <c:pt idx="1182">
                  <c:v>46217</c:v>
                </c:pt>
                <c:pt idx="1183">
                  <c:v>46218</c:v>
                </c:pt>
                <c:pt idx="1184">
                  <c:v>46219</c:v>
                </c:pt>
                <c:pt idx="1185">
                  <c:v>46220</c:v>
                </c:pt>
                <c:pt idx="1186">
                  <c:v>46223</c:v>
                </c:pt>
                <c:pt idx="1187">
                  <c:v>46224</c:v>
                </c:pt>
                <c:pt idx="1188">
                  <c:v>46225</c:v>
                </c:pt>
                <c:pt idx="1189">
                  <c:v>46226</c:v>
                </c:pt>
                <c:pt idx="1190">
                  <c:v>46227</c:v>
                </c:pt>
                <c:pt idx="1191">
                  <c:v>46230</c:v>
                </c:pt>
                <c:pt idx="1192">
                  <c:v>46231</c:v>
                </c:pt>
                <c:pt idx="1193">
                  <c:v>46232</c:v>
                </c:pt>
                <c:pt idx="1194">
                  <c:v>46233</c:v>
                </c:pt>
                <c:pt idx="1195">
                  <c:v>46234</c:v>
                </c:pt>
                <c:pt idx="1196">
                  <c:v>46237</c:v>
                </c:pt>
                <c:pt idx="1197">
                  <c:v>46238</c:v>
                </c:pt>
                <c:pt idx="1198">
                  <c:v>46239</c:v>
                </c:pt>
                <c:pt idx="1199">
                  <c:v>46240</c:v>
                </c:pt>
                <c:pt idx="1200">
                  <c:v>46241</c:v>
                </c:pt>
                <c:pt idx="1201">
                  <c:v>46244</c:v>
                </c:pt>
                <c:pt idx="1202">
                  <c:v>46245</c:v>
                </c:pt>
                <c:pt idx="1203">
                  <c:v>46246</c:v>
                </c:pt>
                <c:pt idx="1204">
                  <c:v>46247</c:v>
                </c:pt>
                <c:pt idx="1205">
                  <c:v>46248</c:v>
                </c:pt>
                <c:pt idx="1206">
                  <c:v>46251</c:v>
                </c:pt>
                <c:pt idx="1207">
                  <c:v>46252</c:v>
                </c:pt>
                <c:pt idx="1208">
                  <c:v>46253</c:v>
                </c:pt>
                <c:pt idx="1209">
                  <c:v>46254</c:v>
                </c:pt>
                <c:pt idx="1210">
                  <c:v>46255</c:v>
                </c:pt>
                <c:pt idx="1211">
                  <c:v>46258</c:v>
                </c:pt>
                <c:pt idx="1212">
                  <c:v>46259</c:v>
                </c:pt>
                <c:pt idx="1213">
                  <c:v>46260</c:v>
                </c:pt>
                <c:pt idx="1214">
                  <c:v>46261</c:v>
                </c:pt>
                <c:pt idx="1215">
                  <c:v>46262</c:v>
                </c:pt>
                <c:pt idx="1216">
                  <c:v>46265</c:v>
                </c:pt>
              </c:numCache>
            </c:numRef>
          </c:cat>
          <c:val>
            <c:numRef>
              <c:f>Fig2_VolatilidadeMovel!$B$4:$B$1220</c:f>
              <c:numCache>
                <c:formatCode>0.00%</c:formatCode>
                <c:ptCount val="1217"/>
                <c:pt idx="0">
                  <c:v>0.27723790062783421</c:v>
                </c:pt>
                <c:pt idx="1">
                  <c:v>0.26582163322370639</c:v>
                </c:pt>
                <c:pt idx="2">
                  <c:v>0.28434119092803067</c:v>
                </c:pt>
                <c:pt idx="3">
                  <c:v>0.28218801444728542</c:v>
                </c:pt>
                <c:pt idx="4">
                  <c:v>0.27242018463254059</c:v>
                </c:pt>
                <c:pt idx="5">
                  <c:v>0.26905130678151606</c:v>
                </c:pt>
                <c:pt idx="6">
                  <c:v>0.2757847439729435</c:v>
                </c:pt>
                <c:pt idx="7">
                  <c:v>0.27509838971567607</c:v>
                </c:pt>
                <c:pt idx="8">
                  <c:v>0.27594998041326779</c:v>
                </c:pt>
                <c:pt idx="9">
                  <c:v>0.27466131683808376</c:v>
                </c:pt>
                <c:pt idx="10">
                  <c:v>0.2763073634781365</c:v>
                </c:pt>
                <c:pt idx="11">
                  <c:v>0.28271989410798742</c:v>
                </c:pt>
                <c:pt idx="12">
                  <c:v>0.28128954006732071</c:v>
                </c:pt>
                <c:pt idx="13">
                  <c:v>0.28518559097941071</c:v>
                </c:pt>
                <c:pt idx="14">
                  <c:v>0.28875324785183293</c:v>
                </c:pt>
                <c:pt idx="15">
                  <c:v>0.28599912809499156</c:v>
                </c:pt>
                <c:pt idx="16">
                  <c:v>0.28854383710805209</c:v>
                </c:pt>
                <c:pt idx="17">
                  <c:v>0.29083062611412264</c:v>
                </c:pt>
                <c:pt idx="18">
                  <c:v>0.2812198270655053</c:v>
                </c:pt>
                <c:pt idx="19">
                  <c:v>0.28487658347335576</c:v>
                </c:pt>
                <c:pt idx="20">
                  <c:v>0.28890228658915551</c:v>
                </c:pt>
                <c:pt idx="21">
                  <c:v>0.28375662514723671</c:v>
                </c:pt>
                <c:pt idx="22">
                  <c:v>0.27291765239893606</c:v>
                </c:pt>
                <c:pt idx="23">
                  <c:v>0.27333540531403044</c:v>
                </c:pt>
                <c:pt idx="24">
                  <c:v>0.27903854939434952</c:v>
                </c:pt>
                <c:pt idx="25">
                  <c:v>0.28151787292661407</c:v>
                </c:pt>
                <c:pt idx="26">
                  <c:v>0.27287379467541018</c:v>
                </c:pt>
                <c:pt idx="27">
                  <c:v>0.27435805883099157</c:v>
                </c:pt>
                <c:pt idx="28">
                  <c:v>0.28085697915896235</c:v>
                </c:pt>
                <c:pt idx="29">
                  <c:v>0.2810221028190521</c:v>
                </c:pt>
                <c:pt idx="30">
                  <c:v>0.27582273120278694</c:v>
                </c:pt>
                <c:pt idx="31">
                  <c:v>0.2776592319738998</c:v>
                </c:pt>
                <c:pt idx="32">
                  <c:v>0.2768821414716911</c:v>
                </c:pt>
                <c:pt idx="33">
                  <c:v>0.27651375475028178</c:v>
                </c:pt>
                <c:pt idx="34">
                  <c:v>0.26277879012017907</c:v>
                </c:pt>
                <c:pt idx="35">
                  <c:v>0.25614643140969245</c:v>
                </c:pt>
                <c:pt idx="36">
                  <c:v>0.25027433707367069</c:v>
                </c:pt>
                <c:pt idx="37">
                  <c:v>0.24895700450967506</c:v>
                </c:pt>
                <c:pt idx="38">
                  <c:v>0.25255531969692285</c:v>
                </c:pt>
                <c:pt idx="39">
                  <c:v>0.25368342782805675</c:v>
                </c:pt>
                <c:pt idx="40">
                  <c:v>0.25074277858515914</c:v>
                </c:pt>
                <c:pt idx="41">
                  <c:v>0.24353981463532293</c:v>
                </c:pt>
                <c:pt idx="42">
                  <c:v>0.23807130574854232</c:v>
                </c:pt>
                <c:pt idx="43">
                  <c:v>0.23009709340856208</c:v>
                </c:pt>
                <c:pt idx="44">
                  <c:v>0.22932428054278053</c:v>
                </c:pt>
                <c:pt idx="45">
                  <c:v>0.22732526872643688</c:v>
                </c:pt>
                <c:pt idx="46">
                  <c:v>0.22408427232443034</c:v>
                </c:pt>
                <c:pt idx="47">
                  <c:v>0.22091225816415266</c:v>
                </c:pt>
                <c:pt idx="48">
                  <c:v>0.21826857413700143</c:v>
                </c:pt>
                <c:pt idx="49">
                  <c:v>0.213848021760392</c:v>
                </c:pt>
                <c:pt idx="50">
                  <c:v>0.20933305329197746</c:v>
                </c:pt>
                <c:pt idx="51">
                  <c:v>0.20806212198775087</c:v>
                </c:pt>
                <c:pt idx="52">
                  <c:v>0.21094052471486907</c:v>
                </c:pt>
                <c:pt idx="53">
                  <c:v>0.21024145139225145</c:v>
                </c:pt>
                <c:pt idx="54">
                  <c:v>0.21596017746160939</c:v>
                </c:pt>
                <c:pt idx="55">
                  <c:v>0.21282140132375973</c:v>
                </c:pt>
                <c:pt idx="56">
                  <c:v>0.21161722701861743</c:v>
                </c:pt>
                <c:pt idx="57">
                  <c:v>0.20595927627613192</c:v>
                </c:pt>
                <c:pt idx="58">
                  <c:v>0.19160531463857902</c:v>
                </c:pt>
                <c:pt idx="59">
                  <c:v>0.20062951645234456</c:v>
                </c:pt>
                <c:pt idx="60">
                  <c:v>0.19881645076629065</c:v>
                </c:pt>
                <c:pt idx="61">
                  <c:v>0.19751797291719875</c:v>
                </c:pt>
                <c:pt idx="62">
                  <c:v>0.17993490269350348</c:v>
                </c:pt>
                <c:pt idx="63">
                  <c:v>0.17777224190720101</c:v>
                </c:pt>
                <c:pt idx="64">
                  <c:v>0.17850060398979317</c:v>
                </c:pt>
                <c:pt idx="65">
                  <c:v>0.18629990296125545</c:v>
                </c:pt>
                <c:pt idx="66">
                  <c:v>0.18508668275841839</c:v>
                </c:pt>
                <c:pt idx="67">
                  <c:v>0.17456737090674909</c:v>
                </c:pt>
                <c:pt idx="68">
                  <c:v>0.18297115493322327</c:v>
                </c:pt>
                <c:pt idx="69">
                  <c:v>0.18210481850725788</c:v>
                </c:pt>
                <c:pt idx="70">
                  <c:v>0.18705417530806512</c:v>
                </c:pt>
                <c:pt idx="71">
                  <c:v>0.18572822291898647</c:v>
                </c:pt>
                <c:pt idx="72">
                  <c:v>0.18768292083803087</c:v>
                </c:pt>
                <c:pt idx="73">
                  <c:v>0.18586709447532931</c:v>
                </c:pt>
                <c:pt idx="74">
                  <c:v>0.18087544598180483</c:v>
                </c:pt>
                <c:pt idx="75">
                  <c:v>0.18049638237001542</c:v>
                </c:pt>
                <c:pt idx="76">
                  <c:v>0.18111711715086581</c:v>
                </c:pt>
                <c:pt idx="77">
                  <c:v>0.18314231229540437</c:v>
                </c:pt>
                <c:pt idx="78">
                  <c:v>0.1826659448895587</c:v>
                </c:pt>
                <c:pt idx="79">
                  <c:v>0.18215227167550224</c:v>
                </c:pt>
                <c:pt idx="80">
                  <c:v>0.17961052956458395</c:v>
                </c:pt>
                <c:pt idx="81">
                  <c:v>0.17917359282717388</c:v>
                </c:pt>
                <c:pt idx="82">
                  <c:v>0.17407971997164942</c:v>
                </c:pt>
                <c:pt idx="83">
                  <c:v>0.1790205653785393</c:v>
                </c:pt>
                <c:pt idx="84">
                  <c:v>0.15434094903772708</c:v>
                </c:pt>
                <c:pt idx="85">
                  <c:v>0.16005198358976405</c:v>
                </c:pt>
                <c:pt idx="86">
                  <c:v>0.1632721201367007</c:v>
                </c:pt>
                <c:pt idx="87">
                  <c:v>0.17124624687592316</c:v>
                </c:pt>
                <c:pt idx="88">
                  <c:v>0.1682651089876461</c:v>
                </c:pt>
                <c:pt idx="89">
                  <c:v>0.16337510743041042</c:v>
                </c:pt>
                <c:pt idx="90">
                  <c:v>0.16351042021030815</c:v>
                </c:pt>
                <c:pt idx="91">
                  <c:v>0.15964834170886871</c:v>
                </c:pt>
                <c:pt idx="92">
                  <c:v>0.15821170673553889</c:v>
                </c:pt>
                <c:pt idx="93">
                  <c:v>0.15771117436354962</c:v>
                </c:pt>
                <c:pt idx="94">
                  <c:v>0.1608577068902351</c:v>
                </c:pt>
                <c:pt idx="95">
                  <c:v>0.18625420990875144</c:v>
                </c:pt>
                <c:pt idx="96">
                  <c:v>0.18697596944466227</c:v>
                </c:pt>
                <c:pt idx="97">
                  <c:v>0.21976364988511815</c:v>
                </c:pt>
                <c:pt idx="98">
                  <c:v>0.21276880956517968</c:v>
                </c:pt>
                <c:pt idx="99">
                  <c:v>0.21664297280051917</c:v>
                </c:pt>
                <c:pt idx="100">
                  <c:v>0.21053484248051577</c:v>
                </c:pt>
                <c:pt idx="101">
                  <c:v>0.21057425190106607</c:v>
                </c:pt>
                <c:pt idx="102">
                  <c:v>0.2185565077826582</c:v>
                </c:pt>
                <c:pt idx="103">
                  <c:v>0.22698637772414204</c:v>
                </c:pt>
                <c:pt idx="104">
                  <c:v>0.22907875631279864</c:v>
                </c:pt>
                <c:pt idx="105">
                  <c:v>0.22903875798289214</c:v>
                </c:pt>
                <c:pt idx="106">
                  <c:v>0.23407204463771336</c:v>
                </c:pt>
                <c:pt idx="107">
                  <c:v>0.23251627142124051</c:v>
                </c:pt>
                <c:pt idx="108">
                  <c:v>0.23942264894625334</c:v>
                </c:pt>
                <c:pt idx="109">
                  <c:v>0.23947259866266157</c:v>
                </c:pt>
                <c:pt idx="110">
                  <c:v>0.2395548055505842</c:v>
                </c:pt>
                <c:pt idx="111">
                  <c:v>0.24197392940595658</c:v>
                </c:pt>
                <c:pt idx="112">
                  <c:v>0.24211368424915844</c:v>
                </c:pt>
                <c:pt idx="113">
                  <c:v>0.23723945842381164</c:v>
                </c:pt>
                <c:pt idx="114">
                  <c:v>0.23999811702062054</c:v>
                </c:pt>
                <c:pt idx="115">
                  <c:v>0.23810743495700343</c:v>
                </c:pt>
                <c:pt idx="116">
                  <c:v>0.24440718339047016</c:v>
                </c:pt>
                <c:pt idx="117">
                  <c:v>0.23997935064595477</c:v>
                </c:pt>
                <c:pt idx="118">
                  <c:v>0.23919838275331201</c:v>
                </c:pt>
                <c:pt idx="119">
                  <c:v>0.23785450553640217</c:v>
                </c:pt>
                <c:pt idx="120">
                  <c:v>0.24049698425146315</c:v>
                </c:pt>
                <c:pt idx="121">
                  <c:v>0.24211249988435896</c:v>
                </c:pt>
                <c:pt idx="122">
                  <c:v>0.2424883391931667</c:v>
                </c:pt>
                <c:pt idx="123">
                  <c:v>0.24256993580232727</c:v>
                </c:pt>
                <c:pt idx="124">
                  <c:v>0.23866233405313417</c:v>
                </c:pt>
                <c:pt idx="125">
                  <c:v>0.21042037103050612</c:v>
                </c:pt>
                <c:pt idx="126">
                  <c:v>0.21105512452854672</c:v>
                </c:pt>
                <c:pt idx="127">
                  <c:v>0.18797702512360828</c:v>
                </c:pt>
                <c:pt idx="128">
                  <c:v>0.18295384463232578</c:v>
                </c:pt>
                <c:pt idx="129">
                  <c:v>0.19250651113994866</c:v>
                </c:pt>
                <c:pt idx="130">
                  <c:v>0.19182875143637823</c:v>
                </c:pt>
                <c:pt idx="131">
                  <c:v>0.19141828614060921</c:v>
                </c:pt>
                <c:pt idx="132">
                  <c:v>0.19327788539954274</c:v>
                </c:pt>
                <c:pt idx="133">
                  <c:v>0.18725476056632173</c:v>
                </c:pt>
                <c:pt idx="134">
                  <c:v>0.17718538292423588</c:v>
                </c:pt>
                <c:pt idx="135">
                  <c:v>0.18673842115150827</c:v>
                </c:pt>
                <c:pt idx="136">
                  <c:v>0.19677605674971962</c:v>
                </c:pt>
                <c:pt idx="137">
                  <c:v>0.19653195829855938</c:v>
                </c:pt>
                <c:pt idx="138">
                  <c:v>0.18319339682553881</c:v>
                </c:pt>
                <c:pt idx="139">
                  <c:v>0.18240890612925223</c:v>
                </c:pt>
                <c:pt idx="140">
                  <c:v>0.18481719357365631</c:v>
                </c:pt>
                <c:pt idx="141">
                  <c:v>0.19074183580557469</c:v>
                </c:pt>
                <c:pt idx="142">
                  <c:v>0.19717028832593023</c:v>
                </c:pt>
                <c:pt idx="143">
                  <c:v>0.20115794040326421</c:v>
                </c:pt>
                <c:pt idx="144">
                  <c:v>0.2012572350277726</c:v>
                </c:pt>
                <c:pt idx="145">
                  <c:v>0.21130588308572273</c:v>
                </c:pt>
                <c:pt idx="146">
                  <c:v>0.20687289766783193</c:v>
                </c:pt>
                <c:pt idx="147">
                  <c:v>0.21117890498677686</c:v>
                </c:pt>
                <c:pt idx="148">
                  <c:v>0.2163004940213609</c:v>
                </c:pt>
                <c:pt idx="149">
                  <c:v>0.21656774065513318</c:v>
                </c:pt>
                <c:pt idx="150">
                  <c:v>0.21486362152090979</c:v>
                </c:pt>
                <c:pt idx="151">
                  <c:v>0.21884181850106305</c:v>
                </c:pt>
                <c:pt idx="152">
                  <c:v>0.21808719624987405</c:v>
                </c:pt>
                <c:pt idx="153">
                  <c:v>0.21993072227216418</c:v>
                </c:pt>
                <c:pt idx="154">
                  <c:v>0.2207498254915064</c:v>
                </c:pt>
                <c:pt idx="155">
                  <c:v>0.22087310389170989</c:v>
                </c:pt>
                <c:pt idx="156">
                  <c:v>0.2229008933586657</c:v>
                </c:pt>
                <c:pt idx="157">
                  <c:v>0.21877421649048548</c:v>
                </c:pt>
                <c:pt idx="158">
                  <c:v>0.22056989847963673</c:v>
                </c:pt>
                <c:pt idx="159">
                  <c:v>0.20805249217715802</c:v>
                </c:pt>
                <c:pt idx="160">
                  <c:v>0.21178877206292993</c:v>
                </c:pt>
                <c:pt idx="161">
                  <c:v>0.21198000669779213</c:v>
                </c:pt>
                <c:pt idx="162">
                  <c:v>0.20888617376631807</c:v>
                </c:pt>
                <c:pt idx="163">
                  <c:v>0.21942498067005906</c:v>
                </c:pt>
                <c:pt idx="164">
                  <c:v>0.22022427586960924</c:v>
                </c:pt>
                <c:pt idx="165">
                  <c:v>0.21515333122544839</c:v>
                </c:pt>
                <c:pt idx="166">
                  <c:v>0.20394355922164722</c:v>
                </c:pt>
                <c:pt idx="167">
                  <c:v>0.20501952473466009</c:v>
                </c:pt>
                <c:pt idx="168">
                  <c:v>0.20305672634553443</c:v>
                </c:pt>
                <c:pt idx="169">
                  <c:v>0.20342930614671209</c:v>
                </c:pt>
                <c:pt idx="170">
                  <c:v>0.20350397318692659</c:v>
                </c:pt>
                <c:pt idx="171">
                  <c:v>0.1940085615791956</c:v>
                </c:pt>
                <c:pt idx="172">
                  <c:v>0.19307233259290385</c:v>
                </c:pt>
                <c:pt idx="173">
                  <c:v>0.18995114561950932</c:v>
                </c:pt>
                <c:pt idx="174">
                  <c:v>0.18477892094122658</c:v>
                </c:pt>
                <c:pt idx="175">
                  <c:v>0.17289423047279409</c:v>
                </c:pt>
                <c:pt idx="176">
                  <c:v>0.1753277845686543</c:v>
                </c:pt>
                <c:pt idx="177">
                  <c:v>0.1700745097855075</c:v>
                </c:pt>
                <c:pt idx="178">
                  <c:v>0.16223835746333704</c:v>
                </c:pt>
                <c:pt idx="179">
                  <c:v>0.16329472008944279</c:v>
                </c:pt>
                <c:pt idx="180">
                  <c:v>0.17343018067597304</c:v>
                </c:pt>
                <c:pt idx="181">
                  <c:v>0.16552717090391136</c:v>
                </c:pt>
                <c:pt idx="182">
                  <c:v>0.17239609010025742</c:v>
                </c:pt>
                <c:pt idx="183">
                  <c:v>0.17224739022402114</c:v>
                </c:pt>
                <c:pt idx="184">
                  <c:v>0.1699799507756351</c:v>
                </c:pt>
                <c:pt idx="185">
                  <c:v>0.17001215554065657</c:v>
                </c:pt>
                <c:pt idx="186">
                  <c:v>0.16627838429223657</c:v>
                </c:pt>
                <c:pt idx="187">
                  <c:v>0.16480824046765077</c:v>
                </c:pt>
                <c:pt idx="188">
                  <c:v>0.17374121060182635</c:v>
                </c:pt>
                <c:pt idx="189">
                  <c:v>0.17363796484655158</c:v>
                </c:pt>
                <c:pt idx="190">
                  <c:v>0.17123889450993873</c:v>
                </c:pt>
                <c:pt idx="191">
                  <c:v>0.17100427777861488</c:v>
                </c:pt>
                <c:pt idx="192">
                  <c:v>0.16572943991345443</c:v>
                </c:pt>
                <c:pt idx="193">
                  <c:v>0.14730486009685836</c:v>
                </c:pt>
                <c:pt idx="194">
                  <c:v>0.15512494937613797</c:v>
                </c:pt>
                <c:pt idx="195">
                  <c:v>0.15542624599292473</c:v>
                </c:pt>
                <c:pt idx="196">
                  <c:v>0.141743982075966</c:v>
                </c:pt>
                <c:pt idx="197">
                  <c:v>0.14201104831820099</c:v>
                </c:pt>
                <c:pt idx="198">
                  <c:v>0.14302084789050823</c:v>
                </c:pt>
                <c:pt idx="199">
                  <c:v>0.14725474007636527</c:v>
                </c:pt>
                <c:pt idx="200">
                  <c:v>0.16241479304997455</c:v>
                </c:pt>
                <c:pt idx="201">
                  <c:v>0.1624201111695375</c:v>
                </c:pt>
                <c:pt idx="202">
                  <c:v>0.16462504153796839</c:v>
                </c:pt>
                <c:pt idx="203">
                  <c:v>0.16290530523778074</c:v>
                </c:pt>
                <c:pt idx="204">
                  <c:v>0.16414362420868792</c:v>
                </c:pt>
                <c:pt idx="205">
                  <c:v>0.16496100342976044</c:v>
                </c:pt>
                <c:pt idx="206">
                  <c:v>0.1759753761404943</c:v>
                </c:pt>
                <c:pt idx="207">
                  <c:v>0.17185128983423217</c:v>
                </c:pt>
                <c:pt idx="208">
                  <c:v>0.17150162914125158</c:v>
                </c:pt>
                <c:pt idx="209">
                  <c:v>0.17149416760289751</c:v>
                </c:pt>
                <c:pt idx="210">
                  <c:v>0.16887860782712877</c:v>
                </c:pt>
                <c:pt idx="211">
                  <c:v>0.18212365161353689</c:v>
                </c:pt>
                <c:pt idx="212">
                  <c:v>0.17029329612097602</c:v>
                </c:pt>
                <c:pt idx="213">
                  <c:v>0.17161528215873806</c:v>
                </c:pt>
                <c:pt idx="214">
                  <c:v>0.17019795395621085</c:v>
                </c:pt>
                <c:pt idx="215">
                  <c:v>0.16720128161764389</c:v>
                </c:pt>
                <c:pt idx="216">
                  <c:v>0.17499917083943953</c:v>
                </c:pt>
                <c:pt idx="217">
                  <c:v>0.17489700650150111</c:v>
                </c:pt>
                <c:pt idx="218">
                  <c:v>0.17698775663693045</c:v>
                </c:pt>
                <c:pt idx="219">
                  <c:v>0.18438778272627718</c:v>
                </c:pt>
                <c:pt idx="220">
                  <c:v>0.18488299128528737</c:v>
                </c:pt>
                <c:pt idx="221">
                  <c:v>0.1842819701706975</c:v>
                </c:pt>
                <c:pt idx="222">
                  <c:v>0.18417451275755908</c:v>
                </c:pt>
                <c:pt idx="223">
                  <c:v>0.19506813238650295</c:v>
                </c:pt>
                <c:pt idx="224">
                  <c:v>0.18983190860617954</c:v>
                </c:pt>
                <c:pt idx="225">
                  <c:v>0.19055660213454256</c:v>
                </c:pt>
                <c:pt idx="226">
                  <c:v>0.1927900608342914</c:v>
                </c:pt>
                <c:pt idx="227">
                  <c:v>0.20489005384840203</c:v>
                </c:pt>
                <c:pt idx="228">
                  <c:v>0.2049951112541088</c:v>
                </c:pt>
                <c:pt idx="229">
                  <c:v>0.20503084424894169</c:v>
                </c:pt>
                <c:pt idx="230">
                  <c:v>0.19059562859532708</c:v>
                </c:pt>
                <c:pt idx="231">
                  <c:v>0.19890879421041999</c:v>
                </c:pt>
                <c:pt idx="232">
                  <c:v>0.19636963830031298</c:v>
                </c:pt>
                <c:pt idx="233">
                  <c:v>0.19724052613939255</c:v>
                </c:pt>
                <c:pt idx="234">
                  <c:v>0.19541359284431647</c:v>
                </c:pt>
                <c:pt idx="235">
                  <c:v>0.20063446787746927</c:v>
                </c:pt>
                <c:pt idx="236">
                  <c:v>0.20274697957547139</c:v>
                </c:pt>
                <c:pt idx="237">
                  <c:v>0.20282905997497541</c:v>
                </c:pt>
                <c:pt idx="238">
                  <c:v>0.20227790139922719</c:v>
                </c:pt>
                <c:pt idx="239">
                  <c:v>0.20254508882486971</c:v>
                </c:pt>
                <c:pt idx="240">
                  <c:v>0.20946270686444945</c:v>
                </c:pt>
                <c:pt idx="241">
                  <c:v>0.26308376702116687</c:v>
                </c:pt>
                <c:pt idx="242">
                  <c:v>0.2616936866678608</c:v>
                </c:pt>
                <c:pt idx="243">
                  <c:v>0.25957374072825717</c:v>
                </c:pt>
                <c:pt idx="244">
                  <c:v>0.25977856177952219</c:v>
                </c:pt>
                <c:pt idx="245">
                  <c:v>0.26244855032241421</c:v>
                </c:pt>
                <c:pt idx="246">
                  <c:v>0.25970383811416248</c:v>
                </c:pt>
                <c:pt idx="247">
                  <c:v>0.261803962655069</c:v>
                </c:pt>
                <c:pt idx="248">
                  <c:v>0.26051606176875469</c:v>
                </c:pt>
                <c:pt idx="249">
                  <c:v>0.26211014266202687</c:v>
                </c:pt>
                <c:pt idx="250">
                  <c:v>0.26481424723395414</c:v>
                </c:pt>
                <c:pt idx="251">
                  <c:v>0.2690992479420104</c:v>
                </c:pt>
                <c:pt idx="252">
                  <c:v>0.26835639763455738</c:v>
                </c:pt>
                <c:pt idx="253">
                  <c:v>0.26098665586766756</c:v>
                </c:pt>
                <c:pt idx="254">
                  <c:v>0.26784669897092311</c:v>
                </c:pt>
                <c:pt idx="255">
                  <c:v>0.27934943093873305</c:v>
                </c:pt>
                <c:pt idx="256">
                  <c:v>0.27947921656224523</c:v>
                </c:pt>
                <c:pt idx="257">
                  <c:v>0.28159581024431585</c:v>
                </c:pt>
                <c:pt idx="258">
                  <c:v>0.2931380247745945</c:v>
                </c:pt>
                <c:pt idx="259">
                  <c:v>0.29256868151508786</c:v>
                </c:pt>
                <c:pt idx="260">
                  <c:v>0.29737241979250228</c:v>
                </c:pt>
                <c:pt idx="261">
                  <c:v>0.29256400809179128</c:v>
                </c:pt>
                <c:pt idx="262">
                  <c:v>0.29173714942847917</c:v>
                </c:pt>
                <c:pt idx="263">
                  <c:v>0.29107170618618677</c:v>
                </c:pt>
                <c:pt idx="264">
                  <c:v>0.29913742649644215</c:v>
                </c:pt>
                <c:pt idx="265">
                  <c:v>0.29436450027105715</c:v>
                </c:pt>
                <c:pt idx="266">
                  <c:v>0.29491410784549621</c:v>
                </c:pt>
                <c:pt idx="267">
                  <c:v>0.32411041562384513</c:v>
                </c:pt>
                <c:pt idx="268">
                  <c:v>0.32439820376908124</c:v>
                </c:pt>
                <c:pt idx="269">
                  <c:v>0.32312565863748111</c:v>
                </c:pt>
                <c:pt idx="270">
                  <c:v>0.32993844249339838</c:v>
                </c:pt>
                <c:pt idx="271">
                  <c:v>0.28121220721320894</c:v>
                </c:pt>
                <c:pt idx="272">
                  <c:v>0.2812285598339096</c:v>
                </c:pt>
                <c:pt idx="273">
                  <c:v>0.28545222662035497</c:v>
                </c:pt>
                <c:pt idx="274">
                  <c:v>0.28481728502681503</c:v>
                </c:pt>
                <c:pt idx="275">
                  <c:v>0.28330867526351255</c:v>
                </c:pt>
                <c:pt idx="276">
                  <c:v>0.29975228474897458</c:v>
                </c:pt>
                <c:pt idx="277">
                  <c:v>0.30903065831658194</c:v>
                </c:pt>
                <c:pt idx="278">
                  <c:v>0.30890647133377991</c:v>
                </c:pt>
                <c:pt idx="279">
                  <c:v>0.30873570693025099</c:v>
                </c:pt>
                <c:pt idx="280">
                  <c:v>0.30662044068286542</c:v>
                </c:pt>
                <c:pt idx="281">
                  <c:v>0.30347898959429664</c:v>
                </c:pt>
                <c:pt idx="282">
                  <c:v>0.30422554247268963</c:v>
                </c:pt>
                <c:pt idx="283">
                  <c:v>0.31308812885346288</c:v>
                </c:pt>
                <c:pt idx="284">
                  <c:v>0.30594395313594269</c:v>
                </c:pt>
                <c:pt idx="285">
                  <c:v>0.29776078958881269</c:v>
                </c:pt>
                <c:pt idx="286">
                  <c:v>0.30362907452025151</c:v>
                </c:pt>
                <c:pt idx="287">
                  <c:v>0.29723793518573965</c:v>
                </c:pt>
                <c:pt idx="288">
                  <c:v>0.28485512043306033</c:v>
                </c:pt>
                <c:pt idx="289">
                  <c:v>0.28649738253610102</c:v>
                </c:pt>
                <c:pt idx="290">
                  <c:v>0.27659662405495844</c:v>
                </c:pt>
                <c:pt idx="291">
                  <c:v>0.27468972089663329</c:v>
                </c:pt>
                <c:pt idx="292">
                  <c:v>0.2718692224425161</c:v>
                </c:pt>
                <c:pt idx="293">
                  <c:v>0.28553961664925026</c:v>
                </c:pt>
                <c:pt idx="294">
                  <c:v>0.29094095896619893</c:v>
                </c:pt>
                <c:pt idx="295">
                  <c:v>0.29098646382715349</c:v>
                </c:pt>
                <c:pt idx="296">
                  <c:v>0.28282656138130613</c:v>
                </c:pt>
                <c:pt idx="297">
                  <c:v>0.26266379426636494</c:v>
                </c:pt>
                <c:pt idx="298">
                  <c:v>0.26459067996592306</c:v>
                </c:pt>
                <c:pt idx="299">
                  <c:v>0.26522467954880735</c:v>
                </c:pt>
                <c:pt idx="300">
                  <c:v>0.26310108641790003</c:v>
                </c:pt>
                <c:pt idx="301">
                  <c:v>0.26256469103066377</c:v>
                </c:pt>
                <c:pt idx="302">
                  <c:v>0.28158899989409031</c:v>
                </c:pt>
                <c:pt idx="303">
                  <c:v>0.2850200525576202</c:v>
                </c:pt>
                <c:pt idx="304">
                  <c:v>0.28829621868421762</c:v>
                </c:pt>
                <c:pt idx="305">
                  <c:v>0.29578504002251038</c:v>
                </c:pt>
                <c:pt idx="306">
                  <c:v>0.28359422223990233</c:v>
                </c:pt>
                <c:pt idx="307">
                  <c:v>0.27181426847585821</c:v>
                </c:pt>
                <c:pt idx="308">
                  <c:v>0.27735217645986443</c:v>
                </c:pt>
                <c:pt idx="309">
                  <c:v>0.27966728273987779</c:v>
                </c:pt>
                <c:pt idx="310">
                  <c:v>0.2803614365300256</c:v>
                </c:pt>
                <c:pt idx="311">
                  <c:v>0.27755098884303703</c:v>
                </c:pt>
                <c:pt idx="312">
                  <c:v>0.27916942518146054</c:v>
                </c:pt>
                <c:pt idx="313">
                  <c:v>0.27297786917112493</c:v>
                </c:pt>
                <c:pt idx="314">
                  <c:v>0.27234118012803255</c:v>
                </c:pt>
                <c:pt idx="315">
                  <c:v>0.27236787798480494</c:v>
                </c:pt>
                <c:pt idx="316">
                  <c:v>0.26367722989784348</c:v>
                </c:pt>
                <c:pt idx="317">
                  <c:v>0.26350037312593261</c:v>
                </c:pt>
                <c:pt idx="318">
                  <c:v>0.26023434179036919</c:v>
                </c:pt>
                <c:pt idx="319">
                  <c:v>0.25003080577109726</c:v>
                </c:pt>
                <c:pt idx="320">
                  <c:v>0.25049010380980036</c:v>
                </c:pt>
                <c:pt idx="321">
                  <c:v>0.25476704212778595</c:v>
                </c:pt>
                <c:pt idx="322">
                  <c:v>0.25360428805009483</c:v>
                </c:pt>
                <c:pt idx="323">
                  <c:v>0.24629124623630944</c:v>
                </c:pt>
                <c:pt idx="324">
                  <c:v>0.24109257881678142</c:v>
                </c:pt>
                <c:pt idx="325">
                  <c:v>0.24242773494175771</c:v>
                </c:pt>
                <c:pt idx="326">
                  <c:v>0.24955880548738382</c:v>
                </c:pt>
                <c:pt idx="327">
                  <c:v>0.240181976136875</c:v>
                </c:pt>
                <c:pt idx="328">
                  <c:v>0.23953999695299399</c:v>
                </c:pt>
                <c:pt idx="329">
                  <c:v>0.24727640466939874</c:v>
                </c:pt>
                <c:pt idx="330">
                  <c:v>0.24617103356744907</c:v>
                </c:pt>
                <c:pt idx="331">
                  <c:v>0.24614291301764413</c:v>
                </c:pt>
                <c:pt idx="332">
                  <c:v>0.22468286877864507</c:v>
                </c:pt>
                <c:pt idx="333">
                  <c:v>0.21528311618878943</c:v>
                </c:pt>
                <c:pt idx="334">
                  <c:v>0.21702922352693316</c:v>
                </c:pt>
                <c:pt idx="335">
                  <c:v>0.20893650288650706</c:v>
                </c:pt>
                <c:pt idx="336">
                  <c:v>0.20501367151932631</c:v>
                </c:pt>
                <c:pt idx="337">
                  <c:v>0.21258006626874057</c:v>
                </c:pt>
                <c:pt idx="338">
                  <c:v>0.20519453347127631</c:v>
                </c:pt>
                <c:pt idx="339">
                  <c:v>0.20092331762480123</c:v>
                </c:pt>
                <c:pt idx="340">
                  <c:v>0.19826173801725616</c:v>
                </c:pt>
                <c:pt idx="341">
                  <c:v>0.19655179541125936</c:v>
                </c:pt>
                <c:pt idx="342">
                  <c:v>0.19520262778453421</c:v>
                </c:pt>
                <c:pt idx="343">
                  <c:v>0.18441493087073277</c:v>
                </c:pt>
                <c:pt idx="344">
                  <c:v>0.18282260608355203</c:v>
                </c:pt>
                <c:pt idx="345">
                  <c:v>0.19219911979132753</c:v>
                </c:pt>
                <c:pt idx="346">
                  <c:v>0.18998208055995824</c:v>
                </c:pt>
                <c:pt idx="347">
                  <c:v>0.20601704111967367</c:v>
                </c:pt>
                <c:pt idx="348">
                  <c:v>0.20232288968186746</c:v>
                </c:pt>
                <c:pt idx="349">
                  <c:v>0.20427172408130465</c:v>
                </c:pt>
                <c:pt idx="350">
                  <c:v>0.20428417372407787</c:v>
                </c:pt>
                <c:pt idx="351">
                  <c:v>0.20146214640164203</c:v>
                </c:pt>
                <c:pt idx="352">
                  <c:v>0.20301706793529389</c:v>
                </c:pt>
                <c:pt idx="353">
                  <c:v>0.20148467503132853</c:v>
                </c:pt>
                <c:pt idx="354">
                  <c:v>0.20652564655747305</c:v>
                </c:pt>
                <c:pt idx="355">
                  <c:v>0.20874501778200091</c:v>
                </c:pt>
                <c:pt idx="356">
                  <c:v>0.20235073105587253</c:v>
                </c:pt>
                <c:pt idx="357">
                  <c:v>0.20254756085911332</c:v>
                </c:pt>
                <c:pt idx="358">
                  <c:v>0.20885866039027656</c:v>
                </c:pt>
                <c:pt idx="359">
                  <c:v>0.20055372175462097</c:v>
                </c:pt>
                <c:pt idx="360">
                  <c:v>0.19543288265909436</c:v>
                </c:pt>
                <c:pt idx="361">
                  <c:v>0.20132337907689191</c:v>
                </c:pt>
                <c:pt idx="362">
                  <c:v>0.19885967350003794</c:v>
                </c:pt>
                <c:pt idx="363">
                  <c:v>0.20587484638734774</c:v>
                </c:pt>
                <c:pt idx="364">
                  <c:v>0.20436805078639383</c:v>
                </c:pt>
                <c:pt idx="365">
                  <c:v>0.20541650015343282</c:v>
                </c:pt>
                <c:pt idx="366">
                  <c:v>0.20845738473801567</c:v>
                </c:pt>
                <c:pt idx="367">
                  <c:v>0.20207902239669787</c:v>
                </c:pt>
                <c:pt idx="368">
                  <c:v>0.2014483098282559</c:v>
                </c:pt>
                <c:pt idx="369">
                  <c:v>0.1985278087103014</c:v>
                </c:pt>
                <c:pt idx="370">
                  <c:v>0.23185539364175534</c:v>
                </c:pt>
                <c:pt idx="371">
                  <c:v>0.23399065849350806</c:v>
                </c:pt>
                <c:pt idx="372">
                  <c:v>0.23142064964084519</c:v>
                </c:pt>
                <c:pt idx="373">
                  <c:v>0.22847406687926269</c:v>
                </c:pt>
                <c:pt idx="374">
                  <c:v>0.22854624224977904</c:v>
                </c:pt>
                <c:pt idx="375">
                  <c:v>0.22346846731908912</c:v>
                </c:pt>
                <c:pt idx="376">
                  <c:v>0.2313903398054124</c:v>
                </c:pt>
                <c:pt idx="377">
                  <c:v>0.21999492881485563</c:v>
                </c:pt>
                <c:pt idx="378">
                  <c:v>0.21784153832526318</c:v>
                </c:pt>
                <c:pt idx="379">
                  <c:v>0.21106521634158992</c:v>
                </c:pt>
                <c:pt idx="380">
                  <c:v>0.21307621316692288</c:v>
                </c:pt>
                <c:pt idx="381">
                  <c:v>0.213670241371269</c:v>
                </c:pt>
                <c:pt idx="382">
                  <c:v>0.21700520876023321</c:v>
                </c:pt>
                <c:pt idx="383">
                  <c:v>0.22348575405512466</c:v>
                </c:pt>
                <c:pt idx="384">
                  <c:v>0.21518690738973242</c:v>
                </c:pt>
                <c:pt idx="385">
                  <c:v>0.21257217532282074</c:v>
                </c:pt>
                <c:pt idx="386">
                  <c:v>0.22436943932021444</c:v>
                </c:pt>
                <c:pt idx="387">
                  <c:v>0.22303441400004037</c:v>
                </c:pt>
                <c:pt idx="388">
                  <c:v>0.21080103638001674</c:v>
                </c:pt>
                <c:pt idx="389">
                  <c:v>0.20929746298486138</c:v>
                </c:pt>
                <c:pt idx="390">
                  <c:v>0.21004378118887518</c:v>
                </c:pt>
                <c:pt idx="391">
                  <c:v>0.20851397333275709</c:v>
                </c:pt>
                <c:pt idx="392">
                  <c:v>0.20880335343808118</c:v>
                </c:pt>
                <c:pt idx="393">
                  <c:v>0.20647982688934868</c:v>
                </c:pt>
                <c:pt idx="394">
                  <c:v>0.19983519413730977</c:v>
                </c:pt>
                <c:pt idx="395">
                  <c:v>0.19620068742754376</c:v>
                </c:pt>
                <c:pt idx="396">
                  <c:v>0.19633886992292363</c:v>
                </c:pt>
                <c:pt idx="397">
                  <c:v>0.1941528332683137</c:v>
                </c:pt>
                <c:pt idx="398">
                  <c:v>0.19386365474530246</c:v>
                </c:pt>
                <c:pt idx="399">
                  <c:v>0.19818612996104712</c:v>
                </c:pt>
                <c:pt idx="400">
                  <c:v>0.1685835762914214</c:v>
                </c:pt>
                <c:pt idx="401">
                  <c:v>0.16609669464520221</c:v>
                </c:pt>
                <c:pt idx="402">
                  <c:v>0.1659210899322778</c:v>
                </c:pt>
                <c:pt idx="403">
                  <c:v>0.17001561424187553</c:v>
                </c:pt>
                <c:pt idx="404">
                  <c:v>0.17089009587880621</c:v>
                </c:pt>
                <c:pt idx="405">
                  <c:v>0.17890129414667402</c:v>
                </c:pt>
                <c:pt idx="406">
                  <c:v>0.16726186650425781</c:v>
                </c:pt>
                <c:pt idx="407">
                  <c:v>0.16677344853239801</c:v>
                </c:pt>
                <c:pt idx="408">
                  <c:v>0.17256720688795316</c:v>
                </c:pt>
                <c:pt idx="409">
                  <c:v>0.17086352948939112</c:v>
                </c:pt>
                <c:pt idx="410">
                  <c:v>0.16703802244149474</c:v>
                </c:pt>
                <c:pt idx="411">
                  <c:v>0.16699229919247982</c:v>
                </c:pt>
                <c:pt idx="412">
                  <c:v>0.17000901724459688</c:v>
                </c:pt>
                <c:pt idx="413">
                  <c:v>0.15765652779421924</c:v>
                </c:pt>
                <c:pt idx="414">
                  <c:v>0.15752830766675727</c:v>
                </c:pt>
                <c:pt idx="415">
                  <c:v>0.1608827075429298</c:v>
                </c:pt>
                <c:pt idx="416">
                  <c:v>0.14900425223825975</c:v>
                </c:pt>
                <c:pt idx="417">
                  <c:v>0.1489968387611168</c:v>
                </c:pt>
                <c:pt idx="418">
                  <c:v>0.14746702455267161</c:v>
                </c:pt>
                <c:pt idx="419">
                  <c:v>0.15622063715541276</c:v>
                </c:pt>
                <c:pt idx="420">
                  <c:v>0.15430131158143529</c:v>
                </c:pt>
                <c:pt idx="421">
                  <c:v>0.15805252062500319</c:v>
                </c:pt>
                <c:pt idx="422">
                  <c:v>0.16143263700299118</c:v>
                </c:pt>
                <c:pt idx="423">
                  <c:v>0.15787662272352954</c:v>
                </c:pt>
                <c:pt idx="424">
                  <c:v>0.16222474845245219</c:v>
                </c:pt>
                <c:pt idx="425">
                  <c:v>0.16141854888046001</c:v>
                </c:pt>
                <c:pt idx="426">
                  <c:v>0.16087305915399316</c:v>
                </c:pt>
                <c:pt idx="427">
                  <c:v>0.16242692597300512</c:v>
                </c:pt>
                <c:pt idx="428">
                  <c:v>0.16223417975345003</c:v>
                </c:pt>
                <c:pt idx="429">
                  <c:v>0.17220610955501883</c:v>
                </c:pt>
                <c:pt idx="430">
                  <c:v>0.17128470790015013</c:v>
                </c:pt>
                <c:pt idx="431">
                  <c:v>0.1739157837583428</c:v>
                </c:pt>
                <c:pt idx="432">
                  <c:v>0.17687726923962141</c:v>
                </c:pt>
                <c:pt idx="433">
                  <c:v>0.17284543713846551</c:v>
                </c:pt>
                <c:pt idx="434">
                  <c:v>0.1734695740911289</c:v>
                </c:pt>
                <c:pt idx="435">
                  <c:v>0.1719625882111544</c:v>
                </c:pt>
                <c:pt idx="436">
                  <c:v>0.17027214043691299</c:v>
                </c:pt>
                <c:pt idx="437">
                  <c:v>0.17066033054001956</c:v>
                </c:pt>
                <c:pt idx="438">
                  <c:v>0.1618101489634434</c:v>
                </c:pt>
                <c:pt idx="439">
                  <c:v>0.16185967895143655</c:v>
                </c:pt>
                <c:pt idx="440">
                  <c:v>0.16769940977320241</c:v>
                </c:pt>
                <c:pt idx="441">
                  <c:v>0.16700155162452215</c:v>
                </c:pt>
                <c:pt idx="442">
                  <c:v>0.164278579689486</c:v>
                </c:pt>
                <c:pt idx="443">
                  <c:v>0.15663208421828145</c:v>
                </c:pt>
                <c:pt idx="444">
                  <c:v>0.16554534411181807</c:v>
                </c:pt>
                <c:pt idx="445">
                  <c:v>0.16615730970750206</c:v>
                </c:pt>
                <c:pt idx="446">
                  <c:v>0.16590618046294095</c:v>
                </c:pt>
                <c:pt idx="447">
                  <c:v>0.16589996980666785</c:v>
                </c:pt>
                <c:pt idx="448">
                  <c:v>0.16504969987674215</c:v>
                </c:pt>
                <c:pt idx="449">
                  <c:v>0.16077503489256534</c:v>
                </c:pt>
                <c:pt idx="450">
                  <c:v>0.16218740756777303</c:v>
                </c:pt>
                <c:pt idx="451">
                  <c:v>0.15972373784460053</c:v>
                </c:pt>
                <c:pt idx="452">
                  <c:v>0.15753409151561651</c:v>
                </c:pt>
                <c:pt idx="453">
                  <c:v>0.15813555257529666</c:v>
                </c:pt>
                <c:pt idx="454">
                  <c:v>0.14912271101134381</c:v>
                </c:pt>
                <c:pt idx="455">
                  <c:v>0.14877569140293762</c:v>
                </c:pt>
                <c:pt idx="456">
                  <c:v>0.14905057002864788</c:v>
                </c:pt>
                <c:pt idx="457">
                  <c:v>0.14839028145637159</c:v>
                </c:pt>
                <c:pt idx="458">
                  <c:v>0.14750244522351788</c:v>
                </c:pt>
                <c:pt idx="459">
                  <c:v>0.13769075748764362</c:v>
                </c:pt>
                <c:pt idx="460">
                  <c:v>0.13161808248931939</c:v>
                </c:pt>
                <c:pt idx="461">
                  <c:v>0.13248577428268701</c:v>
                </c:pt>
                <c:pt idx="462">
                  <c:v>0.13794415268570237</c:v>
                </c:pt>
                <c:pt idx="463">
                  <c:v>0.14388734037753093</c:v>
                </c:pt>
                <c:pt idx="464">
                  <c:v>0.14317423091880996</c:v>
                </c:pt>
                <c:pt idx="465">
                  <c:v>0.14185846498679</c:v>
                </c:pt>
                <c:pt idx="466">
                  <c:v>0.14388425114590139</c:v>
                </c:pt>
                <c:pt idx="467">
                  <c:v>0.14568472206257307</c:v>
                </c:pt>
                <c:pt idx="468">
                  <c:v>0.14819777314144505</c:v>
                </c:pt>
                <c:pt idx="469">
                  <c:v>0.15594433819217518</c:v>
                </c:pt>
                <c:pt idx="470">
                  <c:v>0.14655022337176493</c:v>
                </c:pt>
                <c:pt idx="471">
                  <c:v>0.14576470200649555</c:v>
                </c:pt>
                <c:pt idx="472">
                  <c:v>0.14669590996621906</c:v>
                </c:pt>
                <c:pt idx="473">
                  <c:v>0.14728639928919707</c:v>
                </c:pt>
                <c:pt idx="474">
                  <c:v>0.13994919454230276</c:v>
                </c:pt>
                <c:pt idx="475">
                  <c:v>0.14444800153482998</c:v>
                </c:pt>
                <c:pt idx="476">
                  <c:v>0.14512095135704639</c:v>
                </c:pt>
                <c:pt idx="477">
                  <c:v>0.14614123085011446</c:v>
                </c:pt>
                <c:pt idx="478">
                  <c:v>0.14635331964215473</c:v>
                </c:pt>
                <c:pt idx="479">
                  <c:v>0.1464126835268624</c:v>
                </c:pt>
                <c:pt idx="480">
                  <c:v>0.14517766185989245</c:v>
                </c:pt>
                <c:pt idx="481">
                  <c:v>0.14580794360130234</c:v>
                </c:pt>
                <c:pt idx="482">
                  <c:v>0.14793645974376859</c:v>
                </c:pt>
                <c:pt idx="483">
                  <c:v>0.15786984327292272</c:v>
                </c:pt>
                <c:pt idx="484">
                  <c:v>0.15777273373713563</c:v>
                </c:pt>
                <c:pt idx="485">
                  <c:v>0.15800069290228522</c:v>
                </c:pt>
                <c:pt idx="486">
                  <c:v>0.15969239417584943</c:v>
                </c:pt>
                <c:pt idx="487">
                  <c:v>0.15973318438619361</c:v>
                </c:pt>
                <c:pt idx="488">
                  <c:v>0.16608974746550342</c:v>
                </c:pt>
                <c:pt idx="489">
                  <c:v>0.16545819373721923</c:v>
                </c:pt>
                <c:pt idx="490">
                  <c:v>0.16760982608155148</c:v>
                </c:pt>
                <c:pt idx="491">
                  <c:v>0.17192532312660797</c:v>
                </c:pt>
                <c:pt idx="492">
                  <c:v>0.16791378759023443</c:v>
                </c:pt>
                <c:pt idx="493">
                  <c:v>0.16154258980884711</c:v>
                </c:pt>
                <c:pt idx="494">
                  <c:v>0.16060416022118174</c:v>
                </c:pt>
                <c:pt idx="495">
                  <c:v>0.15828599715910396</c:v>
                </c:pt>
                <c:pt idx="496">
                  <c:v>0.16282452857589913</c:v>
                </c:pt>
                <c:pt idx="497">
                  <c:v>0.16112641420189186</c:v>
                </c:pt>
                <c:pt idx="498">
                  <c:v>0.16634707506857382</c:v>
                </c:pt>
                <c:pt idx="499">
                  <c:v>0.15936810473736515</c:v>
                </c:pt>
                <c:pt idx="500">
                  <c:v>0.15912718954788835</c:v>
                </c:pt>
                <c:pt idx="501">
                  <c:v>0.1654987954735056</c:v>
                </c:pt>
                <c:pt idx="502">
                  <c:v>0.16496685909404293</c:v>
                </c:pt>
                <c:pt idx="503">
                  <c:v>0.16255915879679533</c:v>
                </c:pt>
                <c:pt idx="504">
                  <c:v>0.16280094616884372</c:v>
                </c:pt>
                <c:pt idx="505">
                  <c:v>0.15780729630079129</c:v>
                </c:pt>
                <c:pt idx="506">
                  <c:v>0.15544394195560723</c:v>
                </c:pt>
                <c:pt idx="507">
                  <c:v>0.16705275051628196</c:v>
                </c:pt>
                <c:pt idx="508">
                  <c:v>0.17818748607440266</c:v>
                </c:pt>
                <c:pt idx="509">
                  <c:v>0.17882938503322335</c:v>
                </c:pt>
                <c:pt idx="510">
                  <c:v>0.18012852076006597</c:v>
                </c:pt>
                <c:pt idx="511">
                  <c:v>0.18749084496662788</c:v>
                </c:pt>
                <c:pt idx="512">
                  <c:v>0.21059822157666996</c:v>
                </c:pt>
                <c:pt idx="513">
                  <c:v>0.20168652427599293</c:v>
                </c:pt>
                <c:pt idx="514">
                  <c:v>0.20690715875627774</c:v>
                </c:pt>
                <c:pt idx="515">
                  <c:v>0.20693278862061407</c:v>
                </c:pt>
                <c:pt idx="516">
                  <c:v>0.20277432741216719</c:v>
                </c:pt>
                <c:pt idx="517">
                  <c:v>0.20573970559975691</c:v>
                </c:pt>
                <c:pt idx="518">
                  <c:v>0.20261742731945884</c:v>
                </c:pt>
                <c:pt idx="519">
                  <c:v>0.21044822269794106</c:v>
                </c:pt>
                <c:pt idx="520">
                  <c:v>0.21202300768678375</c:v>
                </c:pt>
                <c:pt idx="521">
                  <c:v>0.20475815377340426</c:v>
                </c:pt>
                <c:pt idx="522">
                  <c:v>0.20426008924254341</c:v>
                </c:pt>
                <c:pt idx="523">
                  <c:v>0.20653363792589821</c:v>
                </c:pt>
                <c:pt idx="524">
                  <c:v>0.20692783872068232</c:v>
                </c:pt>
                <c:pt idx="525">
                  <c:v>0.20701208318111863</c:v>
                </c:pt>
                <c:pt idx="526">
                  <c:v>0.20634804369714152</c:v>
                </c:pt>
                <c:pt idx="527">
                  <c:v>0.20658816226908525</c:v>
                </c:pt>
                <c:pt idx="528">
                  <c:v>0.19802477900951729</c:v>
                </c:pt>
                <c:pt idx="529">
                  <c:v>0.19828162680592834</c:v>
                </c:pt>
                <c:pt idx="530">
                  <c:v>0.19379391368485729</c:v>
                </c:pt>
                <c:pt idx="531">
                  <c:v>0.18386662854870803</c:v>
                </c:pt>
                <c:pt idx="532">
                  <c:v>0.18660998935866688</c:v>
                </c:pt>
                <c:pt idx="533">
                  <c:v>0.18536516428639732</c:v>
                </c:pt>
                <c:pt idx="534">
                  <c:v>0.18846009271220304</c:v>
                </c:pt>
                <c:pt idx="535">
                  <c:v>0.18842697330227018</c:v>
                </c:pt>
                <c:pt idx="536">
                  <c:v>0.18333633606313113</c:v>
                </c:pt>
                <c:pt idx="537">
                  <c:v>0.17826747511009444</c:v>
                </c:pt>
                <c:pt idx="538">
                  <c:v>0.161224819617106</c:v>
                </c:pt>
                <c:pt idx="539">
                  <c:v>0.17139920547579685</c:v>
                </c:pt>
                <c:pt idx="540">
                  <c:v>0.17157039615190084</c:v>
                </c:pt>
                <c:pt idx="541">
                  <c:v>0.17207513109576625</c:v>
                </c:pt>
                <c:pt idx="542">
                  <c:v>0.15120725061242604</c:v>
                </c:pt>
                <c:pt idx="543">
                  <c:v>0.15119702404700266</c:v>
                </c:pt>
                <c:pt idx="544">
                  <c:v>0.15158463430171343</c:v>
                </c:pt>
                <c:pt idx="545">
                  <c:v>0.15192473196842868</c:v>
                </c:pt>
                <c:pt idx="546">
                  <c:v>0.14984117241939099</c:v>
                </c:pt>
                <c:pt idx="547">
                  <c:v>0.14666090153091882</c:v>
                </c:pt>
                <c:pt idx="548">
                  <c:v>0.14513269507914425</c:v>
                </c:pt>
                <c:pt idx="549">
                  <c:v>0.13595724954453312</c:v>
                </c:pt>
                <c:pt idx="550">
                  <c:v>0.13622461284170773</c:v>
                </c:pt>
                <c:pt idx="551">
                  <c:v>0.13556440544288267</c:v>
                </c:pt>
                <c:pt idx="552">
                  <c:v>0.14190146050863248</c:v>
                </c:pt>
                <c:pt idx="553">
                  <c:v>0.14044722370467638</c:v>
                </c:pt>
                <c:pt idx="554">
                  <c:v>0.14033279922912209</c:v>
                </c:pt>
                <c:pt idx="555">
                  <c:v>0.14157425520126593</c:v>
                </c:pt>
                <c:pt idx="556">
                  <c:v>0.13768087061193221</c:v>
                </c:pt>
                <c:pt idx="557">
                  <c:v>0.13869681417099713</c:v>
                </c:pt>
                <c:pt idx="558">
                  <c:v>0.13812275501018287</c:v>
                </c:pt>
                <c:pt idx="559">
                  <c:v>0.13796496452182352</c:v>
                </c:pt>
                <c:pt idx="560">
                  <c:v>0.14809962366460361</c:v>
                </c:pt>
                <c:pt idx="561">
                  <c:v>0.14665981997134286</c:v>
                </c:pt>
                <c:pt idx="562">
                  <c:v>0.14891970373673383</c:v>
                </c:pt>
                <c:pt idx="563">
                  <c:v>0.14993316249531205</c:v>
                </c:pt>
                <c:pt idx="564">
                  <c:v>0.15145024392239964</c:v>
                </c:pt>
                <c:pt idx="565">
                  <c:v>0.15516919208420002</c:v>
                </c:pt>
                <c:pt idx="566">
                  <c:v>0.15535914937202841</c:v>
                </c:pt>
                <c:pt idx="567">
                  <c:v>0.15549150936048914</c:v>
                </c:pt>
                <c:pt idx="568">
                  <c:v>0.15475669428039884</c:v>
                </c:pt>
                <c:pt idx="569">
                  <c:v>0.12902764955505697</c:v>
                </c:pt>
                <c:pt idx="570">
                  <c:v>0.12838487397070034</c:v>
                </c:pt>
                <c:pt idx="571">
                  <c:v>0.12895154867265574</c:v>
                </c:pt>
                <c:pt idx="572">
                  <c:v>0.1291055117788546</c:v>
                </c:pt>
                <c:pt idx="573">
                  <c:v>0.12963894532952899</c:v>
                </c:pt>
                <c:pt idx="574">
                  <c:v>0.12795789621680118</c:v>
                </c:pt>
                <c:pt idx="575">
                  <c:v>0.14154154099809563</c:v>
                </c:pt>
                <c:pt idx="576">
                  <c:v>0.14026686580059688</c:v>
                </c:pt>
                <c:pt idx="577">
                  <c:v>0.14445525143008633</c:v>
                </c:pt>
                <c:pt idx="578">
                  <c:v>0.14358103658940446</c:v>
                </c:pt>
                <c:pt idx="579">
                  <c:v>0.14509834441810276</c:v>
                </c:pt>
                <c:pt idx="580">
                  <c:v>0.14068785986405169</c:v>
                </c:pt>
                <c:pt idx="581">
                  <c:v>0.14084391497360541</c:v>
                </c:pt>
                <c:pt idx="582">
                  <c:v>0.13600735812795178</c:v>
                </c:pt>
                <c:pt idx="583">
                  <c:v>0.13872732720430331</c:v>
                </c:pt>
                <c:pt idx="584">
                  <c:v>0.13694679487862513</c:v>
                </c:pt>
                <c:pt idx="585">
                  <c:v>0.13603508223474642</c:v>
                </c:pt>
                <c:pt idx="586">
                  <c:v>0.13765275655178466</c:v>
                </c:pt>
                <c:pt idx="587">
                  <c:v>0.13766863690493239</c:v>
                </c:pt>
                <c:pt idx="588">
                  <c:v>0.14601609568340296</c:v>
                </c:pt>
                <c:pt idx="589">
                  <c:v>0.14734730110408706</c:v>
                </c:pt>
                <c:pt idx="590">
                  <c:v>0.13966184256199471</c:v>
                </c:pt>
                <c:pt idx="591">
                  <c:v>0.13953838284761519</c:v>
                </c:pt>
                <c:pt idx="592">
                  <c:v>0.13751526037128697</c:v>
                </c:pt>
                <c:pt idx="593">
                  <c:v>0.13618495820833915</c:v>
                </c:pt>
                <c:pt idx="594">
                  <c:v>0.13267378940382937</c:v>
                </c:pt>
                <c:pt idx="595">
                  <c:v>0.12860517404614008</c:v>
                </c:pt>
                <c:pt idx="596">
                  <c:v>0.12723805311987263</c:v>
                </c:pt>
                <c:pt idx="597">
                  <c:v>0.12737399137194486</c:v>
                </c:pt>
                <c:pt idx="598">
                  <c:v>0.13231175243807661</c:v>
                </c:pt>
                <c:pt idx="599">
                  <c:v>0.13143593606750853</c:v>
                </c:pt>
                <c:pt idx="600">
                  <c:v>0.12782125140615699</c:v>
                </c:pt>
                <c:pt idx="601">
                  <c:v>0.13100303869552454</c:v>
                </c:pt>
                <c:pt idx="602">
                  <c:v>0.13003031493864711</c:v>
                </c:pt>
                <c:pt idx="603">
                  <c:v>0.127627886081317</c:v>
                </c:pt>
                <c:pt idx="604">
                  <c:v>0.13322074608349263</c:v>
                </c:pt>
                <c:pt idx="605">
                  <c:v>0.12076217005041863</c:v>
                </c:pt>
                <c:pt idx="606">
                  <c:v>0.12480544692808185</c:v>
                </c:pt>
                <c:pt idx="607">
                  <c:v>0.11788143360467208</c:v>
                </c:pt>
                <c:pt idx="608">
                  <c:v>0.11781036581417358</c:v>
                </c:pt>
                <c:pt idx="609">
                  <c:v>0.11580098563445396</c:v>
                </c:pt>
                <c:pt idx="610">
                  <c:v>0.11555967293345486</c:v>
                </c:pt>
                <c:pt idx="611">
                  <c:v>0.12239378734661915</c:v>
                </c:pt>
                <c:pt idx="612">
                  <c:v>0.12223487302179864</c:v>
                </c:pt>
                <c:pt idx="613">
                  <c:v>0.11529334764310432</c:v>
                </c:pt>
                <c:pt idx="614">
                  <c:v>0.11578805831041639</c:v>
                </c:pt>
                <c:pt idx="615">
                  <c:v>0.11670090407794671</c:v>
                </c:pt>
                <c:pt idx="616">
                  <c:v>0.1205357253527838</c:v>
                </c:pt>
                <c:pt idx="617">
                  <c:v>0.12375508596277286</c:v>
                </c:pt>
                <c:pt idx="618">
                  <c:v>0.124817458886266</c:v>
                </c:pt>
                <c:pt idx="619">
                  <c:v>0.12430240232699891</c:v>
                </c:pt>
                <c:pt idx="620">
                  <c:v>0.12859077916142442</c:v>
                </c:pt>
                <c:pt idx="621">
                  <c:v>0.12940930315138585</c:v>
                </c:pt>
                <c:pt idx="622">
                  <c:v>0.12978644010496615</c:v>
                </c:pt>
                <c:pt idx="623">
                  <c:v>0.13008143228607238</c:v>
                </c:pt>
                <c:pt idx="624">
                  <c:v>0.12935550813880939</c:v>
                </c:pt>
                <c:pt idx="625">
                  <c:v>0.13042602330285838</c:v>
                </c:pt>
                <c:pt idx="626">
                  <c:v>0.13089055241316139</c:v>
                </c:pt>
                <c:pt idx="627">
                  <c:v>0.13102730896682196</c:v>
                </c:pt>
                <c:pt idx="628">
                  <c:v>0.12456251974233595</c:v>
                </c:pt>
                <c:pt idx="629">
                  <c:v>0.12360567388144041</c:v>
                </c:pt>
                <c:pt idx="630">
                  <c:v>0.1359400939746796</c:v>
                </c:pt>
                <c:pt idx="631">
                  <c:v>0.13439748392576667</c:v>
                </c:pt>
                <c:pt idx="632">
                  <c:v>0.13829357265980399</c:v>
                </c:pt>
                <c:pt idx="633">
                  <c:v>0.14243041962483483</c:v>
                </c:pt>
                <c:pt idx="634">
                  <c:v>0.14494553267358551</c:v>
                </c:pt>
                <c:pt idx="635">
                  <c:v>0.1440310781015374</c:v>
                </c:pt>
                <c:pt idx="636">
                  <c:v>0.14192331154732729</c:v>
                </c:pt>
                <c:pt idx="637">
                  <c:v>0.142217332853708</c:v>
                </c:pt>
                <c:pt idx="638">
                  <c:v>0.15017529601167792</c:v>
                </c:pt>
                <c:pt idx="639">
                  <c:v>0.14990393816951791</c:v>
                </c:pt>
                <c:pt idx="640">
                  <c:v>0.1506020650231647</c:v>
                </c:pt>
                <c:pt idx="641">
                  <c:v>0.14740766499942615</c:v>
                </c:pt>
                <c:pt idx="642">
                  <c:v>0.1477255630192881</c:v>
                </c:pt>
                <c:pt idx="643">
                  <c:v>0.14804871102747844</c:v>
                </c:pt>
                <c:pt idx="644">
                  <c:v>0.14793572044416359</c:v>
                </c:pt>
                <c:pt idx="645">
                  <c:v>0.14732148369319414</c:v>
                </c:pt>
                <c:pt idx="646">
                  <c:v>0.14213986603224477</c:v>
                </c:pt>
                <c:pt idx="647">
                  <c:v>0.14531548723122412</c:v>
                </c:pt>
                <c:pt idx="648">
                  <c:v>0.13720986292416021</c:v>
                </c:pt>
                <c:pt idx="649">
                  <c:v>0.13716948186972452</c:v>
                </c:pt>
                <c:pt idx="650">
                  <c:v>0.13052325550354729</c:v>
                </c:pt>
                <c:pt idx="651">
                  <c:v>0.1296146463499451</c:v>
                </c:pt>
                <c:pt idx="652">
                  <c:v>0.13005377404542129</c:v>
                </c:pt>
                <c:pt idx="653">
                  <c:v>0.1315502869654383</c:v>
                </c:pt>
                <c:pt idx="654">
                  <c:v>0.13264318825362845</c:v>
                </c:pt>
                <c:pt idx="655">
                  <c:v>0.13177949090309571</c:v>
                </c:pt>
                <c:pt idx="656">
                  <c:v>0.13144661489346923</c:v>
                </c:pt>
                <c:pt idx="657">
                  <c:v>0.13802985595529649</c:v>
                </c:pt>
                <c:pt idx="658">
                  <c:v>0.14521841944700115</c:v>
                </c:pt>
                <c:pt idx="659">
                  <c:v>0.14573516349936969</c:v>
                </c:pt>
                <c:pt idx="660">
                  <c:v>0.13829671857994297</c:v>
                </c:pt>
                <c:pt idx="661">
                  <c:v>0.14180934063059322</c:v>
                </c:pt>
                <c:pt idx="662">
                  <c:v>0.13877771634361358</c:v>
                </c:pt>
                <c:pt idx="663">
                  <c:v>0.13377232565816893</c:v>
                </c:pt>
                <c:pt idx="664">
                  <c:v>0.12162189452103107</c:v>
                </c:pt>
                <c:pt idx="665">
                  <c:v>0.12258041869658715</c:v>
                </c:pt>
                <c:pt idx="666">
                  <c:v>0.12418285603502625</c:v>
                </c:pt>
                <c:pt idx="667">
                  <c:v>0.12293813400426591</c:v>
                </c:pt>
                <c:pt idx="668">
                  <c:v>0.12139443486202678</c:v>
                </c:pt>
                <c:pt idx="669">
                  <c:v>0.12631022459778662</c:v>
                </c:pt>
                <c:pt idx="670">
                  <c:v>0.12523930689396703</c:v>
                </c:pt>
                <c:pt idx="671">
                  <c:v>0.12343213807137039</c:v>
                </c:pt>
                <c:pt idx="672">
                  <c:v>0.13290837094196867</c:v>
                </c:pt>
                <c:pt idx="673">
                  <c:v>0.13428513589889909</c:v>
                </c:pt>
                <c:pt idx="674">
                  <c:v>0.13453855732932332</c:v>
                </c:pt>
                <c:pt idx="675">
                  <c:v>0.13453118234159661</c:v>
                </c:pt>
                <c:pt idx="676">
                  <c:v>0.13677255558247062</c:v>
                </c:pt>
                <c:pt idx="677">
                  <c:v>0.1303713106060948</c:v>
                </c:pt>
                <c:pt idx="678">
                  <c:v>0.12823380869156911</c:v>
                </c:pt>
                <c:pt idx="679">
                  <c:v>0.12715258949250235</c:v>
                </c:pt>
                <c:pt idx="680">
                  <c:v>0.1279206641290104</c:v>
                </c:pt>
                <c:pt idx="681">
                  <c:v>0.12699618980038138</c:v>
                </c:pt>
                <c:pt idx="682">
                  <c:v>0.12711077073906601</c:v>
                </c:pt>
                <c:pt idx="683">
                  <c:v>0.12336198851283577</c:v>
                </c:pt>
                <c:pt idx="684">
                  <c:v>0.12314896545020042</c:v>
                </c:pt>
                <c:pt idx="685">
                  <c:v>0.12298836415620651</c:v>
                </c:pt>
                <c:pt idx="686">
                  <c:v>0.12237614913188641</c:v>
                </c:pt>
                <c:pt idx="687">
                  <c:v>0.13010065721945416</c:v>
                </c:pt>
                <c:pt idx="688">
                  <c:v>0.11854933730108208</c:v>
                </c:pt>
                <c:pt idx="689">
                  <c:v>0.11675480414792533</c:v>
                </c:pt>
                <c:pt idx="690">
                  <c:v>0.11952479203143229</c:v>
                </c:pt>
                <c:pt idx="691">
                  <c:v>0.11331823348397398</c:v>
                </c:pt>
                <c:pt idx="692">
                  <c:v>0.1133303837144093</c:v>
                </c:pt>
                <c:pt idx="693">
                  <c:v>0.11762664522773225</c:v>
                </c:pt>
                <c:pt idx="694">
                  <c:v>0.11702182108804493</c:v>
                </c:pt>
                <c:pt idx="695">
                  <c:v>0.11858603255183715</c:v>
                </c:pt>
                <c:pt idx="696">
                  <c:v>0.11934556949417169</c:v>
                </c:pt>
                <c:pt idx="697">
                  <c:v>0.11905504131026272</c:v>
                </c:pt>
                <c:pt idx="698">
                  <c:v>0.11936693320723668</c:v>
                </c:pt>
                <c:pt idx="699">
                  <c:v>0.11680175614071914</c:v>
                </c:pt>
                <c:pt idx="700">
                  <c:v>0.11807228138814123</c:v>
                </c:pt>
                <c:pt idx="701">
                  <c:v>0.12308423551145625</c:v>
                </c:pt>
                <c:pt idx="702">
                  <c:v>0.11749935540295856</c:v>
                </c:pt>
                <c:pt idx="703">
                  <c:v>0.12250361382452002</c:v>
                </c:pt>
                <c:pt idx="704">
                  <c:v>0.12254462312244592</c:v>
                </c:pt>
                <c:pt idx="705">
                  <c:v>0.12577435192796599</c:v>
                </c:pt>
                <c:pt idx="706">
                  <c:v>0.12580307804503979</c:v>
                </c:pt>
                <c:pt idx="707">
                  <c:v>0.12486270417891364</c:v>
                </c:pt>
                <c:pt idx="708">
                  <c:v>0.12529349626594902</c:v>
                </c:pt>
                <c:pt idx="709">
                  <c:v>0.13222844962793717</c:v>
                </c:pt>
                <c:pt idx="710">
                  <c:v>0.13217508705834635</c:v>
                </c:pt>
                <c:pt idx="711">
                  <c:v>0.132188448040542</c:v>
                </c:pt>
                <c:pt idx="712">
                  <c:v>0.13637656130480347</c:v>
                </c:pt>
                <c:pt idx="713">
                  <c:v>0.13754589442611215</c:v>
                </c:pt>
                <c:pt idx="714">
                  <c:v>0.13760595764830927</c:v>
                </c:pt>
                <c:pt idx="715">
                  <c:v>0.1385014156970728</c:v>
                </c:pt>
                <c:pt idx="716">
                  <c:v>0.13847628776760354</c:v>
                </c:pt>
                <c:pt idx="717">
                  <c:v>0.13205359274756331</c:v>
                </c:pt>
                <c:pt idx="718">
                  <c:v>0.13207432952571854</c:v>
                </c:pt>
                <c:pt idx="719">
                  <c:v>0.1364528120990339</c:v>
                </c:pt>
                <c:pt idx="720">
                  <c:v>0.13223602337571319</c:v>
                </c:pt>
                <c:pt idx="721">
                  <c:v>0.13615532096831837</c:v>
                </c:pt>
                <c:pt idx="722">
                  <c:v>0.13389827103495788</c:v>
                </c:pt>
                <c:pt idx="723">
                  <c:v>0.14074778489082901</c:v>
                </c:pt>
                <c:pt idx="724">
                  <c:v>0.13927385086773594</c:v>
                </c:pt>
                <c:pt idx="725">
                  <c:v>0.13821063969915903</c:v>
                </c:pt>
                <c:pt idx="726">
                  <c:v>0.13698213435717371</c:v>
                </c:pt>
                <c:pt idx="727">
                  <c:v>0.13874416493810737</c:v>
                </c:pt>
                <c:pt idx="728">
                  <c:v>0.13647873407766106</c:v>
                </c:pt>
                <c:pt idx="729">
                  <c:v>0.1345576912817269</c:v>
                </c:pt>
                <c:pt idx="730">
                  <c:v>0.13397629251326831</c:v>
                </c:pt>
                <c:pt idx="731">
                  <c:v>0.1333501429334101</c:v>
                </c:pt>
                <c:pt idx="732">
                  <c:v>0.13417768323243839</c:v>
                </c:pt>
                <c:pt idx="733">
                  <c:v>0.13610832285862862</c:v>
                </c:pt>
                <c:pt idx="734">
                  <c:v>0.13692217567817735</c:v>
                </c:pt>
                <c:pt idx="735">
                  <c:v>0.13363060023683151</c:v>
                </c:pt>
                <c:pt idx="736">
                  <c:v>0.13247680600470424</c:v>
                </c:pt>
                <c:pt idx="737">
                  <c:v>0.13318887733269008</c:v>
                </c:pt>
                <c:pt idx="738">
                  <c:v>0.13320241499478278</c:v>
                </c:pt>
                <c:pt idx="739">
                  <c:v>0.12329686329623087</c:v>
                </c:pt>
                <c:pt idx="740">
                  <c:v>0.12355381401033383</c:v>
                </c:pt>
                <c:pt idx="741">
                  <c:v>0.12565707708777027</c:v>
                </c:pt>
                <c:pt idx="742">
                  <c:v>0.12894060601481769</c:v>
                </c:pt>
                <c:pt idx="743">
                  <c:v>0.12604975182056394</c:v>
                </c:pt>
                <c:pt idx="744">
                  <c:v>0.12492505740988945</c:v>
                </c:pt>
                <c:pt idx="745">
                  <c:v>0.12586446969430731</c:v>
                </c:pt>
                <c:pt idx="746">
                  <c:v>0.12956749940264387</c:v>
                </c:pt>
                <c:pt idx="747">
                  <c:v>0.12730691311658651</c:v>
                </c:pt>
                <c:pt idx="748">
                  <c:v>0.12768325957426171</c:v>
                </c:pt>
                <c:pt idx="749">
                  <c:v>0.13034356082763168</c:v>
                </c:pt>
                <c:pt idx="750">
                  <c:v>0.13067520237427127</c:v>
                </c:pt>
                <c:pt idx="751">
                  <c:v>0.12064835190290547</c:v>
                </c:pt>
                <c:pt idx="752">
                  <c:v>0.12028412305819899</c:v>
                </c:pt>
                <c:pt idx="753">
                  <c:v>0.11388662771031062</c:v>
                </c:pt>
                <c:pt idx="754">
                  <c:v>0.11401399911913403</c:v>
                </c:pt>
                <c:pt idx="755">
                  <c:v>0.11452719117704242</c:v>
                </c:pt>
                <c:pt idx="756">
                  <c:v>0.11427546174008865</c:v>
                </c:pt>
                <c:pt idx="757">
                  <c:v>0.11687096941736647</c:v>
                </c:pt>
                <c:pt idx="758">
                  <c:v>0.1150418815835301</c:v>
                </c:pt>
                <c:pt idx="759">
                  <c:v>0.1207024361218401</c:v>
                </c:pt>
                <c:pt idx="760">
                  <c:v>0.12084927110939976</c:v>
                </c:pt>
                <c:pt idx="761">
                  <c:v>0.11937935230230018</c:v>
                </c:pt>
                <c:pt idx="762">
                  <c:v>0.11915018389087974</c:v>
                </c:pt>
                <c:pt idx="763">
                  <c:v>0.11255072016478802</c:v>
                </c:pt>
                <c:pt idx="764">
                  <c:v>0.13232862656862135</c:v>
                </c:pt>
                <c:pt idx="765">
                  <c:v>0.13094143819725221</c:v>
                </c:pt>
                <c:pt idx="766">
                  <c:v>0.12983355152504306</c:v>
                </c:pt>
                <c:pt idx="767">
                  <c:v>0.13359513700642292</c:v>
                </c:pt>
                <c:pt idx="768">
                  <c:v>0.13742488780684281</c:v>
                </c:pt>
                <c:pt idx="769">
                  <c:v>0.137374305361014</c:v>
                </c:pt>
                <c:pt idx="770">
                  <c:v>0.13716700346529245</c:v>
                </c:pt>
                <c:pt idx="771">
                  <c:v>0.13538784369688223</c:v>
                </c:pt>
                <c:pt idx="772">
                  <c:v>0.12750733735959688</c:v>
                </c:pt>
                <c:pt idx="773">
                  <c:v>0.12817375506598255</c:v>
                </c:pt>
                <c:pt idx="774">
                  <c:v>0.12913067742535095</c:v>
                </c:pt>
                <c:pt idx="775">
                  <c:v>0.13325202572346273</c:v>
                </c:pt>
                <c:pt idx="776">
                  <c:v>0.13613799112024094</c:v>
                </c:pt>
                <c:pt idx="777">
                  <c:v>0.1360494846387437</c:v>
                </c:pt>
                <c:pt idx="778">
                  <c:v>0.13966271898735252</c:v>
                </c:pt>
                <c:pt idx="779">
                  <c:v>0.15387099458013415</c:v>
                </c:pt>
                <c:pt idx="780">
                  <c:v>0.1751928971759272</c:v>
                </c:pt>
                <c:pt idx="781">
                  <c:v>0.17586072597841357</c:v>
                </c:pt>
                <c:pt idx="782">
                  <c:v>0.17555165050200291</c:v>
                </c:pt>
                <c:pt idx="783">
                  <c:v>0.17802275853027844</c:v>
                </c:pt>
                <c:pt idx="784">
                  <c:v>0.17870351225370087</c:v>
                </c:pt>
                <c:pt idx="785">
                  <c:v>0.18368431256940376</c:v>
                </c:pt>
                <c:pt idx="786">
                  <c:v>0.18813314498517991</c:v>
                </c:pt>
                <c:pt idx="787">
                  <c:v>0.18646221778378713</c:v>
                </c:pt>
                <c:pt idx="788">
                  <c:v>0.18782991397908322</c:v>
                </c:pt>
                <c:pt idx="789">
                  <c:v>0.19136785360523387</c:v>
                </c:pt>
                <c:pt idx="790">
                  <c:v>0.20989099413713821</c:v>
                </c:pt>
                <c:pt idx="791">
                  <c:v>0.21213298236907172</c:v>
                </c:pt>
                <c:pt idx="792">
                  <c:v>0.2133404264282123</c:v>
                </c:pt>
                <c:pt idx="793">
                  <c:v>0.21320682897595938</c:v>
                </c:pt>
                <c:pt idx="794">
                  <c:v>0.22031661318201204</c:v>
                </c:pt>
                <c:pt idx="795">
                  <c:v>0.22240482100218129</c:v>
                </c:pt>
                <c:pt idx="796">
                  <c:v>0.22481639459558492</c:v>
                </c:pt>
                <c:pt idx="797">
                  <c:v>0.22572320902732834</c:v>
                </c:pt>
                <c:pt idx="798">
                  <c:v>0.22423045169476671</c:v>
                </c:pt>
                <c:pt idx="799">
                  <c:v>0.22326267831284446</c:v>
                </c:pt>
                <c:pt idx="800">
                  <c:v>0.22328758710750496</c:v>
                </c:pt>
                <c:pt idx="801">
                  <c:v>0.2229163811696708</c:v>
                </c:pt>
                <c:pt idx="802">
                  <c:v>0.22527271821116857</c:v>
                </c:pt>
                <c:pt idx="803">
                  <c:v>0.23825760432857729</c:v>
                </c:pt>
                <c:pt idx="804">
                  <c:v>0.2396030925244137</c:v>
                </c:pt>
                <c:pt idx="805">
                  <c:v>0.24076378762048667</c:v>
                </c:pt>
                <c:pt idx="806">
                  <c:v>0.23471704453107797</c:v>
                </c:pt>
                <c:pt idx="807">
                  <c:v>0.23760547145867505</c:v>
                </c:pt>
                <c:pt idx="808">
                  <c:v>0.23299406536397679</c:v>
                </c:pt>
                <c:pt idx="809">
                  <c:v>0.22627847930608735</c:v>
                </c:pt>
                <c:pt idx="810">
                  <c:v>0.23927959624342318</c:v>
                </c:pt>
                <c:pt idx="811">
                  <c:v>0.24322083755293053</c:v>
                </c:pt>
                <c:pt idx="812">
                  <c:v>0.24348494496429895</c:v>
                </c:pt>
                <c:pt idx="813">
                  <c:v>0.24260183826302675</c:v>
                </c:pt>
                <c:pt idx="814">
                  <c:v>0.24314794330886416</c:v>
                </c:pt>
                <c:pt idx="815">
                  <c:v>0.23996438102698767</c:v>
                </c:pt>
                <c:pt idx="816">
                  <c:v>0.23694851239714573</c:v>
                </c:pt>
                <c:pt idx="817">
                  <c:v>0.23683823587696573</c:v>
                </c:pt>
                <c:pt idx="818">
                  <c:v>0.24797230257886743</c:v>
                </c:pt>
                <c:pt idx="819">
                  <c:v>0.24315153353706662</c:v>
                </c:pt>
                <c:pt idx="820">
                  <c:v>0.22725706667772089</c:v>
                </c:pt>
                <c:pt idx="821">
                  <c:v>0.24380787139267682</c:v>
                </c:pt>
                <c:pt idx="822">
                  <c:v>0.24237976504228573</c:v>
                </c:pt>
                <c:pt idx="823">
                  <c:v>0.24158473490628071</c:v>
                </c:pt>
                <c:pt idx="824">
                  <c:v>0.21867437586588451</c:v>
                </c:pt>
                <c:pt idx="825">
                  <c:v>0.21752444256196951</c:v>
                </c:pt>
                <c:pt idx="826">
                  <c:v>0.21738017207808311</c:v>
                </c:pt>
                <c:pt idx="827">
                  <c:v>0.21707213227170977</c:v>
                </c:pt>
                <c:pt idx="828">
                  <c:v>0.21781059825958798</c:v>
                </c:pt>
                <c:pt idx="829">
                  <c:v>0.21934819195943017</c:v>
                </c:pt>
                <c:pt idx="830">
                  <c:v>0.22559159473352169</c:v>
                </c:pt>
                <c:pt idx="831">
                  <c:v>0.22523524320842395</c:v>
                </c:pt>
                <c:pt idx="832">
                  <c:v>0.23331065361930878</c:v>
                </c:pt>
                <c:pt idx="833">
                  <c:v>0.22601952451109464</c:v>
                </c:pt>
                <c:pt idx="834">
                  <c:v>0.22665189047478898</c:v>
                </c:pt>
                <c:pt idx="835">
                  <c:v>0.22799657165972703</c:v>
                </c:pt>
                <c:pt idx="836">
                  <c:v>0.22827207464123073</c:v>
                </c:pt>
                <c:pt idx="837">
                  <c:v>0.22399955916047765</c:v>
                </c:pt>
                <c:pt idx="838">
                  <c:v>0.23243860267300301</c:v>
                </c:pt>
                <c:pt idx="839">
                  <c:v>0.23301381835885779</c:v>
                </c:pt>
                <c:pt idx="840">
                  <c:v>0.21413742004746372</c:v>
                </c:pt>
                <c:pt idx="841">
                  <c:v>0.20744933794955911</c:v>
                </c:pt>
                <c:pt idx="842">
                  <c:v>0.21932981019670317</c:v>
                </c:pt>
                <c:pt idx="843">
                  <c:v>0.22038129728335887</c:v>
                </c:pt>
                <c:pt idx="844">
                  <c:v>0.21995349520660917</c:v>
                </c:pt>
                <c:pt idx="845">
                  <c:v>0.22296136303993827</c:v>
                </c:pt>
                <c:pt idx="846">
                  <c:v>0.22318092707681134</c:v>
                </c:pt>
                <c:pt idx="847">
                  <c:v>0.22494451952081485</c:v>
                </c:pt>
                <c:pt idx="848">
                  <c:v>0.21285343183155239</c:v>
                </c:pt>
                <c:pt idx="849">
                  <c:v>0.21973710271717695</c:v>
                </c:pt>
                <c:pt idx="850">
                  <c:v>0.23544203421437879</c:v>
                </c:pt>
                <c:pt idx="851">
                  <c:v>0.21832850185923242</c:v>
                </c:pt>
                <c:pt idx="852">
                  <c:v>0.2174612799691559</c:v>
                </c:pt>
                <c:pt idx="853">
                  <c:v>0.21934394475568578</c:v>
                </c:pt>
                <c:pt idx="854">
                  <c:v>0.22006808886332649</c:v>
                </c:pt>
                <c:pt idx="855">
                  <c:v>0.22037804676892112</c:v>
                </c:pt>
                <c:pt idx="856">
                  <c:v>0.22178246107939723</c:v>
                </c:pt>
                <c:pt idx="857">
                  <c:v>0.2167985710469735</c:v>
                </c:pt>
                <c:pt idx="858">
                  <c:v>0.21640130418959005</c:v>
                </c:pt>
                <c:pt idx="859">
                  <c:v>0.21292299467325029</c:v>
                </c:pt>
                <c:pt idx="860">
                  <c:v>0.20861759707691682</c:v>
                </c:pt>
                <c:pt idx="861">
                  <c:v>0.21254747657407849</c:v>
                </c:pt>
                <c:pt idx="862">
                  <c:v>0.19630823027631708</c:v>
                </c:pt>
                <c:pt idx="863">
                  <c:v>0.19636982873917697</c:v>
                </c:pt>
                <c:pt idx="864">
                  <c:v>0.20150818157561814</c:v>
                </c:pt>
                <c:pt idx="865">
                  <c:v>0.2148789320596832</c:v>
                </c:pt>
                <c:pt idx="866">
                  <c:v>0.21802592946048741</c:v>
                </c:pt>
                <c:pt idx="867">
                  <c:v>0.2172642202297384</c:v>
                </c:pt>
                <c:pt idx="868">
                  <c:v>0.22559580543264243</c:v>
                </c:pt>
                <c:pt idx="869">
                  <c:v>0.22729252965483401</c:v>
                </c:pt>
                <c:pt idx="870">
                  <c:v>0.22296263107006098</c:v>
                </c:pt>
                <c:pt idx="871">
                  <c:v>0.22520034028960709</c:v>
                </c:pt>
                <c:pt idx="872">
                  <c:v>0.21125856117322497</c:v>
                </c:pt>
                <c:pt idx="873">
                  <c:v>0.21276208548247708</c:v>
                </c:pt>
                <c:pt idx="874">
                  <c:v>0.21322895333885239</c:v>
                </c:pt>
                <c:pt idx="875">
                  <c:v>0.21097418380450486</c:v>
                </c:pt>
                <c:pt idx="876">
                  <c:v>0.21153163031328387</c:v>
                </c:pt>
                <c:pt idx="877">
                  <c:v>0.21786720685165498</c:v>
                </c:pt>
                <c:pt idx="878">
                  <c:v>0.21772221566297112</c:v>
                </c:pt>
                <c:pt idx="879">
                  <c:v>0.21295128313713585</c:v>
                </c:pt>
                <c:pt idx="880">
                  <c:v>0.1984421241345736</c:v>
                </c:pt>
                <c:pt idx="881">
                  <c:v>0.19815688401758547</c:v>
                </c:pt>
                <c:pt idx="882">
                  <c:v>0.19793627898646582</c:v>
                </c:pt>
                <c:pt idx="883">
                  <c:v>0.19939564184535624</c:v>
                </c:pt>
                <c:pt idx="884">
                  <c:v>0.19835777259141563</c:v>
                </c:pt>
                <c:pt idx="885">
                  <c:v>0.20105221285539487</c:v>
                </c:pt>
                <c:pt idx="886">
                  <c:v>0.21836379563491587</c:v>
                </c:pt>
                <c:pt idx="887">
                  <c:v>0.21812328735714101</c:v>
                </c:pt>
                <c:pt idx="888">
                  <c:v>0.21968832896505108</c:v>
                </c:pt>
                <c:pt idx="889">
                  <c:v>0.22645764613812303</c:v>
                </c:pt>
                <c:pt idx="890">
                  <c:v>0.22481192552687729</c:v>
                </c:pt>
                <c:pt idx="891">
                  <c:v>0.22024657356052599</c:v>
                </c:pt>
                <c:pt idx="892">
                  <c:v>0.22031802324021368</c:v>
                </c:pt>
                <c:pt idx="893">
                  <c:v>0.21995543806986184</c:v>
                </c:pt>
                <c:pt idx="894">
                  <c:v>0.21622846860841363</c:v>
                </c:pt>
                <c:pt idx="895">
                  <c:v>0.20638789437411395</c:v>
                </c:pt>
                <c:pt idx="896">
                  <c:v>0.20149507659890448</c:v>
                </c:pt>
                <c:pt idx="897">
                  <c:v>0.19871706103679465</c:v>
                </c:pt>
                <c:pt idx="898">
                  <c:v>0.18278273318927243</c:v>
                </c:pt>
                <c:pt idx="899">
                  <c:v>0.18040695674338522</c:v>
                </c:pt>
                <c:pt idx="900">
                  <c:v>0.1800812720974253</c:v>
                </c:pt>
                <c:pt idx="901">
                  <c:v>0.17912658807892864</c:v>
                </c:pt>
                <c:pt idx="902">
                  <c:v>0.18020763337095785</c:v>
                </c:pt>
                <c:pt idx="903">
                  <c:v>0.17920178689421801</c:v>
                </c:pt>
                <c:pt idx="904">
                  <c:v>0.18045179180711626</c:v>
                </c:pt>
                <c:pt idx="905">
                  <c:v>0.18123094189505165</c:v>
                </c:pt>
                <c:pt idx="906">
                  <c:v>0.18217923473284039</c:v>
                </c:pt>
                <c:pt idx="907">
                  <c:v>0.16824960128676358</c:v>
                </c:pt>
                <c:pt idx="908">
                  <c:v>0.16860295949271339</c:v>
                </c:pt>
                <c:pt idx="909">
                  <c:v>0.16874345306443878</c:v>
                </c:pt>
                <c:pt idx="910">
                  <c:v>0.16927405446018789</c:v>
                </c:pt>
                <c:pt idx="911">
                  <c:v>0.16764686532810774</c:v>
                </c:pt>
                <c:pt idx="912">
                  <c:v>0.16920084979866248</c:v>
                </c:pt>
                <c:pt idx="913">
                  <c:v>0.17601815396876191</c:v>
                </c:pt>
                <c:pt idx="914">
                  <c:v>0.17493760236273817</c:v>
                </c:pt>
                <c:pt idx="915">
                  <c:v>0.17184239281931032</c:v>
                </c:pt>
                <c:pt idx="916">
                  <c:v>0.1482549471288705</c:v>
                </c:pt>
                <c:pt idx="917">
                  <c:v>0.14827657112402923</c:v>
                </c:pt>
                <c:pt idx="918">
                  <c:v>0.15098576984516091</c:v>
                </c:pt>
                <c:pt idx="919">
                  <c:v>0.13947707431442208</c:v>
                </c:pt>
                <c:pt idx="920">
                  <c:v>0.14235396437703149</c:v>
                </c:pt>
                <c:pt idx="921">
                  <c:v>0.1391180913678472</c:v>
                </c:pt>
                <c:pt idx="922">
                  <c:v>0.15000454732796292</c:v>
                </c:pt>
                <c:pt idx="923">
                  <c:v>0.14988073493734189</c:v>
                </c:pt>
                <c:pt idx="924">
                  <c:v>0.1565139704358606</c:v>
                </c:pt>
                <c:pt idx="925">
                  <c:v>0.14930290410017513</c:v>
                </c:pt>
                <c:pt idx="926">
                  <c:v>0.14924174166221127</c:v>
                </c:pt>
                <c:pt idx="927">
                  <c:v>0.15321879729486951</c:v>
                </c:pt>
                <c:pt idx="928">
                  <c:v>0.15380559144194034</c:v>
                </c:pt>
                <c:pt idx="929">
                  <c:v>0.15456991130151665</c:v>
                </c:pt>
                <c:pt idx="930">
                  <c:v>0.15716262074199946</c:v>
                </c:pt>
                <c:pt idx="931">
                  <c:v>0.16192415866134896</c:v>
                </c:pt>
                <c:pt idx="932">
                  <c:v>0.16289894344310005</c:v>
                </c:pt>
                <c:pt idx="933">
                  <c:v>0.16451698664508141</c:v>
                </c:pt>
                <c:pt idx="934">
                  <c:v>0.1600418346004793</c:v>
                </c:pt>
                <c:pt idx="935">
                  <c:v>0.15997298836017793</c:v>
                </c:pt>
                <c:pt idx="936">
                  <c:v>0.1762553189761138</c:v>
                </c:pt>
                <c:pt idx="937">
                  <c:v>0.17617525914621457</c:v>
                </c:pt>
                <c:pt idx="938">
                  <c:v>0.17637712109649606</c:v>
                </c:pt>
                <c:pt idx="939">
                  <c:v>0.18179555950470264</c:v>
                </c:pt>
                <c:pt idx="940">
                  <c:v>0.18349179315081257</c:v>
                </c:pt>
                <c:pt idx="941">
                  <c:v>0.18330173559397381</c:v>
                </c:pt>
                <c:pt idx="942">
                  <c:v>0.18613350427562605</c:v>
                </c:pt>
                <c:pt idx="943">
                  <c:v>0.17481386576606314</c:v>
                </c:pt>
                <c:pt idx="944">
                  <c:v>0.18063053691676687</c:v>
                </c:pt>
                <c:pt idx="945">
                  <c:v>0.1815095887897851</c:v>
                </c:pt>
                <c:pt idx="946">
                  <c:v>0.17857878537295974</c:v>
                </c:pt>
                <c:pt idx="947">
                  <c:v>0.18094153790114711</c:v>
                </c:pt>
                <c:pt idx="948">
                  <c:v>0.17618476989595336</c:v>
                </c:pt>
                <c:pt idx="949">
                  <c:v>0.18604505900199267</c:v>
                </c:pt>
                <c:pt idx="950">
                  <c:v>0.18498667123280371</c:v>
                </c:pt>
                <c:pt idx="951">
                  <c:v>0.18496085790243316</c:v>
                </c:pt>
                <c:pt idx="952">
                  <c:v>0.17468558247455632</c:v>
                </c:pt>
                <c:pt idx="953">
                  <c:v>0.17738883637638861</c:v>
                </c:pt>
                <c:pt idx="954">
                  <c:v>0.17391446470415056</c:v>
                </c:pt>
                <c:pt idx="955">
                  <c:v>0.16510763640279935</c:v>
                </c:pt>
                <c:pt idx="956">
                  <c:v>0.16594213410013409</c:v>
                </c:pt>
                <c:pt idx="957">
                  <c:v>0.16627634529353469</c:v>
                </c:pt>
                <c:pt idx="958">
                  <c:v>0.18210664050980843</c:v>
                </c:pt>
                <c:pt idx="959">
                  <c:v>0.17826482444545347</c:v>
                </c:pt>
                <c:pt idx="960">
                  <c:v>0.17654767628177465</c:v>
                </c:pt>
                <c:pt idx="961">
                  <c:v>0.19058551520277622</c:v>
                </c:pt>
                <c:pt idx="962">
                  <c:v>0.18921934067577997</c:v>
                </c:pt>
                <c:pt idx="963">
                  <c:v>0.18794622728834198</c:v>
                </c:pt>
                <c:pt idx="964">
                  <c:v>0.1921180781700636</c:v>
                </c:pt>
                <c:pt idx="965">
                  <c:v>0.19939397405971271</c:v>
                </c:pt>
                <c:pt idx="966">
                  <c:v>0.17930290883459998</c:v>
                </c:pt>
                <c:pt idx="967">
                  <c:v>0.17949381901973679</c:v>
                </c:pt>
                <c:pt idx="968">
                  <c:v>0.18271064434129952</c:v>
                </c:pt>
                <c:pt idx="969">
                  <c:v>0.17863724189504657</c:v>
                </c:pt>
                <c:pt idx="970">
                  <c:v>0.17577740930618235</c:v>
                </c:pt>
                <c:pt idx="971">
                  <c:v>0.18117522448386172</c:v>
                </c:pt>
                <c:pt idx="972">
                  <c:v>0.18040042663727202</c:v>
                </c:pt>
                <c:pt idx="973">
                  <c:v>0.18085770826340714</c:v>
                </c:pt>
                <c:pt idx="974">
                  <c:v>0.17800123338695403</c:v>
                </c:pt>
                <c:pt idx="975">
                  <c:v>0.17523900001502726</c:v>
                </c:pt>
                <c:pt idx="976">
                  <c:v>0.17609955268464267</c:v>
                </c:pt>
                <c:pt idx="977">
                  <c:v>0.17602654261744147</c:v>
                </c:pt>
                <c:pt idx="978">
                  <c:v>0.17617423815124733</c:v>
                </c:pt>
                <c:pt idx="979">
                  <c:v>0.17177215347248412</c:v>
                </c:pt>
                <c:pt idx="980">
                  <c:v>0.17101065487561271</c:v>
                </c:pt>
                <c:pt idx="981">
                  <c:v>0.17080724160288704</c:v>
                </c:pt>
                <c:pt idx="982">
                  <c:v>0.17563944445999083</c:v>
                </c:pt>
                <c:pt idx="983">
                  <c:v>0.17480328995942759</c:v>
                </c:pt>
                <c:pt idx="984">
                  <c:v>0.17241861941162367</c:v>
                </c:pt>
                <c:pt idx="985">
                  <c:v>0.17823627425275357</c:v>
                </c:pt>
                <c:pt idx="986">
                  <c:v>0.17865178566959786</c:v>
                </c:pt>
                <c:pt idx="987">
                  <c:v>0.17841936058429964</c:v>
                </c:pt>
                <c:pt idx="988">
                  <c:v>0.15665934837973478</c:v>
                </c:pt>
                <c:pt idx="989">
                  <c:v>0.16179156298705294</c:v>
                </c:pt>
                <c:pt idx="990">
                  <c:v>0.1686734674485432</c:v>
                </c:pt>
                <c:pt idx="991">
                  <c:v>0.14990688370115257</c:v>
                </c:pt>
                <c:pt idx="992">
                  <c:v>0.15319107380026081</c:v>
                </c:pt>
                <c:pt idx="993">
                  <c:v>0.16663211091789745</c:v>
                </c:pt>
                <c:pt idx="994">
                  <c:v>0.16347163569447573</c:v>
                </c:pt>
                <c:pt idx="995">
                  <c:v>0.15300396529082125</c:v>
                </c:pt>
                <c:pt idx="996">
                  <c:v>0.15461414965213147</c:v>
                </c:pt>
                <c:pt idx="997">
                  <c:v>0.15559146884509714</c:v>
                </c:pt>
                <c:pt idx="998">
                  <c:v>0.15180691612346434</c:v>
                </c:pt>
                <c:pt idx="999">
                  <c:v>0.15388274126936732</c:v>
                </c:pt>
                <c:pt idx="1000">
                  <c:v>0.15065949770508927</c:v>
                </c:pt>
                <c:pt idx="1001">
                  <c:v>0.14286440517875848</c:v>
                </c:pt>
                <c:pt idx="1002">
                  <c:v>0.14005691760398306</c:v>
                </c:pt>
                <c:pt idx="1003">
                  <c:v>0.1402123343531344</c:v>
                </c:pt>
                <c:pt idx="1004">
                  <c:v>0.13964175881781932</c:v>
                </c:pt>
                <c:pt idx="1005">
                  <c:v>0.13903530132155395</c:v>
                </c:pt>
                <c:pt idx="1006">
                  <c:v>0.13912678229148448</c:v>
                </c:pt>
                <c:pt idx="1007">
                  <c:v>0.13964028215558927</c:v>
                </c:pt>
                <c:pt idx="1008">
                  <c:v>0.13851118473958718</c:v>
                </c:pt>
                <c:pt idx="1009">
                  <c:v>0.13260438942795319</c:v>
                </c:pt>
                <c:pt idx="1010">
                  <c:v>0.13314223266196745</c:v>
                </c:pt>
                <c:pt idx="1011">
                  <c:v>0.13410356078938523</c:v>
                </c:pt>
                <c:pt idx="1012">
                  <c:v>0.12881600176261612</c:v>
                </c:pt>
                <c:pt idx="1013">
                  <c:v>0.12786891486593485</c:v>
                </c:pt>
                <c:pt idx="1014">
                  <c:v>0.13999540731601645</c:v>
                </c:pt>
                <c:pt idx="1015">
                  <c:v>0.13355070784630091</c:v>
                </c:pt>
                <c:pt idx="1016">
                  <c:v>0.13227844762949811</c:v>
                </c:pt>
                <c:pt idx="1017">
                  <c:v>0.1332562682242634</c:v>
                </c:pt>
                <c:pt idx="1018">
                  <c:v>0.14313467440827127</c:v>
                </c:pt>
                <c:pt idx="1019">
                  <c:v>0.1373770975909625</c:v>
                </c:pt>
                <c:pt idx="1020">
                  <c:v>0.12696310685410866</c:v>
                </c:pt>
                <c:pt idx="1021">
                  <c:v>0.12739212744840292</c:v>
                </c:pt>
                <c:pt idx="1022">
                  <c:v>0.12469932475449071</c:v>
                </c:pt>
                <c:pt idx="1023">
                  <c:v>0.10043265593352012</c:v>
                </c:pt>
                <c:pt idx="1024">
                  <c:v>0.11070068657279117</c:v>
                </c:pt>
                <c:pt idx="1025">
                  <c:v>0.11188574634662454</c:v>
                </c:pt>
                <c:pt idx="1026">
                  <c:v>0.10694465006146506</c:v>
                </c:pt>
                <c:pt idx="1027">
                  <c:v>0.10701761329603829</c:v>
                </c:pt>
                <c:pt idx="1028">
                  <c:v>0.11569795955522057</c:v>
                </c:pt>
                <c:pt idx="1029">
                  <c:v>0.11546175588514661</c:v>
                </c:pt>
                <c:pt idx="1030">
                  <c:v>0.11472590414426298</c:v>
                </c:pt>
                <c:pt idx="1031">
                  <c:v>0.11942269733983432</c:v>
                </c:pt>
                <c:pt idx="1032">
                  <c:v>0.12467090333239643</c:v>
                </c:pt>
                <c:pt idx="1033">
                  <c:v>0.12549295881436442</c:v>
                </c:pt>
                <c:pt idx="1034">
                  <c:v>0.12960168443637815</c:v>
                </c:pt>
                <c:pt idx="1035">
                  <c:v>0.21992192149332615</c:v>
                </c:pt>
                <c:pt idx="1036">
                  <c:v>0.22086077414141767</c:v>
                </c:pt>
                <c:pt idx="1037">
                  <c:v>0.22173788622091167</c:v>
                </c:pt>
                <c:pt idx="1038">
                  <c:v>0.22191783959142747</c:v>
                </c:pt>
                <c:pt idx="1039">
                  <c:v>0.22196179570967636</c:v>
                </c:pt>
                <c:pt idx="1040">
                  <c:v>0.2229526663684788</c:v>
                </c:pt>
                <c:pt idx="1041">
                  <c:v>0.22364061432762278</c:v>
                </c:pt>
                <c:pt idx="1042">
                  <c:v>0.24400634104845684</c:v>
                </c:pt>
                <c:pt idx="1043">
                  <c:v>0.24978747781026439</c:v>
                </c:pt>
                <c:pt idx="1044">
                  <c:v>0.24288934492304473</c:v>
                </c:pt>
                <c:pt idx="1045">
                  <c:v>0.24285226923318506</c:v>
                </c:pt>
                <c:pt idx="1046">
                  <c:v>0.24408076047457142</c:v>
                </c:pt>
                <c:pt idx="1047">
                  <c:v>0.24833541702994427</c:v>
                </c:pt>
                <c:pt idx="1048">
                  <c:v>0.24207362257497489</c:v>
                </c:pt>
                <c:pt idx="1049">
                  <c:v>0.24202389588214701</c:v>
                </c:pt>
                <c:pt idx="1050">
                  <c:v>0.24283666353031538</c:v>
                </c:pt>
                <c:pt idx="1051">
                  <c:v>0.24225159716730926</c:v>
                </c:pt>
                <c:pt idx="1052">
                  <c:v>0.24514880086264293</c:v>
                </c:pt>
                <c:pt idx="1053">
                  <c:v>0.24876169221110972</c:v>
                </c:pt>
                <c:pt idx="1054">
                  <c:v>0.24868451429105523</c:v>
                </c:pt>
                <c:pt idx="1055">
                  <c:v>0.24850363938757644</c:v>
                </c:pt>
                <c:pt idx="1056">
                  <c:v>0.24789525117532607</c:v>
                </c:pt>
                <c:pt idx="1057">
                  <c:v>0.24754149627386079</c:v>
                </c:pt>
                <c:pt idx="1058">
                  <c:v>0.24441682636544271</c:v>
                </c:pt>
                <c:pt idx="1059">
                  <c:v>0.24866841052728628</c:v>
                </c:pt>
                <c:pt idx="1060">
                  <c:v>0.24833994908116172</c:v>
                </c:pt>
                <c:pt idx="1061">
                  <c:v>0.24761389149307261</c:v>
                </c:pt>
                <c:pt idx="1062">
                  <c:v>0.2427002728965118</c:v>
                </c:pt>
                <c:pt idx="1063">
                  <c:v>0.24298504785887962</c:v>
                </c:pt>
                <c:pt idx="1064">
                  <c:v>0.25988519205392435</c:v>
                </c:pt>
                <c:pt idx="1065">
                  <c:v>0.20413019877720837</c:v>
                </c:pt>
                <c:pt idx="1066">
                  <c:v>0.20652372193228127</c:v>
                </c:pt>
                <c:pt idx="1067">
                  <c:v>0.20445245856713312</c:v>
                </c:pt>
                <c:pt idx="1068">
                  <c:v>0.20859463855639351</c:v>
                </c:pt>
                <c:pt idx="1069">
                  <c:v>0.20987202996899751</c:v>
                </c:pt>
                <c:pt idx="1070">
                  <c:v>0.21296513854907753</c:v>
                </c:pt>
                <c:pt idx="1071">
                  <c:v>0.21533203895961706</c:v>
                </c:pt>
                <c:pt idx="1072">
                  <c:v>0.19085634325912426</c:v>
                </c:pt>
                <c:pt idx="1073">
                  <c:v>0.18056615716623484</c:v>
                </c:pt>
                <c:pt idx="1074">
                  <c:v>0.20834109975997694</c:v>
                </c:pt>
                <c:pt idx="1075">
                  <c:v>0.20871951193845004</c:v>
                </c:pt>
                <c:pt idx="1076">
                  <c:v>0.20606464734259952</c:v>
                </c:pt>
                <c:pt idx="1077">
                  <c:v>0.20521679951371202</c:v>
                </c:pt>
                <c:pt idx="1078">
                  <c:v>0.20621255769619376</c:v>
                </c:pt>
                <c:pt idx="1079">
                  <c:v>0.20578759065984711</c:v>
                </c:pt>
                <c:pt idx="1080">
                  <c:v>0.20791366037707287</c:v>
                </c:pt>
                <c:pt idx="1081">
                  <c:v>0.20891338267912546</c:v>
                </c:pt>
                <c:pt idx="1082">
                  <c:v>0.20711192635933059</c:v>
                </c:pt>
                <c:pt idx="1083">
                  <c:v>0.20578137494877857</c:v>
                </c:pt>
                <c:pt idx="1084">
                  <c:v>0.19996387271830088</c:v>
                </c:pt>
                <c:pt idx="1085">
                  <c:v>0.20730813466158041</c:v>
                </c:pt>
                <c:pt idx="1086">
                  <c:v>0.21018454153038779</c:v>
                </c:pt>
                <c:pt idx="1087">
                  <c:v>0.21447860315423664</c:v>
                </c:pt>
                <c:pt idx="1088">
                  <c:v>0.20737601925258947</c:v>
                </c:pt>
                <c:pt idx="1089">
                  <c:v>0.2115732218463241</c:v>
                </c:pt>
                <c:pt idx="1090">
                  <c:v>0.21161846879105012</c:v>
                </c:pt>
                <c:pt idx="1091">
                  <c:v>0.2401119114178201</c:v>
                </c:pt>
                <c:pt idx="1092">
                  <c:v>0.24423802792967833</c:v>
                </c:pt>
                <c:pt idx="1093">
                  <c:v>0.26239890270623634</c:v>
                </c:pt>
                <c:pt idx="1094">
                  <c:v>0.24616417567036877</c:v>
                </c:pt>
                <c:pt idx="1095">
                  <c:v>0.23754379610813511</c:v>
                </c:pt>
                <c:pt idx="1096">
                  <c:v>0.24070966340809191</c:v>
                </c:pt>
                <c:pt idx="1097">
                  <c:v>0.24100479351247345</c:v>
                </c:pt>
                <c:pt idx="1098">
                  <c:v>0.25901958600695807</c:v>
                </c:pt>
                <c:pt idx="1099">
                  <c:v>0.25675626422269104</c:v>
                </c:pt>
                <c:pt idx="1100">
                  <c:v>0.25906580940126045</c:v>
                </c:pt>
                <c:pt idx="1101">
                  <c:v>0.2583957075725325</c:v>
                </c:pt>
                <c:pt idx="1102">
                  <c:v>0.25742754015487851</c:v>
                </c:pt>
                <c:pt idx="1103">
                  <c:v>0.25476771075262011</c:v>
                </c:pt>
                <c:pt idx="1104">
                  <c:v>0.25318435078660834</c:v>
                </c:pt>
                <c:pt idx="1105">
                  <c:v>0.2873593942391614</c:v>
                </c:pt>
                <c:pt idx="1106">
                  <c:v>0.2846445721354981</c:v>
                </c:pt>
                <c:pt idx="1107">
                  <c:v>0.28674005593593871</c:v>
                </c:pt>
                <c:pt idx="1108">
                  <c:v>0.29106943384184342</c:v>
                </c:pt>
                <c:pt idx="1109">
                  <c:v>0.29085449456046419</c:v>
                </c:pt>
                <c:pt idx="1110">
                  <c:v>0.29098932089747298</c:v>
                </c:pt>
                <c:pt idx="1111">
                  <c:v>0.31505368195279093</c:v>
                </c:pt>
                <c:pt idx="1112">
                  <c:v>0.31600342001661014</c:v>
                </c:pt>
                <c:pt idx="1113">
                  <c:v>0.31409448015494484</c:v>
                </c:pt>
                <c:pt idx="1114">
                  <c:v>0.31191421834196559</c:v>
                </c:pt>
                <c:pt idx="1115">
                  <c:v>0.3098721482933175</c:v>
                </c:pt>
                <c:pt idx="1116">
                  <c:v>0.31867220290085779</c:v>
                </c:pt>
                <c:pt idx="1117">
                  <c:v>0.32096185685374207</c:v>
                </c:pt>
                <c:pt idx="1118">
                  <c:v>0.32197843716833052</c:v>
                </c:pt>
                <c:pt idx="1119">
                  <c:v>0.31944256720954262</c:v>
                </c:pt>
                <c:pt idx="1120">
                  <c:v>0.32081335069598699</c:v>
                </c:pt>
                <c:pt idx="1121">
                  <c:v>0.30138239052874222</c:v>
                </c:pt>
                <c:pt idx="1122">
                  <c:v>0.29946168175963694</c:v>
                </c:pt>
                <c:pt idx="1123">
                  <c:v>0.28499393273380036</c:v>
                </c:pt>
                <c:pt idx="1124">
                  <c:v>0.28242539334103584</c:v>
                </c:pt>
                <c:pt idx="1125">
                  <c:v>0.29244999170356722</c:v>
                </c:pt>
                <c:pt idx="1126">
                  <c:v>0.28906608327638006</c:v>
                </c:pt>
                <c:pt idx="1127">
                  <c:v>0.28893310057227617</c:v>
                </c:pt>
                <c:pt idx="1128">
                  <c:v>0.26774080282618945</c:v>
                </c:pt>
                <c:pt idx="1129">
                  <c:v>0.2669548343987278</c:v>
                </c:pt>
                <c:pt idx="1130">
                  <c:v>0.27717623923962886</c:v>
                </c:pt>
                <c:pt idx="1131">
                  <c:v>0.28061820438105944</c:v>
                </c:pt>
                <c:pt idx="1132">
                  <c:v>0.27913388900229669</c:v>
                </c:pt>
                <c:pt idx="1133">
                  <c:v>0.28047804647857549</c:v>
                </c:pt>
                <c:pt idx="1134">
                  <c:v>0.26694878033593777</c:v>
                </c:pt>
                <c:pt idx="1135">
                  <c:v>0.24092262413570695</c:v>
                </c:pt>
                <c:pt idx="1136">
                  <c:v>0.24107208432963517</c:v>
                </c:pt>
                <c:pt idx="1137">
                  <c:v>0.24209450677966951</c:v>
                </c:pt>
                <c:pt idx="1138">
                  <c:v>0.2375981442751835</c:v>
                </c:pt>
                <c:pt idx="1139">
                  <c:v>0.24630312509759386</c:v>
                </c:pt>
                <c:pt idx="1140">
                  <c:v>0.24857350105505679</c:v>
                </c:pt>
                <c:pt idx="1141">
                  <c:v>0.21771996995660689</c:v>
                </c:pt>
                <c:pt idx="1142">
                  <c:v>0.21528210799780539</c:v>
                </c:pt>
                <c:pt idx="1143">
                  <c:v>0.22252882002131691</c:v>
                </c:pt>
                <c:pt idx="1144">
                  <c:v>0.24726353292639369</c:v>
                </c:pt>
                <c:pt idx="1145">
                  <c:v>0.24750721999816219</c:v>
                </c:pt>
                <c:pt idx="1146">
                  <c:v>0.22975063506605406</c:v>
                </c:pt>
                <c:pt idx="1147">
                  <c:v>0.23247802743543924</c:v>
                </c:pt>
                <c:pt idx="1148">
                  <c:v>0.23058419261293717</c:v>
                </c:pt>
                <c:pt idx="1149">
                  <c:v>0.23026240609403612</c:v>
                </c:pt>
                <c:pt idx="1150">
                  <c:v>0.22550666380016762</c:v>
                </c:pt>
                <c:pt idx="1151">
                  <c:v>0.22534789092629029</c:v>
                </c:pt>
                <c:pt idx="1152">
                  <c:v>0.22485206369178712</c:v>
                </c:pt>
                <c:pt idx="1153">
                  <c:v>0.22736579215896249</c:v>
                </c:pt>
                <c:pt idx="1154">
                  <c:v>0.23524200770996553</c:v>
                </c:pt>
                <c:pt idx="1155">
                  <c:v>0.22889853479278369</c:v>
                </c:pt>
                <c:pt idx="1156">
                  <c:v>0.22804985730133623</c:v>
                </c:pt>
                <c:pt idx="1157">
                  <c:v>0.23155634153718879</c:v>
                </c:pt>
                <c:pt idx="1158">
                  <c:v>0.23232235792098291</c:v>
                </c:pt>
                <c:pt idx="1159">
                  <c:v>0.24260066506495226</c:v>
                </c:pt>
                <c:pt idx="1160">
                  <c:v>0.23243235941626719</c:v>
                </c:pt>
                <c:pt idx="1161">
                  <c:v>0.22581693844512096</c:v>
                </c:pt>
                <c:pt idx="1162">
                  <c:v>0.22560487948334182</c:v>
                </c:pt>
                <c:pt idx="1163">
                  <c:v>0.22234314534727795</c:v>
                </c:pt>
                <c:pt idx="1164">
                  <c:v>0.21807232123629827</c:v>
                </c:pt>
                <c:pt idx="1165">
                  <c:v>0.21324314885661361</c:v>
                </c:pt>
                <c:pt idx="1166">
                  <c:v>0.21914179508508663</c:v>
                </c:pt>
                <c:pt idx="1167">
                  <c:v>0.21411312569505903</c:v>
                </c:pt>
                <c:pt idx="1168">
                  <c:v>0.21370276507996272</c:v>
                </c:pt>
                <c:pt idx="1169">
                  <c:v>0.20127117798253008</c:v>
                </c:pt>
                <c:pt idx="1170">
                  <c:v>0.20416901387722217</c:v>
                </c:pt>
                <c:pt idx="1171">
                  <c:v>0.20240687287430711</c:v>
                </c:pt>
                <c:pt idx="1172">
                  <c:v>0.20296671369547303</c:v>
                </c:pt>
                <c:pt idx="1173">
                  <c:v>0.19262400361074886</c:v>
                </c:pt>
                <c:pt idx="1174">
                  <c:v>0.16640913702451743</c:v>
                </c:pt>
                <c:pt idx="1175">
                  <c:v>0.16852641288335027</c:v>
                </c:pt>
                <c:pt idx="1176">
                  <c:v>0.16645824931413911</c:v>
                </c:pt>
                <c:pt idx="1177">
                  <c:v>0.15604112450836757</c:v>
                </c:pt>
                <c:pt idx="1178">
                  <c:v>0.15390723536528997</c:v>
                </c:pt>
                <c:pt idx="1179">
                  <c:v>0.1677836168376515</c:v>
                </c:pt>
                <c:pt idx="1180">
                  <c:v>0.19242341094060791</c:v>
                </c:pt>
                <c:pt idx="1181">
                  <c:v>0.19814223861801741</c:v>
                </c:pt>
                <c:pt idx="1182">
                  <c:v>0.19624031707613845</c:v>
                </c:pt>
                <c:pt idx="1183">
                  <c:v>0.19535363071405759</c:v>
                </c:pt>
                <c:pt idx="1184">
                  <c:v>0.1794106777017602</c:v>
                </c:pt>
                <c:pt idx="1185">
                  <c:v>0.17992372684657437</c:v>
                </c:pt>
                <c:pt idx="1186">
                  <c:v>0.17963825393847821</c:v>
                </c:pt>
                <c:pt idx="1187">
                  <c:v>0.17866712371223545</c:v>
                </c:pt>
                <c:pt idx="1188">
                  <c:v>0.18184022141664336</c:v>
                </c:pt>
                <c:pt idx="1189">
                  <c:v>0.17807177473597458</c:v>
                </c:pt>
                <c:pt idx="1190">
                  <c:v>0.18262378394325862</c:v>
                </c:pt>
                <c:pt idx="1191">
                  <c:v>0.18675692524525064</c:v>
                </c:pt>
                <c:pt idx="1192">
                  <c:v>0.1859196162169813</c:v>
                </c:pt>
                <c:pt idx="1193">
                  <c:v>0.19834158312020331</c:v>
                </c:pt>
                <c:pt idx="1194">
                  <c:v>0.20371735778775385</c:v>
                </c:pt>
                <c:pt idx="1195">
                  <c:v>0.20386121269443924</c:v>
                </c:pt>
                <c:pt idx="1196">
                  <c:v>0.20067998493717742</c:v>
                </c:pt>
                <c:pt idx="1197">
                  <c:v>0.20020070544859961</c:v>
                </c:pt>
                <c:pt idx="1198">
                  <c:v>0.20022564831431705</c:v>
                </c:pt>
                <c:pt idx="1199">
                  <c:v>0.20399956031758407</c:v>
                </c:pt>
                <c:pt idx="1200">
                  <c:v>0.20446427786005178</c:v>
                </c:pt>
                <c:pt idx="1201">
                  <c:v>0.20783390103699825</c:v>
                </c:pt>
                <c:pt idx="1202">
                  <c:v>0.21787305498594434</c:v>
                </c:pt>
                <c:pt idx="1203">
                  <c:v>0.21788734359311501</c:v>
                </c:pt>
                <c:pt idx="1204">
                  <c:v>0.21703584624823088</c:v>
                </c:pt>
                <c:pt idx="1205">
                  <c:v>0.21533508193182535</c:v>
                </c:pt>
                <c:pt idx="1206">
                  <c:v>0.21421415982714359</c:v>
                </c:pt>
                <c:pt idx="1207">
                  <c:v>0.21432824030927347</c:v>
                </c:pt>
                <c:pt idx="1208">
                  <c:v>0.2164851973603418</c:v>
                </c:pt>
                <c:pt idx="1209">
                  <c:v>0.2057902275267777</c:v>
                </c:pt>
                <c:pt idx="1210">
                  <c:v>0.19760968438131771</c:v>
                </c:pt>
                <c:pt idx="1211">
                  <c:v>0.19270936210795153</c:v>
                </c:pt>
                <c:pt idx="1212">
                  <c:v>0.20319084565143344</c:v>
                </c:pt>
                <c:pt idx="1213">
                  <c:v>0.2031821578603179</c:v>
                </c:pt>
                <c:pt idx="1214">
                  <c:v>0.20222266403954814</c:v>
                </c:pt>
                <c:pt idx="1215">
                  <c:v>0.2017292239851029</c:v>
                </c:pt>
                <c:pt idx="1216">
                  <c:v>0.20611473438939729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4C-4C71-BEED-731519761DE8}"/>
            </c:ext>
          </c:extLst>
        </c:ser>
        <c:ser>
          <c:idx val="1"/>
          <c:order val="1"/>
          <c:tx>
            <c:strRef>
              <c:f>Fig2_VolatilidadeMovel!$C$3</c:f>
              <c:strCache>
                <c:ptCount val="1"/>
                <c:pt idx="0">
                  <c:v>Vol_Anualizada_Ibovespa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Fig2_VolatilidadeMovel!$A$4:$A$1220</c:f>
              <c:numCache>
                <c:formatCode>m/d/yy</c:formatCode>
                <c:ptCount val="1217"/>
                <c:pt idx="0">
                  <c:v>44484</c:v>
                </c:pt>
                <c:pt idx="1">
                  <c:v>44487</c:v>
                </c:pt>
                <c:pt idx="2">
                  <c:v>44488</c:v>
                </c:pt>
                <c:pt idx="3">
                  <c:v>44489</c:v>
                </c:pt>
                <c:pt idx="4">
                  <c:v>44490</c:v>
                </c:pt>
                <c:pt idx="5">
                  <c:v>44491</c:v>
                </c:pt>
                <c:pt idx="6">
                  <c:v>44494</c:v>
                </c:pt>
                <c:pt idx="7">
                  <c:v>44495</c:v>
                </c:pt>
                <c:pt idx="8">
                  <c:v>44496</c:v>
                </c:pt>
                <c:pt idx="9">
                  <c:v>44497</c:v>
                </c:pt>
                <c:pt idx="10">
                  <c:v>44498</c:v>
                </c:pt>
                <c:pt idx="11">
                  <c:v>44501</c:v>
                </c:pt>
                <c:pt idx="12">
                  <c:v>44503</c:v>
                </c:pt>
                <c:pt idx="13">
                  <c:v>44504</c:v>
                </c:pt>
                <c:pt idx="14">
                  <c:v>44505</c:v>
                </c:pt>
                <c:pt idx="15">
                  <c:v>44508</c:v>
                </c:pt>
                <c:pt idx="16">
                  <c:v>44509</c:v>
                </c:pt>
                <c:pt idx="17">
                  <c:v>44510</c:v>
                </c:pt>
                <c:pt idx="18">
                  <c:v>44511</c:v>
                </c:pt>
                <c:pt idx="19">
                  <c:v>44512</c:v>
                </c:pt>
                <c:pt idx="20">
                  <c:v>44516</c:v>
                </c:pt>
                <c:pt idx="21">
                  <c:v>44517</c:v>
                </c:pt>
                <c:pt idx="22">
                  <c:v>44518</c:v>
                </c:pt>
                <c:pt idx="23">
                  <c:v>44519</c:v>
                </c:pt>
                <c:pt idx="24">
                  <c:v>44522</c:v>
                </c:pt>
                <c:pt idx="25">
                  <c:v>44523</c:v>
                </c:pt>
                <c:pt idx="26">
                  <c:v>44524</c:v>
                </c:pt>
                <c:pt idx="27">
                  <c:v>44525</c:v>
                </c:pt>
                <c:pt idx="28">
                  <c:v>44526</c:v>
                </c:pt>
                <c:pt idx="29">
                  <c:v>44529</c:v>
                </c:pt>
                <c:pt idx="30">
                  <c:v>44530</c:v>
                </c:pt>
                <c:pt idx="31">
                  <c:v>44531</c:v>
                </c:pt>
                <c:pt idx="32">
                  <c:v>44532</c:v>
                </c:pt>
                <c:pt idx="33">
                  <c:v>44533</c:v>
                </c:pt>
                <c:pt idx="34">
                  <c:v>44536</c:v>
                </c:pt>
                <c:pt idx="35">
                  <c:v>44537</c:v>
                </c:pt>
                <c:pt idx="36">
                  <c:v>44538</c:v>
                </c:pt>
                <c:pt idx="37">
                  <c:v>44539</c:v>
                </c:pt>
                <c:pt idx="38">
                  <c:v>44540</c:v>
                </c:pt>
                <c:pt idx="39">
                  <c:v>44543</c:v>
                </c:pt>
                <c:pt idx="40">
                  <c:v>44544</c:v>
                </c:pt>
                <c:pt idx="41">
                  <c:v>44545</c:v>
                </c:pt>
                <c:pt idx="42">
                  <c:v>44546</c:v>
                </c:pt>
                <c:pt idx="43">
                  <c:v>44547</c:v>
                </c:pt>
                <c:pt idx="44">
                  <c:v>44550</c:v>
                </c:pt>
                <c:pt idx="45">
                  <c:v>44551</c:v>
                </c:pt>
                <c:pt idx="46">
                  <c:v>44552</c:v>
                </c:pt>
                <c:pt idx="47">
                  <c:v>44553</c:v>
                </c:pt>
                <c:pt idx="48">
                  <c:v>44557</c:v>
                </c:pt>
                <c:pt idx="49">
                  <c:v>44558</c:v>
                </c:pt>
                <c:pt idx="50">
                  <c:v>44559</c:v>
                </c:pt>
                <c:pt idx="51">
                  <c:v>44560</c:v>
                </c:pt>
                <c:pt idx="52">
                  <c:v>44564</c:v>
                </c:pt>
                <c:pt idx="53">
                  <c:v>44565</c:v>
                </c:pt>
                <c:pt idx="54">
                  <c:v>44566</c:v>
                </c:pt>
                <c:pt idx="55">
                  <c:v>44567</c:v>
                </c:pt>
                <c:pt idx="56">
                  <c:v>44568</c:v>
                </c:pt>
                <c:pt idx="57">
                  <c:v>44571</c:v>
                </c:pt>
                <c:pt idx="58">
                  <c:v>44572</c:v>
                </c:pt>
                <c:pt idx="59">
                  <c:v>44573</c:v>
                </c:pt>
                <c:pt idx="60">
                  <c:v>44574</c:v>
                </c:pt>
                <c:pt idx="61">
                  <c:v>44575</c:v>
                </c:pt>
                <c:pt idx="62">
                  <c:v>44578</c:v>
                </c:pt>
                <c:pt idx="63">
                  <c:v>44579</c:v>
                </c:pt>
                <c:pt idx="64">
                  <c:v>44580</c:v>
                </c:pt>
                <c:pt idx="65">
                  <c:v>44581</c:v>
                </c:pt>
                <c:pt idx="66">
                  <c:v>44582</c:v>
                </c:pt>
                <c:pt idx="67">
                  <c:v>44585</c:v>
                </c:pt>
                <c:pt idx="68">
                  <c:v>44586</c:v>
                </c:pt>
                <c:pt idx="69">
                  <c:v>44587</c:v>
                </c:pt>
                <c:pt idx="70">
                  <c:v>44588</c:v>
                </c:pt>
                <c:pt idx="71">
                  <c:v>44589</c:v>
                </c:pt>
                <c:pt idx="72">
                  <c:v>44592</c:v>
                </c:pt>
                <c:pt idx="73">
                  <c:v>44593</c:v>
                </c:pt>
                <c:pt idx="74">
                  <c:v>44594</c:v>
                </c:pt>
                <c:pt idx="75">
                  <c:v>44595</c:v>
                </c:pt>
                <c:pt idx="76">
                  <c:v>44596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44606</c:v>
                </c:pt>
                <c:pt idx="83">
                  <c:v>44607</c:v>
                </c:pt>
                <c:pt idx="84">
                  <c:v>44608</c:v>
                </c:pt>
                <c:pt idx="85">
                  <c:v>44609</c:v>
                </c:pt>
                <c:pt idx="86">
                  <c:v>44610</c:v>
                </c:pt>
                <c:pt idx="87">
                  <c:v>44613</c:v>
                </c:pt>
                <c:pt idx="88">
                  <c:v>44614</c:v>
                </c:pt>
                <c:pt idx="89">
                  <c:v>44615</c:v>
                </c:pt>
                <c:pt idx="90">
                  <c:v>44616</c:v>
                </c:pt>
                <c:pt idx="91">
                  <c:v>44617</c:v>
                </c:pt>
                <c:pt idx="92">
                  <c:v>44622</c:v>
                </c:pt>
                <c:pt idx="93">
                  <c:v>44623</c:v>
                </c:pt>
                <c:pt idx="94">
                  <c:v>44624</c:v>
                </c:pt>
                <c:pt idx="95">
                  <c:v>44627</c:v>
                </c:pt>
                <c:pt idx="96">
                  <c:v>44628</c:v>
                </c:pt>
                <c:pt idx="97">
                  <c:v>44629</c:v>
                </c:pt>
                <c:pt idx="98">
                  <c:v>44630</c:v>
                </c:pt>
                <c:pt idx="99">
                  <c:v>44631</c:v>
                </c:pt>
                <c:pt idx="100">
                  <c:v>44634</c:v>
                </c:pt>
                <c:pt idx="101">
                  <c:v>44635</c:v>
                </c:pt>
                <c:pt idx="102">
                  <c:v>44636</c:v>
                </c:pt>
                <c:pt idx="103">
                  <c:v>44637</c:v>
                </c:pt>
                <c:pt idx="104">
                  <c:v>44638</c:v>
                </c:pt>
                <c:pt idx="105">
                  <c:v>44641</c:v>
                </c:pt>
                <c:pt idx="106">
                  <c:v>44642</c:v>
                </c:pt>
                <c:pt idx="107">
                  <c:v>44643</c:v>
                </c:pt>
                <c:pt idx="108">
                  <c:v>44644</c:v>
                </c:pt>
                <c:pt idx="109">
                  <c:v>44645</c:v>
                </c:pt>
                <c:pt idx="110">
                  <c:v>44648</c:v>
                </c:pt>
                <c:pt idx="111">
                  <c:v>44649</c:v>
                </c:pt>
                <c:pt idx="112">
                  <c:v>44650</c:v>
                </c:pt>
                <c:pt idx="113">
                  <c:v>44651</c:v>
                </c:pt>
                <c:pt idx="114">
                  <c:v>44652</c:v>
                </c:pt>
                <c:pt idx="115">
                  <c:v>44655</c:v>
                </c:pt>
                <c:pt idx="116">
                  <c:v>44656</c:v>
                </c:pt>
                <c:pt idx="117">
                  <c:v>44657</c:v>
                </c:pt>
                <c:pt idx="118">
                  <c:v>44658</c:v>
                </c:pt>
                <c:pt idx="119">
                  <c:v>44659</c:v>
                </c:pt>
                <c:pt idx="120">
                  <c:v>44662</c:v>
                </c:pt>
                <c:pt idx="121">
                  <c:v>44663</c:v>
                </c:pt>
                <c:pt idx="122">
                  <c:v>44664</c:v>
                </c:pt>
                <c:pt idx="123">
                  <c:v>44665</c:v>
                </c:pt>
                <c:pt idx="124">
                  <c:v>44669</c:v>
                </c:pt>
                <c:pt idx="125">
                  <c:v>44670</c:v>
                </c:pt>
                <c:pt idx="126">
                  <c:v>44671</c:v>
                </c:pt>
                <c:pt idx="127">
                  <c:v>44673</c:v>
                </c:pt>
                <c:pt idx="128">
                  <c:v>44676</c:v>
                </c:pt>
                <c:pt idx="129">
                  <c:v>44677</c:v>
                </c:pt>
                <c:pt idx="130">
                  <c:v>44678</c:v>
                </c:pt>
                <c:pt idx="131">
                  <c:v>44679</c:v>
                </c:pt>
                <c:pt idx="132">
                  <c:v>44680</c:v>
                </c:pt>
                <c:pt idx="133">
                  <c:v>44683</c:v>
                </c:pt>
                <c:pt idx="134">
                  <c:v>44684</c:v>
                </c:pt>
                <c:pt idx="135">
                  <c:v>44685</c:v>
                </c:pt>
                <c:pt idx="136">
                  <c:v>44686</c:v>
                </c:pt>
                <c:pt idx="137">
                  <c:v>44687</c:v>
                </c:pt>
                <c:pt idx="138">
                  <c:v>44690</c:v>
                </c:pt>
                <c:pt idx="139">
                  <c:v>44691</c:v>
                </c:pt>
                <c:pt idx="140">
                  <c:v>44692</c:v>
                </c:pt>
                <c:pt idx="141">
                  <c:v>44693</c:v>
                </c:pt>
                <c:pt idx="142">
                  <c:v>44694</c:v>
                </c:pt>
                <c:pt idx="143">
                  <c:v>44697</c:v>
                </c:pt>
                <c:pt idx="144">
                  <c:v>44698</c:v>
                </c:pt>
                <c:pt idx="145">
                  <c:v>44699</c:v>
                </c:pt>
                <c:pt idx="146">
                  <c:v>44700</c:v>
                </c:pt>
                <c:pt idx="147">
                  <c:v>44701</c:v>
                </c:pt>
                <c:pt idx="148">
                  <c:v>44704</c:v>
                </c:pt>
                <c:pt idx="149">
                  <c:v>44705</c:v>
                </c:pt>
                <c:pt idx="150">
                  <c:v>44706</c:v>
                </c:pt>
                <c:pt idx="151">
                  <c:v>44707</c:v>
                </c:pt>
                <c:pt idx="152">
                  <c:v>44708</c:v>
                </c:pt>
                <c:pt idx="153">
                  <c:v>44711</c:v>
                </c:pt>
                <c:pt idx="154">
                  <c:v>44712</c:v>
                </c:pt>
                <c:pt idx="155">
                  <c:v>44713</c:v>
                </c:pt>
                <c:pt idx="156">
                  <c:v>44714</c:v>
                </c:pt>
                <c:pt idx="157">
                  <c:v>44715</c:v>
                </c:pt>
                <c:pt idx="158">
                  <c:v>44718</c:v>
                </c:pt>
                <c:pt idx="159">
                  <c:v>44719</c:v>
                </c:pt>
                <c:pt idx="160">
                  <c:v>44720</c:v>
                </c:pt>
                <c:pt idx="161">
                  <c:v>44721</c:v>
                </c:pt>
                <c:pt idx="162">
                  <c:v>44722</c:v>
                </c:pt>
                <c:pt idx="163">
                  <c:v>44725</c:v>
                </c:pt>
                <c:pt idx="164">
                  <c:v>44726</c:v>
                </c:pt>
                <c:pt idx="165">
                  <c:v>44727</c:v>
                </c:pt>
                <c:pt idx="166">
                  <c:v>44729</c:v>
                </c:pt>
                <c:pt idx="167">
                  <c:v>44732</c:v>
                </c:pt>
                <c:pt idx="168">
                  <c:v>44733</c:v>
                </c:pt>
                <c:pt idx="169">
                  <c:v>44734</c:v>
                </c:pt>
                <c:pt idx="170">
                  <c:v>44735</c:v>
                </c:pt>
                <c:pt idx="171">
                  <c:v>44736</c:v>
                </c:pt>
                <c:pt idx="172">
                  <c:v>44739</c:v>
                </c:pt>
                <c:pt idx="173">
                  <c:v>44740</c:v>
                </c:pt>
                <c:pt idx="174">
                  <c:v>44741</c:v>
                </c:pt>
                <c:pt idx="175">
                  <c:v>44742</c:v>
                </c:pt>
                <c:pt idx="176">
                  <c:v>44743</c:v>
                </c:pt>
                <c:pt idx="177">
                  <c:v>44746</c:v>
                </c:pt>
                <c:pt idx="178">
                  <c:v>44747</c:v>
                </c:pt>
                <c:pt idx="179">
                  <c:v>44748</c:v>
                </c:pt>
                <c:pt idx="180">
                  <c:v>44749</c:v>
                </c:pt>
                <c:pt idx="181">
                  <c:v>44750</c:v>
                </c:pt>
                <c:pt idx="182">
                  <c:v>44753</c:v>
                </c:pt>
                <c:pt idx="183">
                  <c:v>44754</c:v>
                </c:pt>
                <c:pt idx="184">
                  <c:v>44755</c:v>
                </c:pt>
                <c:pt idx="185">
                  <c:v>44756</c:v>
                </c:pt>
                <c:pt idx="186">
                  <c:v>44757</c:v>
                </c:pt>
                <c:pt idx="187">
                  <c:v>44760</c:v>
                </c:pt>
                <c:pt idx="188">
                  <c:v>44761</c:v>
                </c:pt>
                <c:pt idx="189">
                  <c:v>44762</c:v>
                </c:pt>
                <c:pt idx="190">
                  <c:v>44763</c:v>
                </c:pt>
                <c:pt idx="191">
                  <c:v>44764</c:v>
                </c:pt>
                <c:pt idx="192">
                  <c:v>44767</c:v>
                </c:pt>
                <c:pt idx="193">
                  <c:v>44768</c:v>
                </c:pt>
                <c:pt idx="194">
                  <c:v>44769</c:v>
                </c:pt>
                <c:pt idx="195">
                  <c:v>44770</c:v>
                </c:pt>
                <c:pt idx="196">
                  <c:v>44771</c:v>
                </c:pt>
                <c:pt idx="197">
                  <c:v>44774</c:v>
                </c:pt>
                <c:pt idx="198">
                  <c:v>44775</c:v>
                </c:pt>
                <c:pt idx="199">
                  <c:v>44776</c:v>
                </c:pt>
                <c:pt idx="200">
                  <c:v>44777</c:v>
                </c:pt>
                <c:pt idx="201">
                  <c:v>44778</c:v>
                </c:pt>
                <c:pt idx="202">
                  <c:v>44781</c:v>
                </c:pt>
                <c:pt idx="203">
                  <c:v>44782</c:v>
                </c:pt>
                <c:pt idx="204">
                  <c:v>44783</c:v>
                </c:pt>
                <c:pt idx="205">
                  <c:v>44784</c:v>
                </c:pt>
                <c:pt idx="206">
                  <c:v>44785</c:v>
                </c:pt>
                <c:pt idx="207">
                  <c:v>44788</c:v>
                </c:pt>
                <c:pt idx="208">
                  <c:v>44789</c:v>
                </c:pt>
                <c:pt idx="209">
                  <c:v>44790</c:v>
                </c:pt>
                <c:pt idx="210">
                  <c:v>44791</c:v>
                </c:pt>
                <c:pt idx="211">
                  <c:v>44792</c:v>
                </c:pt>
                <c:pt idx="212">
                  <c:v>44795</c:v>
                </c:pt>
                <c:pt idx="213">
                  <c:v>44796</c:v>
                </c:pt>
                <c:pt idx="214">
                  <c:v>44797</c:v>
                </c:pt>
                <c:pt idx="215">
                  <c:v>44798</c:v>
                </c:pt>
                <c:pt idx="216">
                  <c:v>44799</c:v>
                </c:pt>
                <c:pt idx="217">
                  <c:v>44802</c:v>
                </c:pt>
                <c:pt idx="218">
                  <c:v>44803</c:v>
                </c:pt>
                <c:pt idx="219">
                  <c:v>44804</c:v>
                </c:pt>
                <c:pt idx="220">
                  <c:v>44805</c:v>
                </c:pt>
                <c:pt idx="221">
                  <c:v>44806</c:v>
                </c:pt>
                <c:pt idx="222">
                  <c:v>44809</c:v>
                </c:pt>
                <c:pt idx="223">
                  <c:v>44810</c:v>
                </c:pt>
                <c:pt idx="224">
                  <c:v>44812</c:v>
                </c:pt>
                <c:pt idx="225">
                  <c:v>44813</c:v>
                </c:pt>
                <c:pt idx="226">
                  <c:v>44816</c:v>
                </c:pt>
                <c:pt idx="227">
                  <c:v>44817</c:v>
                </c:pt>
                <c:pt idx="228">
                  <c:v>44818</c:v>
                </c:pt>
                <c:pt idx="229">
                  <c:v>44819</c:v>
                </c:pt>
                <c:pt idx="230">
                  <c:v>44820</c:v>
                </c:pt>
                <c:pt idx="231">
                  <c:v>44823</c:v>
                </c:pt>
                <c:pt idx="232">
                  <c:v>44824</c:v>
                </c:pt>
                <c:pt idx="233">
                  <c:v>44825</c:v>
                </c:pt>
                <c:pt idx="234">
                  <c:v>44826</c:v>
                </c:pt>
                <c:pt idx="235">
                  <c:v>44827</c:v>
                </c:pt>
                <c:pt idx="236">
                  <c:v>44830</c:v>
                </c:pt>
                <c:pt idx="237">
                  <c:v>44831</c:v>
                </c:pt>
                <c:pt idx="238">
                  <c:v>44832</c:v>
                </c:pt>
                <c:pt idx="239">
                  <c:v>44833</c:v>
                </c:pt>
                <c:pt idx="240">
                  <c:v>44834</c:v>
                </c:pt>
                <c:pt idx="241">
                  <c:v>44837</c:v>
                </c:pt>
                <c:pt idx="242">
                  <c:v>44838</c:v>
                </c:pt>
                <c:pt idx="243">
                  <c:v>44839</c:v>
                </c:pt>
                <c:pt idx="244">
                  <c:v>44840</c:v>
                </c:pt>
                <c:pt idx="245">
                  <c:v>44841</c:v>
                </c:pt>
                <c:pt idx="246">
                  <c:v>44844</c:v>
                </c:pt>
                <c:pt idx="247">
                  <c:v>44845</c:v>
                </c:pt>
                <c:pt idx="248">
                  <c:v>44847</c:v>
                </c:pt>
                <c:pt idx="249">
                  <c:v>44848</c:v>
                </c:pt>
                <c:pt idx="250">
                  <c:v>44851</c:v>
                </c:pt>
                <c:pt idx="251">
                  <c:v>44852</c:v>
                </c:pt>
                <c:pt idx="252">
                  <c:v>44853</c:v>
                </c:pt>
                <c:pt idx="253">
                  <c:v>44854</c:v>
                </c:pt>
                <c:pt idx="254">
                  <c:v>44855</c:v>
                </c:pt>
                <c:pt idx="255">
                  <c:v>44858</c:v>
                </c:pt>
                <c:pt idx="256">
                  <c:v>44859</c:v>
                </c:pt>
                <c:pt idx="257">
                  <c:v>44860</c:v>
                </c:pt>
                <c:pt idx="258">
                  <c:v>44861</c:v>
                </c:pt>
                <c:pt idx="259">
                  <c:v>44862</c:v>
                </c:pt>
                <c:pt idx="260">
                  <c:v>44865</c:v>
                </c:pt>
                <c:pt idx="261">
                  <c:v>44866</c:v>
                </c:pt>
                <c:pt idx="262">
                  <c:v>44868</c:v>
                </c:pt>
                <c:pt idx="263">
                  <c:v>44869</c:v>
                </c:pt>
                <c:pt idx="264">
                  <c:v>44872</c:v>
                </c:pt>
                <c:pt idx="265">
                  <c:v>44873</c:v>
                </c:pt>
                <c:pt idx="266">
                  <c:v>44874</c:v>
                </c:pt>
                <c:pt idx="267">
                  <c:v>44875</c:v>
                </c:pt>
                <c:pt idx="268">
                  <c:v>44876</c:v>
                </c:pt>
                <c:pt idx="269">
                  <c:v>44879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44921</c:v>
                </c:pt>
                <c:pt idx="299">
                  <c:v>44922</c:v>
                </c:pt>
                <c:pt idx="300">
                  <c:v>44923</c:v>
                </c:pt>
                <c:pt idx="301">
                  <c:v>44924</c:v>
                </c:pt>
                <c:pt idx="302">
                  <c:v>44928</c:v>
                </c:pt>
                <c:pt idx="303">
                  <c:v>44929</c:v>
                </c:pt>
                <c:pt idx="304">
                  <c:v>44930</c:v>
                </c:pt>
                <c:pt idx="305">
                  <c:v>44931</c:v>
                </c:pt>
                <c:pt idx="306">
                  <c:v>44932</c:v>
                </c:pt>
                <c:pt idx="307">
                  <c:v>44935</c:v>
                </c:pt>
                <c:pt idx="308">
                  <c:v>44936</c:v>
                </c:pt>
                <c:pt idx="309">
                  <c:v>44937</c:v>
                </c:pt>
                <c:pt idx="310">
                  <c:v>44938</c:v>
                </c:pt>
                <c:pt idx="311">
                  <c:v>44939</c:v>
                </c:pt>
                <c:pt idx="312">
                  <c:v>44942</c:v>
                </c:pt>
                <c:pt idx="313">
                  <c:v>44943</c:v>
                </c:pt>
                <c:pt idx="314">
                  <c:v>44944</c:v>
                </c:pt>
                <c:pt idx="315">
                  <c:v>44945</c:v>
                </c:pt>
                <c:pt idx="316">
                  <c:v>44946</c:v>
                </c:pt>
                <c:pt idx="317">
                  <c:v>44949</c:v>
                </c:pt>
                <c:pt idx="318">
                  <c:v>44950</c:v>
                </c:pt>
                <c:pt idx="319">
                  <c:v>44951</c:v>
                </c:pt>
                <c:pt idx="320">
                  <c:v>44952</c:v>
                </c:pt>
                <c:pt idx="321">
                  <c:v>44953</c:v>
                </c:pt>
                <c:pt idx="322">
                  <c:v>44956</c:v>
                </c:pt>
                <c:pt idx="323">
                  <c:v>44957</c:v>
                </c:pt>
                <c:pt idx="324">
                  <c:v>44958</c:v>
                </c:pt>
                <c:pt idx="325">
                  <c:v>44959</c:v>
                </c:pt>
                <c:pt idx="326">
                  <c:v>44960</c:v>
                </c:pt>
                <c:pt idx="327">
                  <c:v>44963</c:v>
                </c:pt>
                <c:pt idx="328">
                  <c:v>44964</c:v>
                </c:pt>
                <c:pt idx="329">
                  <c:v>44965</c:v>
                </c:pt>
                <c:pt idx="330">
                  <c:v>44966</c:v>
                </c:pt>
                <c:pt idx="331">
                  <c:v>44967</c:v>
                </c:pt>
                <c:pt idx="332">
                  <c:v>44970</c:v>
                </c:pt>
                <c:pt idx="333">
                  <c:v>44971</c:v>
                </c:pt>
                <c:pt idx="334">
                  <c:v>44972</c:v>
                </c:pt>
                <c:pt idx="335">
                  <c:v>44973</c:v>
                </c:pt>
                <c:pt idx="336">
                  <c:v>44974</c:v>
                </c:pt>
                <c:pt idx="337">
                  <c:v>44979</c:v>
                </c:pt>
                <c:pt idx="338">
                  <c:v>44980</c:v>
                </c:pt>
                <c:pt idx="339">
                  <c:v>44981</c:v>
                </c:pt>
                <c:pt idx="340">
                  <c:v>44984</c:v>
                </c:pt>
                <c:pt idx="341">
                  <c:v>44985</c:v>
                </c:pt>
                <c:pt idx="342">
                  <c:v>44986</c:v>
                </c:pt>
                <c:pt idx="343">
                  <c:v>44987</c:v>
                </c:pt>
                <c:pt idx="344">
                  <c:v>44988</c:v>
                </c:pt>
                <c:pt idx="345">
                  <c:v>44991</c:v>
                </c:pt>
                <c:pt idx="346">
                  <c:v>44992</c:v>
                </c:pt>
                <c:pt idx="347">
                  <c:v>44993</c:v>
                </c:pt>
                <c:pt idx="348">
                  <c:v>44994</c:v>
                </c:pt>
                <c:pt idx="349">
                  <c:v>44995</c:v>
                </c:pt>
                <c:pt idx="350">
                  <c:v>44998</c:v>
                </c:pt>
                <c:pt idx="351">
                  <c:v>44999</c:v>
                </c:pt>
                <c:pt idx="352">
                  <c:v>45000</c:v>
                </c:pt>
                <c:pt idx="353">
                  <c:v>45001</c:v>
                </c:pt>
                <c:pt idx="354">
                  <c:v>45002</c:v>
                </c:pt>
                <c:pt idx="355">
                  <c:v>45005</c:v>
                </c:pt>
                <c:pt idx="356">
                  <c:v>45006</c:v>
                </c:pt>
                <c:pt idx="357">
                  <c:v>45007</c:v>
                </c:pt>
                <c:pt idx="358">
                  <c:v>45008</c:v>
                </c:pt>
                <c:pt idx="359">
                  <c:v>45009</c:v>
                </c:pt>
                <c:pt idx="360">
                  <c:v>45012</c:v>
                </c:pt>
                <c:pt idx="361">
                  <c:v>45013</c:v>
                </c:pt>
                <c:pt idx="362">
                  <c:v>45014</c:v>
                </c:pt>
                <c:pt idx="363">
                  <c:v>45015</c:v>
                </c:pt>
                <c:pt idx="364">
                  <c:v>45016</c:v>
                </c:pt>
                <c:pt idx="365">
                  <c:v>45019</c:v>
                </c:pt>
                <c:pt idx="366">
                  <c:v>45020</c:v>
                </c:pt>
                <c:pt idx="367">
                  <c:v>45021</c:v>
                </c:pt>
                <c:pt idx="368">
                  <c:v>45022</c:v>
                </c:pt>
                <c:pt idx="369">
                  <c:v>45026</c:v>
                </c:pt>
                <c:pt idx="370">
                  <c:v>45027</c:v>
                </c:pt>
                <c:pt idx="371">
                  <c:v>45028</c:v>
                </c:pt>
                <c:pt idx="372">
                  <c:v>45029</c:v>
                </c:pt>
                <c:pt idx="373">
                  <c:v>45030</c:v>
                </c:pt>
                <c:pt idx="374">
                  <c:v>45033</c:v>
                </c:pt>
                <c:pt idx="375">
                  <c:v>45034</c:v>
                </c:pt>
                <c:pt idx="376">
                  <c:v>45035</c:v>
                </c:pt>
                <c:pt idx="377">
                  <c:v>45036</c:v>
                </c:pt>
                <c:pt idx="378">
                  <c:v>45040</c:v>
                </c:pt>
                <c:pt idx="379">
                  <c:v>45041</c:v>
                </c:pt>
                <c:pt idx="380">
                  <c:v>45042</c:v>
                </c:pt>
                <c:pt idx="381">
                  <c:v>45043</c:v>
                </c:pt>
                <c:pt idx="382">
                  <c:v>45044</c:v>
                </c:pt>
                <c:pt idx="383">
                  <c:v>45048</c:v>
                </c:pt>
                <c:pt idx="384">
                  <c:v>45049</c:v>
                </c:pt>
                <c:pt idx="385">
                  <c:v>45050</c:v>
                </c:pt>
                <c:pt idx="386">
                  <c:v>45051</c:v>
                </c:pt>
                <c:pt idx="387">
                  <c:v>45054</c:v>
                </c:pt>
                <c:pt idx="388">
                  <c:v>45055</c:v>
                </c:pt>
                <c:pt idx="389">
                  <c:v>45056</c:v>
                </c:pt>
                <c:pt idx="390">
                  <c:v>45057</c:v>
                </c:pt>
                <c:pt idx="391">
                  <c:v>45058</c:v>
                </c:pt>
                <c:pt idx="392">
                  <c:v>45061</c:v>
                </c:pt>
                <c:pt idx="393">
                  <c:v>45062</c:v>
                </c:pt>
                <c:pt idx="394">
                  <c:v>45063</c:v>
                </c:pt>
                <c:pt idx="395">
                  <c:v>45064</c:v>
                </c:pt>
                <c:pt idx="396">
                  <c:v>45065</c:v>
                </c:pt>
                <c:pt idx="397">
                  <c:v>45068</c:v>
                </c:pt>
                <c:pt idx="398">
                  <c:v>45069</c:v>
                </c:pt>
                <c:pt idx="399">
                  <c:v>45070</c:v>
                </c:pt>
                <c:pt idx="400">
                  <c:v>45071</c:v>
                </c:pt>
                <c:pt idx="401">
                  <c:v>45072</c:v>
                </c:pt>
                <c:pt idx="402">
                  <c:v>45075</c:v>
                </c:pt>
                <c:pt idx="403">
                  <c:v>45076</c:v>
                </c:pt>
                <c:pt idx="404">
                  <c:v>45077</c:v>
                </c:pt>
                <c:pt idx="405">
                  <c:v>45078</c:v>
                </c:pt>
                <c:pt idx="406">
                  <c:v>45079</c:v>
                </c:pt>
                <c:pt idx="407">
                  <c:v>45082</c:v>
                </c:pt>
                <c:pt idx="408">
                  <c:v>45083</c:v>
                </c:pt>
                <c:pt idx="409">
                  <c:v>45084</c:v>
                </c:pt>
                <c:pt idx="410">
                  <c:v>45086</c:v>
                </c:pt>
                <c:pt idx="411">
                  <c:v>45089</c:v>
                </c:pt>
                <c:pt idx="412">
                  <c:v>45090</c:v>
                </c:pt>
                <c:pt idx="413">
                  <c:v>45091</c:v>
                </c:pt>
                <c:pt idx="414">
                  <c:v>45092</c:v>
                </c:pt>
                <c:pt idx="415">
                  <c:v>45093</c:v>
                </c:pt>
                <c:pt idx="416">
                  <c:v>45096</c:v>
                </c:pt>
                <c:pt idx="417">
                  <c:v>45097</c:v>
                </c:pt>
                <c:pt idx="418">
                  <c:v>45098</c:v>
                </c:pt>
                <c:pt idx="419">
                  <c:v>45099</c:v>
                </c:pt>
                <c:pt idx="420">
                  <c:v>45100</c:v>
                </c:pt>
                <c:pt idx="421">
                  <c:v>45103</c:v>
                </c:pt>
                <c:pt idx="422">
                  <c:v>45104</c:v>
                </c:pt>
                <c:pt idx="423">
                  <c:v>45105</c:v>
                </c:pt>
                <c:pt idx="424">
                  <c:v>45106</c:v>
                </c:pt>
                <c:pt idx="425">
                  <c:v>45107</c:v>
                </c:pt>
                <c:pt idx="426">
                  <c:v>45110</c:v>
                </c:pt>
                <c:pt idx="427">
                  <c:v>45111</c:v>
                </c:pt>
                <c:pt idx="428">
                  <c:v>45112</c:v>
                </c:pt>
                <c:pt idx="429">
                  <c:v>45113</c:v>
                </c:pt>
                <c:pt idx="430">
                  <c:v>45114</c:v>
                </c:pt>
                <c:pt idx="431">
                  <c:v>45117</c:v>
                </c:pt>
                <c:pt idx="432">
                  <c:v>45118</c:v>
                </c:pt>
                <c:pt idx="433">
                  <c:v>45119</c:v>
                </c:pt>
                <c:pt idx="434">
                  <c:v>45120</c:v>
                </c:pt>
                <c:pt idx="435">
                  <c:v>45121</c:v>
                </c:pt>
                <c:pt idx="436">
                  <c:v>45124</c:v>
                </c:pt>
                <c:pt idx="437">
                  <c:v>45125</c:v>
                </c:pt>
                <c:pt idx="438">
                  <c:v>45126</c:v>
                </c:pt>
                <c:pt idx="439">
                  <c:v>45127</c:v>
                </c:pt>
                <c:pt idx="440">
                  <c:v>45128</c:v>
                </c:pt>
                <c:pt idx="441">
                  <c:v>45131</c:v>
                </c:pt>
                <c:pt idx="442">
                  <c:v>45132</c:v>
                </c:pt>
                <c:pt idx="443">
                  <c:v>45133</c:v>
                </c:pt>
                <c:pt idx="444">
                  <c:v>45134</c:v>
                </c:pt>
                <c:pt idx="445">
                  <c:v>45135</c:v>
                </c:pt>
                <c:pt idx="446">
                  <c:v>45138</c:v>
                </c:pt>
                <c:pt idx="447">
                  <c:v>45139</c:v>
                </c:pt>
                <c:pt idx="448">
                  <c:v>45140</c:v>
                </c:pt>
                <c:pt idx="449">
                  <c:v>45141</c:v>
                </c:pt>
                <c:pt idx="450">
                  <c:v>45142</c:v>
                </c:pt>
                <c:pt idx="451">
                  <c:v>45145</c:v>
                </c:pt>
                <c:pt idx="452">
                  <c:v>45146</c:v>
                </c:pt>
                <c:pt idx="453">
                  <c:v>45147</c:v>
                </c:pt>
                <c:pt idx="454">
                  <c:v>45148</c:v>
                </c:pt>
                <c:pt idx="455">
                  <c:v>45149</c:v>
                </c:pt>
                <c:pt idx="456">
                  <c:v>45152</c:v>
                </c:pt>
                <c:pt idx="457">
                  <c:v>45153</c:v>
                </c:pt>
                <c:pt idx="458">
                  <c:v>45154</c:v>
                </c:pt>
                <c:pt idx="459">
                  <c:v>45155</c:v>
                </c:pt>
                <c:pt idx="460">
                  <c:v>45156</c:v>
                </c:pt>
                <c:pt idx="461">
                  <c:v>45159</c:v>
                </c:pt>
                <c:pt idx="462">
                  <c:v>45160</c:v>
                </c:pt>
                <c:pt idx="463">
                  <c:v>45161</c:v>
                </c:pt>
                <c:pt idx="464">
                  <c:v>45162</c:v>
                </c:pt>
                <c:pt idx="465">
                  <c:v>45163</c:v>
                </c:pt>
                <c:pt idx="466">
                  <c:v>45166</c:v>
                </c:pt>
                <c:pt idx="467">
                  <c:v>45167</c:v>
                </c:pt>
                <c:pt idx="468">
                  <c:v>45168</c:v>
                </c:pt>
                <c:pt idx="469">
                  <c:v>45169</c:v>
                </c:pt>
                <c:pt idx="470">
                  <c:v>45170</c:v>
                </c:pt>
                <c:pt idx="471">
                  <c:v>45173</c:v>
                </c:pt>
                <c:pt idx="472">
                  <c:v>45174</c:v>
                </c:pt>
                <c:pt idx="473">
                  <c:v>45175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45212</c:v>
                </c:pt>
                <c:pt idx="499">
                  <c:v>45215</c:v>
                </c:pt>
                <c:pt idx="500">
                  <c:v>45216</c:v>
                </c:pt>
                <c:pt idx="501">
                  <c:v>45217</c:v>
                </c:pt>
                <c:pt idx="502">
                  <c:v>45218</c:v>
                </c:pt>
                <c:pt idx="503">
                  <c:v>45219</c:v>
                </c:pt>
                <c:pt idx="504">
                  <c:v>45222</c:v>
                </c:pt>
                <c:pt idx="505">
                  <c:v>45223</c:v>
                </c:pt>
                <c:pt idx="506">
                  <c:v>45224</c:v>
                </c:pt>
                <c:pt idx="507">
                  <c:v>45225</c:v>
                </c:pt>
                <c:pt idx="508">
                  <c:v>45226</c:v>
                </c:pt>
                <c:pt idx="509">
                  <c:v>45229</c:v>
                </c:pt>
                <c:pt idx="510">
                  <c:v>45230</c:v>
                </c:pt>
                <c:pt idx="511">
                  <c:v>45231</c:v>
                </c:pt>
                <c:pt idx="512">
                  <c:v>45233</c:v>
                </c:pt>
                <c:pt idx="513">
                  <c:v>45236</c:v>
                </c:pt>
                <c:pt idx="514">
                  <c:v>45237</c:v>
                </c:pt>
                <c:pt idx="515">
                  <c:v>45238</c:v>
                </c:pt>
                <c:pt idx="516">
                  <c:v>45239</c:v>
                </c:pt>
                <c:pt idx="517">
                  <c:v>45240</c:v>
                </c:pt>
                <c:pt idx="518">
                  <c:v>45243</c:v>
                </c:pt>
                <c:pt idx="519">
                  <c:v>45244</c:v>
                </c:pt>
                <c:pt idx="520">
                  <c:v>45246</c:v>
                </c:pt>
                <c:pt idx="521">
                  <c:v>45247</c:v>
                </c:pt>
                <c:pt idx="522">
                  <c:v>45250</c:v>
                </c:pt>
                <c:pt idx="523">
                  <c:v>45251</c:v>
                </c:pt>
                <c:pt idx="524">
                  <c:v>45252</c:v>
                </c:pt>
                <c:pt idx="525">
                  <c:v>45253</c:v>
                </c:pt>
                <c:pt idx="526">
                  <c:v>45254</c:v>
                </c:pt>
                <c:pt idx="527">
                  <c:v>45257</c:v>
                </c:pt>
                <c:pt idx="528">
                  <c:v>45258</c:v>
                </c:pt>
                <c:pt idx="529">
                  <c:v>45259</c:v>
                </c:pt>
                <c:pt idx="530">
                  <c:v>45260</c:v>
                </c:pt>
                <c:pt idx="531">
                  <c:v>45261</c:v>
                </c:pt>
                <c:pt idx="532">
                  <c:v>45264</c:v>
                </c:pt>
                <c:pt idx="533">
                  <c:v>45265</c:v>
                </c:pt>
                <c:pt idx="534">
                  <c:v>45266</c:v>
                </c:pt>
                <c:pt idx="535">
                  <c:v>45267</c:v>
                </c:pt>
                <c:pt idx="536">
                  <c:v>45268</c:v>
                </c:pt>
                <c:pt idx="537">
                  <c:v>45271</c:v>
                </c:pt>
                <c:pt idx="538">
                  <c:v>45272</c:v>
                </c:pt>
                <c:pt idx="539">
                  <c:v>45273</c:v>
                </c:pt>
                <c:pt idx="540">
                  <c:v>45274</c:v>
                </c:pt>
                <c:pt idx="541">
                  <c:v>45275</c:v>
                </c:pt>
                <c:pt idx="542">
                  <c:v>45278</c:v>
                </c:pt>
                <c:pt idx="543">
                  <c:v>45279</c:v>
                </c:pt>
                <c:pt idx="544">
                  <c:v>45280</c:v>
                </c:pt>
                <c:pt idx="545">
                  <c:v>45281</c:v>
                </c:pt>
                <c:pt idx="546">
                  <c:v>45282</c:v>
                </c:pt>
                <c:pt idx="547">
                  <c:v>45286</c:v>
                </c:pt>
                <c:pt idx="548">
                  <c:v>45287</c:v>
                </c:pt>
                <c:pt idx="549">
                  <c:v>45288</c:v>
                </c:pt>
                <c:pt idx="550">
                  <c:v>45293</c:v>
                </c:pt>
                <c:pt idx="551">
                  <c:v>45294</c:v>
                </c:pt>
                <c:pt idx="552">
                  <c:v>45295</c:v>
                </c:pt>
                <c:pt idx="553">
                  <c:v>45296</c:v>
                </c:pt>
                <c:pt idx="554">
                  <c:v>45299</c:v>
                </c:pt>
                <c:pt idx="555">
                  <c:v>45300</c:v>
                </c:pt>
                <c:pt idx="556">
                  <c:v>45301</c:v>
                </c:pt>
                <c:pt idx="557">
                  <c:v>45302</c:v>
                </c:pt>
                <c:pt idx="558">
                  <c:v>45303</c:v>
                </c:pt>
                <c:pt idx="559">
                  <c:v>45306</c:v>
                </c:pt>
                <c:pt idx="560">
                  <c:v>45307</c:v>
                </c:pt>
                <c:pt idx="561">
                  <c:v>45308</c:v>
                </c:pt>
                <c:pt idx="562">
                  <c:v>45309</c:v>
                </c:pt>
                <c:pt idx="563">
                  <c:v>45310</c:v>
                </c:pt>
                <c:pt idx="564">
                  <c:v>45313</c:v>
                </c:pt>
                <c:pt idx="565">
                  <c:v>45314</c:v>
                </c:pt>
                <c:pt idx="566">
                  <c:v>45315</c:v>
                </c:pt>
                <c:pt idx="567">
                  <c:v>45316</c:v>
                </c:pt>
                <c:pt idx="568">
                  <c:v>45317</c:v>
                </c:pt>
                <c:pt idx="569">
                  <c:v>45320</c:v>
                </c:pt>
                <c:pt idx="570">
                  <c:v>45321</c:v>
                </c:pt>
                <c:pt idx="571">
                  <c:v>45322</c:v>
                </c:pt>
                <c:pt idx="572">
                  <c:v>45323</c:v>
                </c:pt>
                <c:pt idx="573">
                  <c:v>45324</c:v>
                </c:pt>
                <c:pt idx="574">
                  <c:v>45327</c:v>
                </c:pt>
                <c:pt idx="575">
                  <c:v>45328</c:v>
                </c:pt>
                <c:pt idx="576">
                  <c:v>45329</c:v>
                </c:pt>
                <c:pt idx="577">
                  <c:v>45330</c:v>
                </c:pt>
                <c:pt idx="578">
                  <c:v>45331</c:v>
                </c:pt>
                <c:pt idx="579">
                  <c:v>45336</c:v>
                </c:pt>
                <c:pt idx="580">
                  <c:v>45337</c:v>
                </c:pt>
                <c:pt idx="581">
                  <c:v>45338</c:v>
                </c:pt>
                <c:pt idx="582">
                  <c:v>45341</c:v>
                </c:pt>
                <c:pt idx="583">
                  <c:v>45342</c:v>
                </c:pt>
                <c:pt idx="584">
                  <c:v>45343</c:v>
                </c:pt>
                <c:pt idx="585">
                  <c:v>45344</c:v>
                </c:pt>
                <c:pt idx="586">
                  <c:v>45345</c:v>
                </c:pt>
                <c:pt idx="587">
                  <c:v>45348</c:v>
                </c:pt>
                <c:pt idx="588">
                  <c:v>45349</c:v>
                </c:pt>
                <c:pt idx="589">
                  <c:v>45350</c:v>
                </c:pt>
                <c:pt idx="590">
                  <c:v>45351</c:v>
                </c:pt>
                <c:pt idx="591">
                  <c:v>45352</c:v>
                </c:pt>
                <c:pt idx="592">
                  <c:v>45355</c:v>
                </c:pt>
                <c:pt idx="593">
                  <c:v>45356</c:v>
                </c:pt>
                <c:pt idx="594">
                  <c:v>45357</c:v>
                </c:pt>
                <c:pt idx="595">
                  <c:v>45358</c:v>
                </c:pt>
                <c:pt idx="596">
                  <c:v>45359</c:v>
                </c:pt>
                <c:pt idx="597">
                  <c:v>45362</c:v>
                </c:pt>
                <c:pt idx="598">
                  <c:v>45363</c:v>
                </c:pt>
                <c:pt idx="599">
                  <c:v>45364</c:v>
                </c:pt>
                <c:pt idx="600">
                  <c:v>45365</c:v>
                </c:pt>
                <c:pt idx="601">
                  <c:v>45366</c:v>
                </c:pt>
                <c:pt idx="602">
                  <c:v>45369</c:v>
                </c:pt>
                <c:pt idx="603">
                  <c:v>45370</c:v>
                </c:pt>
                <c:pt idx="604">
                  <c:v>45371</c:v>
                </c:pt>
                <c:pt idx="605">
                  <c:v>45372</c:v>
                </c:pt>
                <c:pt idx="606">
                  <c:v>45373</c:v>
                </c:pt>
                <c:pt idx="607">
                  <c:v>45376</c:v>
                </c:pt>
                <c:pt idx="608">
                  <c:v>45377</c:v>
                </c:pt>
                <c:pt idx="609">
                  <c:v>45378</c:v>
                </c:pt>
                <c:pt idx="610">
                  <c:v>45379</c:v>
                </c:pt>
                <c:pt idx="611">
                  <c:v>45383</c:v>
                </c:pt>
                <c:pt idx="612">
                  <c:v>45384</c:v>
                </c:pt>
                <c:pt idx="613">
                  <c:v>45385</c:v>
                </c:pt>
                <c:pt idx="614">
                  <c:v>45386</c:v>
                </c:pt>
                <c:pt idx="615">
                  <c:v>45387</c:v>
                </c:pt>
                <c:pt idx="616">
                  <c:v>45390</c:v>
                </c:pt>
                <c:pt idx="617">
                  <c:v>45391</c:v>
                </c:pt>
                <c:pt idx="618">
                  <c:v>45392</c:v>
                </c:pt>
                <c:pt idx="619">
                  <c:v>45393</c:v>
                </c:pt>
                <c:pt idx="620">
                  <c:v>45394</c:v>
                </c:pt>
                <c:pt idx="621">
                  <c:v>45397</c:v>
                </c:pt>
                <c:pt idx="622">
                  <c:v>45398</c:v>
                </c:pt>
                <c:pt idx="623">
                  <c:v>45399</c:v>
                </c:pt>
                <c:pt idx="624">
                  <c:v>45400</c:v>
                </c:pt>
                <c:pt idx="625">
                  <c:v>45401</c:v>
                </c:pt>
                <c:pt idx="626">
                  <c:v>45404</c:v>
                </c:pt>
                <c:pt idx="627">
                  <c:v>45405</c:v>
                </c:pt>
                <c:pt idx="628">
                  <c:v>45406</c:v>
                </c:pt>
                <c:pt idx="629">
                  <c:v>45407</c:v>
                </c:pt>
                <c:pt idx="630">
                  <c:v>45408</c:v>
                </c:pt>
                <c:pt idx="631">
                  <c:v>45411</c:v>
                </c:pt>
                <c:pt idx="632">
                  <c:v>45412</c:v>
                </c:pt>
                <c:pt idx="633">
                  <c:v>45414</c:v>
                </c:pt>
                <c:pt idx="634">
                  <c:v>45415</c:v>
                </c:pt>
                <c:pt idx="635">
                  <c:v>45418</c:v>
                </c:pt>
                <c:pt idx="636">
                  <c:v>45419</c:v>
                </c:pt>
                <c:pt idx="637">
                  <c:v>45420</c:v>
                </c:pt>
                <c:pt idx="638">
                  <c:v>45421</c:v>
                </c:pt>
                <c:pt idx="639">
                  <c:v>45422</c:v>
                </c:pt>
                <c:pt idx="640">
                  <c:v>45425</c:v>
                </c:pt>
                <c:pt idx="641">
                  <c:v>45426</c:v>
                </c:pt>
                <c:pt idx="642">
                  <c:v>45427</c:v>
                </c:pt>
                <c:pt idx="643">
                  <c:v>45428</c:v>
                </c:pt>
                <c:pt idx="644">
                  <c:v>45429</c:v>
                </c:pt>
                <c:pt idx="645">
                  <c:v>45432</c:v>
                </c:pt>
                <c:pt idx="646">
                  <c:v>45433</c:v>
                </c:pt>
                <c:pt idx="647">
                  <c:v>45434</c:v>
                </c:pt>
                <c:pt idx="648">
                  <c:v>45435</c:v>
                </c:pt>
                <c:pt idx="649">
                  <c:v>45436</c:v>
                </c:pt>
                <c:pt idx="650">
                  <c:v>45439</c:v>
                </c:pt>
                <c:pt idx="651">
                  <c:v>45440</c:v>
                </c:pt>
                <c:pt idx="652">
                  <c:v>45441</c:v>
                </c:pt>
                <c:pt idx="653">
                  <c:v>45443</c:v>
                </c:pt>
                <c:pt idx="654">
                  <c:v>45446</c:v>
                </c:pt>
                <c:pt idx="655">
                  <c:v>45447</c:v>
                </c:pt>
                <c:pt idx="656">
                  <c:v>45448</c:v>
                </c:pt>
                <c:pt idx="657">
                  <c:v>45449</c:v>
                </c:pt>
                <c:pt idx="658">
                  <c:v>45450</c:v>
                </c:pt>
                <c:pt idx="659">
                  <c:v>45453</c:v>
                </c:pt>
                <c:pt idx="660">
                  <c:v>45454</c:v>
                </c:pt>
                <c:pt idx="661">
                  <c:v>45455</c:v>
                </c:pt>
                <c:pt idx="662">
                  <c:v>45456</c:v>
                </c:pt>
                <c:pt idx="663">
                  <c:v>45457</c:v>
                </c:pt>
                <c:pt idx="664">
                  <c:v>45460</c:v>
                </c:pt>
                <c:pt idx="665">
                  <c:v>45461</c:v>
                </c:pt>
                <c:pt idx="666">
                  <c:v>45462</c:v>
                </c:pt>
                <c:pt idx="667">
                  <c:v>45463</c:v>
                </c:pt>
                <c:pt idx="668">
                  <c:v>45464</c:v>
                </c:pt>
                <c:pt idx="669">
                  <c:v>45467</c:v>
                </c:pt>
                <c:pt idx="670">
                  <c:v>45468</c:v>
                </c:pt>
                <c:pt idx="671">
                  <c:v>45469</c:v>
                </c:pt>
                <c:pt idx="672">
                  <c:v>45470</c:v>
                </c:pt>
                <c:pt idx="673">
                  <c:v>45471</c:v>
                </c:pt>
                <c:pt idx="674">
                  <c:v>45474</c:v>
                </c:pt>
                <c:pt idx="675">
                  <c:v>45475</c:v>
                </c:pt>
                <c:pt idx="676">
                  <c:v>45476</c:v>
                </c:pt>
                <c:pt idx="677">
                  <c:v>45477</c:v>
                </c:pt>
                <c:pt idx="678">
                  <c:v>45478</c:v>
                </c:pt>
                <c:pt idx="679">
                  <c:v>45481</c:v>
                </c:pt>
                <c:pt idx="680">
                  <c:v>45482</c:v>
                </c:pt>
                <c:pt idx="681">
                  <c:v>45483</c:v>
                </c:pt>
                <c:pt idx="682">
                  <c:v>45484</c:v>
                </c:pt>
                <c:pt idx="683">
                  <c:v>45485</c:v>
                </c:pt>
                <c:pt idx="684">
                  <c:v>45488</c:v>
                </c:pt>
                <c:pt idx="685">
                  <c:v>45489</c:v>
                </c:pt>
                <c:pt idx="686">
                  <c:v>45490</c:v>
                </c:pt>
                <c:pt idx="687">
                  <c:v>45491</c:v>
                </c:pt>
                <c:pt idx="688">
                  <c:v>45492</c:v>
                </c:pt>
                <c:pt idx="689">
                  <c:v>45495</c:v>
                </c:pt>
                <c:pt idx="690">
                  <c:v>45496</c:v>
                </c:pt>
                <c:pt idx="691">
                  <c:v>45497</c:v>
                </c:pt>
                <c:pt idx="692">
                  <c:v>45498</c:v>
                </c:pt>
                <c:pt idx="693">
                  <c:v>45499</c:v>
                </c:pt>
                <c:pt idx="694">
                  <c:v>45502</c:v>
                </c:pt>
                <c:pt idx="695">
                  <c:v>45503</c:v>
                </c:pt>
                <c:pt idx="696">
                  <c:v>45504</c:v>
                </c:pt>
                <c:pt idx="697">
                  <c:v>45505</c:v>
                </c:pt>
                <c:pt idx="698">
                  <c:v>45506</c:v>
                </c:pt>
                <c:pt idx="699">
                  <c:v>45509</c:v>
                </c:pt>
                <c:pt idx="700">
                  <c:v>45510</c:v>
                </c:pt>
                <c:pt idx="701">
                  <c:v>45511</c:v>
                </c:pt>
                <c:pt idx="702">
                  <c:v>45512</c:v>
                </c:pt>
                <c:pt idx="703">
                  <c:v>45513</c:v>
                </c:pt>
                <c:pt idx="704">
                  <c:v>45516</c:v>
                </c:pt>
                <c:pt idx="705">
                  <c:v>45517</c:v>
                </c:pt>
                <c:pt idx="706">
                  <c:v>45518</c:v>
                </c:pt>
                <c:pt idx="707">
                  <c:v>45519</c:v>
                </c:pt>
                <c:pt idx="708">
                  <c:v>45520</c:v>
                </c:pt>
                <c:pt idx="709">
                  <c:v>45523</c:v>
                </c:pt>
                <c:pt idx="710">
                  <c:v>45524</c:v>
                </c:pt>
                <c:pt idx="711">
                  <c:v>45525</c:v>
                </c:pt>
                <c:pt idx="712">
                  <c:v>45526</c:v>
                </c:pt>
                <c:pt idx="713">
                  <c:v>45527</c:v>
                </c:pt>
                <c:pt idx="714">
                  <c:v>45530</c:v>
                </c:pt>
                <c:pt idx="715">
                  <c:v>45531</c:v>
                </c:pt>
                <c:pt idx="716">
                  <c:v>45532</c:v>
                </c:pt>
                <c:pt idx="717">
                  <c:v>45533</c:v>
                </c:pt>
                <c:pt idx="718">
                  <c:v>45534</c:v>
                </c:pt>
                <c:pt idx="719">
                  <c:v>45537</c:v>
                </c:pt>
                <c:pt idx="720">
                  <c:v>45538</c:v>
                </c:pt>
                <c:pt idx="721">
                  <c:v>45539</c:v>
                </c:pt>
                <c:pt idx="722">
                  <c:v>45540</c:v>
                </c:pt>
                <c:pt idx="723">
                  <c:v>45541</c:v>
                </c:pt>
                <c:pt idx="724">
                  <c:v>45544</c:v>
                </c:pt>
                <c:pt idx="725">
                  <c:v>45545</c:v>
                </c:pt>
                <c:pt idx="726">
                  <c:v>45546</c:v>
                </c:pt>
                <c:pt idx="727">
                  <c:v>45547</c:v>
                </c:pt>
                <c:pt idx="728">
                  <c:v>45548</c:v>
                </c:pt>
                <c:pt idx="729">
                  <c:v>45551</c:v>
                </c:pt>
                <c:pt idx="730">
                  <c:v>45552</c:v>
                </c:pt>
                <c:pt idx="731">
                  <c:v>45553</c:v>
                </c:pt>
                <c:pt idx="732">
                  <c:v>45554</c:v>
                </c:pt>
                <c:pt idx="733">
                  <c:v>45555</c:v>
                </c:pt>
                <c:pt idx="734">
                  <c:v>45558</c:v>
                </c:pt>
                <c:pt idx="735">
                  <c:v>45559</c:v>
                </c:pt>
                <c:pt idx="736">
                  <c:v>45560</c:v>
                </c:pt>
                <c:pt idx="737">
                  <c:v>45561</c:v>
                </c:pt>
                <c:pt idx="738">
                  <c:v>45562</c:v>
                </c:pt>
                <c:pt idx="739">
                  <c:v>45565</c:v>
                </c:pt>
                <c:pt idx="740">
                  <c:v>45566</c:v>
                </c:pt>
                <c:pt idx="741">
                  <c:v>45567</c:v>
                </c:pt>
                <c:pt idx="742">
                  <c:v>45568</c:v>
                </c:pt>
                <c:pt idx="743">
                  <c:v>45569</c:v>
                </c:pt>
                <c:pt idx="744">
                  <c:v>45572</c:v>
                </c:pt>
                <c:pt idx="745">
                  <c:v>45573</c:v>
                </c:pt>
                <c:pt idx="746">
                  <c:v>45574</c:v>
                </c:pt>
                <c:pt idx="747">
                  <c:v>45575</c:v>
                </c:pt>
                <c:pt idx="748">
                  <c:v>45576</c:v>
                </c:pt>
                <c:pt idx="749">
                  <c:v>45579</c:v>
                </c:pt>
                <c:pt idx="750">
                  <c:v>45580</c:v>
                </c:pt>
                <c:pt idx="751">
                  <c:v>45581</c:v>
                </c:pt>
                <c:pt idx="752">
                  <c:v>45582</c:v>
                </c:pt>
                <c:pt idx="753">
                  <c:v>45583</c:v>
                </c:pt>
                <c:pt idx="754">
                  <c:v>45586</c:v>
                </c:pt>
                <c:pt idx="755">
                  <c:v>45587</c:v>
                </c:pt>
                <c:pt idx="756">
                  <c:v>45588</c:v>
                </c:pt>
                <c:pt idx="757">
                  <c:v>45589</c:v>
                </c:pt>
                <c:pt idx="758">
                  <c:v>45590</c:v>
                </c:pt>
                <c:pt idx="759">
                  <c:v>45593</c:v>
                </c:pt>
                <c:pt idx="760">
                  <c:v>45594</c:v>
                </c:pt>
                <c:pt idx="761">
                  <c:v>45595</c:v>
                </c:pt>
                <c:pt idx="762">
                  <c:v>45596</c:v>
                </c:pt>
                <c:pt idx="763">
                  <c:v>45597</c:v>
                </c:pt>
                <c:pt idx="764">
                  <c:v>45600</c:v>
                </c:pt>
                <c:pt idx="765">
                  <c:v>45601</c:v>
                </c:pt>
                <c:pt idx="766">
                  <c:v>45602</c:v>
                </c:pt>
                <c:pt idx="767">
                  <c:v>45603</c:v>
                </c:pt>
                <c:pt idx="768">
                  <c:v>45604</c:v>
                </c:pt>
                <c:pt idx="769">
                  <c:v>45607</c:v>
                </c:pt>
                <c:pt idx="770">
                  <c:v>45608</c:v>
                </c:pt>
                <c:pt idx="771">
                  <c:v>45609</c:v>
                </c:pt>
                <c:pt idx="772">
                  <c:v>45610</c:v>
                </c:pt>
                <c:pt idx="773">
                  <c:v>45614</c:v>
                </c:pt>
                <c:pt idx="774">
                  <c:v>45615</c:v>
                </c:pt>
                <c:pt idx="775">
                  <c:v>45617</c:v>
                </c:pt>
                <c:pt idx="776">
                  <c:v>45618</c:v>
                </c:pt>
                <c:pt idx="777">
                  <c:v>45621</c:v>
                </c:pt>
                <c:pt idx="778">
                  <c:v>45622</c:v>
                </c:pt>
                <c:pt idx="779">
                  <c:v>45623</c:v>
                </c:pt>
                <c:pt idx="780">
                  <c:v>45624</c:v>
                </c:pt>
                <c:pt idx="781">
                  <c:v>45625</c:v>
                </c:pt>
                <c:pt idx="782">
                  <c:v>45628</c:v>
                </c:pt>
                <c:pt idx="783">
                  <c:v>45629</c:v>
                </c:pt>
                <c:pt idx="784">
                  <c:v>45630</c:v>
                </c:pt>
                <c:pt idx="785">
                  <c:v>45631</c:v>
                </c:pt>
                <c:pt idx="786">
                  <c:v>45632</c:v>
                </c:pt>
                <c:pt idx="787">
                  <c:v>45635</c:v>
                </c:pt>
                <c:pt idx="788">
                  <c:v>45636</c:v>
                </c:pt>
                <c:pt idx="789">
                  <c:v>45637</c:v>
                </c:pt>
                <c:pt idx="790">
                  <c:v>45638</c:v>
                </c:pt>
                <c:pt idx="791">
                  <c:v>45639</c:v>
                </c:pt>
                <c:pt idx="792">
                  <c:v>45642</c:v>
                </c:pt>
                <c:pt idx="793">
                  <c:v>45643</c:v>
                </c:pt>
                <c:pt idx="794">
                  <c:v>45644</c:v>
                </c:pt>
                <c:pt idx="795">
                  <c:v>45645</c:v>
                </c:pt>
                <c:pt idx="796">
                  <c:v>45646</c:v>
                </c:pt>
                <c:pt idx="797">
                  <c:v>45649</c:v>
                </c:pt>
                <c:pt idx="798">
                  <c:v>45652</c:v>
                </c:pt>
                <c:pt idx="799">
                  <c:v>45653</c:v>
                </c:pt>
                <c:pt idx="800">
                  <c:v>45656</c:v>
                </c:pt>
                <c:pt idx="801">
                  <c:v>45659</c:v>
                </c:pt>
                <c:pt idx="802">
                  <c:v>45660</c:v>
                </c:pt>
                <c:pt idx="803">
                  <c:v>45663</c:v>
                </c:pt>
                <c:pt idx="804">
                  <c:v>45664</c:v>
                </c:pt>
                <c:pt idx="805">
                  <c:v>45665</c:v>
                </c:pt>
                <c:pt idx="806">
                  <c:v>45666</c:v>
                </c:pt>
                <c:pt idx="807">
                  <c:v>45667</c:v>
                </c:pt>
                <c:pt idx="808">
                  <c:v>45670</c:v>
                </c:pt>
                <c:pt idx="809">
                  <c:v>45671</c:v>
                </c:pt>
                <c:pt idx="810">
                  <c:v>45672</c:v>
                </c:pt>
                <c:pt idx="811">
                  <c:v>45673</c:v>
                </c:pt>
                <c:pt idx="812">
                  <c:v>45674</c:v>
                </c:pt>
                <c:pt idx="813">
                  <c:v>45677</c:v>
                </c:pt>
                <c:pt idx="814">
                  <c:v>45678</c:v>
                </c:pt>
                <c:pt idx="815">
                  <c:v>45679</c:v>
                </c:pt>
                <c:pt idx="816">
                  <c:v>45680</c:v>
                </c:pt>
                <c:pt idx="817">
                  <c:v>45681</c:v>
                </c:pt>
                <c:pt idx="818">
                  <c:v>45684</c:v>
                </c:pt>
                <c:pt idx="819">
                  <c:v>45685</c:v>
                </c:pt>
                <c:pt idx="820">
                  <c:v>45686</c:v>
                </c:pt>
                <c:pt idx="821">
                  <c:v>45687</c:v>
                </c:pt>
                <c:pt idx="822">
                  <c:v>45688</c:v>
                </c:pt>
                <c:pt idx="823">
                  <c:v>45691</c:v>
                </c:pt>
                <c:pt idx="824">
                  <c:v>45692</c:v>
                </c:pt>
                <c:pt idx="825">
                  <c:v>45693</c:v>
                </c:pt>
                <c:pt idx="826">
                  <c:v>45694</c:v>
                </c:pt>
                <c:pt idx="827">
                  <c:v>45695</c:v>
                </c:pt>
                <c:pt idx="828">
                  <c:v>45698</c:v>
                </c:pt>
                <c:pt idx="829">
                  <c:v>45699</c:v>
                </c:pt>
                <c:pt idx="830">
                  <c:v>45700</c:v>
                </c:pt>
                <c:pt idx="831">
                  <c:v>45701</c:v>
                </c:pt>
                <c:pt idx="832">
                  <c:v>45702</c:v>
                </c:pt>
                <c:pt idx="833">
                  <c:v>45705</c:v>
                </c:pt>
                <c:pt idx="834">
                  <c:v>45706</c:v>
                </c:pt>
                <c:pt idx="835">
                  <c:v>45707</c:v>
                </c:pt>
                <c:pt idx="836">
                  <c:v>45708</c:v>
                </c:pt>
                <c:pt idx="837">
                  <c:v>45709</c:v>
                </c:pt>
                <c:pt idx="838">
                  <c:v>45712</c:v>
                </c:pt>
                <c:pt idx="839">
                  <c:v>45713</c:v>
                </c:pt>
                <c:pt idx="840">
                  <c:v>45714</c:v>
                </c:pt>
                <c:pt idx="841">
                  <c:v>45715</c:v>
                </c:pt>
                <c:pt idx="842">
                  <c:v>45716</c:v>
                </c:pt>
                <c:pt idx="843">
                  <c:v>45721</c:v>
                </c:pt>
                <c:pt idx="844">
                  <c:v>45722</c:v>
                </c:pt>
                <c:pt idx="845">
                  <c:v>45723</c:v>
                </c:pt>
                <c:pt idx="846">
                  <c:v>45726</c:v>
                </c:pt>
                <c:pt idx="847">
                  <c:v>45727</c:v>
                </c:pt>
                <c:pt idx="848">
                  <c:v>45728</c:v>
                </c:pt>
                <c:pt idx="849">
                  <c:v>45729</c:v>
                </c:pt>
                <c:pt idx="850">
                  <c:v>45730</c:v>
                </c:pt>
                <c:pt idx="851">
                  <c:v>45733</c:v>
                </c:pt>
                <c:pt idx="852">
                  <c:v>45734</c:v>
                </c:pt>
                <c:pt idx="853">
                  <c:v>45735</c:v>
                </c:pt>
                <c:pt idx="854">
                  <c:v>45736</c:v>
                </c:pt>
                <c:pt idx="855">
                  <c:v>45737</c:v>
                </c:pt>
                <c:pt idx="856">
                  <c:v>45740</c:v>
                </c:pt>
                <c:pt idx="857">
                  <c:v>45741</c:v>
                </c:pt>
                <c:pt idx="858">
                  <c:v>45742</c:v>
                </c:pt>
                <c:pt idx="859">
                  <c:v>45743</c:v>
                </c:pt>
                <c:pt idx="860">
                  <c:v>45744</c:v>
                </c:pt>
                <c:pt idx="861">
                  <c:v>45747</c:v>
                </c:pt>
                <c:pt idx="862">
                  <c:v>45748</c:v>
                </c:pt>
                <c:pt idx="863">
                  <c:v>45749</c:v>
                </c:pt>
                <c:pt idx="864">
                  <c:v>45750</c:v>
                </c:pt>
                <c:pt idx="865">
                  <c:v>45751</c:v>
                </c:pt>
                <c:pt idx="866">
                  <c:v>45754</c:v>
                </c:pt>
                <c:pt idx="867">
                  <c:v>45755</c:v>
                </c:pt>
                <c:pt idx="868">
                  <c:v>45756</c:v>
                </c:pt>
                <c:pt idx="869">
                  <c:v>45757</c:v>
                </c:pt>
                <c:pt idx="870">
                  <c:v>45758</c:v>
                </c:pt>
                <c:pt idx="871">
                  <c:v>45761</c:v>
                </c:pt>
                <c:pt idx="872">
                  <c:v>45762</c:v>
                </c:pt>
                <c:pt idx="873">
                  <c:v>45763</c:v>
                </c:pt>
                <c:pt idx="874">
                  <c:v>45764</c:v>
                </c:pt>
                <c:pt idx="875">
                  <c:v>45769</c:v>
                </c:pt>
                <c:pt idx="876">
                  <c:v>45770</c:v>
                </c:pt>
                <c:pt idx="877">
                  <c:v>45771</c:v>
                </c:pt>
                <c:pt idx="878">
                  <c:v>45772</c:v>
                </c:pt>
                <c:pt idx="879">
                  <c:v>45775</c:v>
                </c:pt>
                <c:pt idx="880">
                  <c:v>45776</c:v>
                </c:pt>
                <c:pt idx="881">
                  <c:v>45777</c:v>
                </c:pt>
                <c:pt idx="882">
                  <c:v>45779</c:v>
                </c:pt>
                <c:pt idx="883">
                  <c:v>45782</c:v>
                </c:pt>
                <c:pt idx="884">
                  <c:v>45783</c:v>
                </c:pt>
                <c:pt idx="885">
                  <c:v>45784</c:v>
                </c:pt>
                <c:pt idx="886">
                  <c:v>45785</c:v>
                </c:pt>
                <c:pt idx="887">
                  <c:v>45786</c:v>
                </c:pt>
                <c:pt idx="888">
                  <c:v>45789</c:v>
                </c:pt>
                <c:pt idx="889">
                  <c:v>45790</c:v>
                </c:pt>
                <c:pt idx="890">
                  <c:v>45791</c:v>
                </c:pt>
                <c:pt idx="891">
                  <c:v>45792</c:v>
                </c:pt>
                <c:pt idx="892">
                  <c:v>45793</c:v>
                </c:pt>
                <c:pt idx="893">
                  <c:v>45796</c:v>
                </c:pt>
                <c:pt idx="894">
                  <c:v>45797</c:v>
                </c:pt>
                <c:pt idx="895">
                  <c:v>45798</c:v>
                </c:pt>
                <c:pt idx="896">
                  <c:v>45799</c:v>
                </c:pt>
                <c:pt idx="897">
                  <c:v>45800</c:v>
                </c:pt>
                <c:pt idx="898">
                  <c:v>45803</c:v>
                </c:pt>
                <c:pt idx="899">
                  <c:v>45804</c:v>
                </c:pt>
                <c:pt idx="900">
                  <c:v>45805</c:v>
                </c:pt>
                <c:pt idx="901">
                  <c:v>45806</c:v>
                </c:pt>
                <c:pt idx="902">
                  <c:v>45807</c:v>
                </c:pt>
                <c:pt idx="903">
                  <c:v>45810</c:v>
                </c:pt>
                <c:pt idx="904">
                  <c:v>45811</c:v>
                </c:pt>
                <c:pt idx="905">
                  <c:v>45812</c:v>
                </c:pt>
                <c:pt idx="906">
                  <c:v>45813</c:v>
                </c:pt>
                <c:pt idx="907">
                  <c:v>45814</c:v>
                </c:pt>
                <c:pt idx="908">
                  <c:v>45817</c:v>
                </c:pt>
                <c:pt idx="909">
                  <c:v>45818</c:v>
                </c:pt>
                <c:pt idx="910">
                  <c:v>45819</c:v>
                </c:pt>
                <c:pt idx="911">
                  <c:v>45820</c:v>
                </c:pt>
                <c:pt idx="912">
                  <c:v>45821</c:v>
                </c:pt>
                <c:pt idx="913">
                  <c:v>45824</c:v>
                </c:pt>
                <c:pt idx="914">
                  <c:v>45825</c:v>
                </c:pt>
                <c:pt idx="915">
                  <c:v>45826</c:v>
                </c:pt>
                <c:pt idx="916">
                  <c:v>45828</c:v>
                </c:pt>
                <c:pt idx="917">
                  <c:v>45831</c:v>
                </c:pt>
                <c:pt idx="918">
                  <c:v>45832</c:v>
                </c:pt>
                <c:pt idx="919">
                  <c:v>45833</c:v>
                </c:pt>
                <c:pt idx="920">
                  <c:v>45834</c:v>
                </c:pt>
                <c:pt idx="921">
                  <c:v>45835</c:v>
                </c:pt>
                <c:pt idx="922">
                  <c:v>45838</c:v>
                </c:pt>
                <c:pt idx="923">
                  <c:v>45839</c:v>
                </c:pt>
                <c:pt idx="924">
                  <c:v>45840</c:v>
                </c:pt>
                <c:pt idx="925">
                  <c:v>45841</c:v>
                </c:pt>
                <c:pt idx="926">
                  <c:v>45842</c:v>
                </c:pt>
                <c:pt idx="927">
                  <c:v>45845</c:v>
                </c:pt>
                <c:pt idx="928">
                  <c:v>45846</c:v>
                </c:pt>
                <c:pt idx="929">
                  <c:v>45847</c:v>
                </c:pt>
                <c:pt idx="930">
                  <c:v>45848</c:v>
                </c:pt>
                <c:pt idx="931">
                  <c:v>45849</c:v>
                </c:pt>
                <c:pt idx="932">
                  <c:v>45852</c:v>
                </c:pt>
                <c:pt idx="933">
                  <c:v>45853</c:v>
                </c:pt>
                <c:pt idx="934">
                  <c:v>45854</c:v>
                </c:pt>
                <c:pt idx="935">
                  <c:v>45855</c:v>
                </c:pt>
                <c:pt idx="936">
                  <c:v>45856</c:v>
                </c:pt>
                <c:pt idx="937">
                  <c:v>45859</c:v>
                </c:pt>
                <c:pt idx="938">
                  <c:v>45860</c:v>
                </c:pt>
                <c:pt idx="939">
                  <c:v>45861</c:v>
                </c:pt>
                <c:pt idx="940">
                  <c:v>45862</c:v>
                </c:pt>
                <c:pt idx="941">
                  <c:v>45863</c:v>
                </c:pt>
                <c:pt idx="942">
                  <c:v>45866</c:v>
                </c:pt>
                <c:pt idx="943">
                  <c:v>45867</c:v>
                </c:pt>
                <c:pt idx="944">
                  <c:v>45868</c:v>
                </c:pt>
                <c:pt idx="945">
                  <c:v>45869</c:v>
                </c:pt>
                <c:pt idx="946">
                  <c:v>45870</c:v>
                </c:pt>
                <c:pt idx="947">
                  <c:v>45873</c:v>
                </c:pt>
                <c:pt idx="948">
                  <c:v>45874</c:v>
                </c:pt>
                <c:pt idx="949">
                  <c:v>45875</c:v>
                </c:pt>
                <c:pt idx="950">
                  <c:v>45876</c:v>
                </c:pt>
                <c:pt idx="951">
                  <c:v>45877</c:v>
                </c:pt>
                <c:pt idx="952">
                  <c:v>45880</c:v>
                </c:pt>
                <c:pt idx="953">
                  <c:v>45881</c:v>
                </c:pt>
                <c:pt idx="954">
                  <c:v>45882</c:v>
                </c:pt>
                <c:pt idx="955">
                  <c:v>45883</c:v>
                </c:pt>
                <c:pt idx="956">
                  <c:v>45884</c:v>
                </c:pt>
                <c:pt idx="957">
                  <c:v>45887</c:v>
                </c:pt>
                <c:pt idx="958">
                  <c:v>45888</c:v>
                </c:pt>
                <c:pt idx="959">
                  <c:v>45889</c:v>
                </c:pt>
                <c:pt idx="960">
                  <c:v>45890</c:v>
                </c:pt>
                <c:pt idx="961">
                  <c:v>45891</c:v>
                </c:pt>
                <c:pt idx="962">
                  <c:v>45894</c:v>
                </c:pt>
                <c:pt idx="963">
                  <c:v>45895</c:v>
                </c:pt>
                <c:pt idx="964">
                  <c:v>45896</c:v>
                </c:pt>
                <c:pt idx="965">
                  <c:v>45897</c:v>
                </c:pt>
                <c:pt idx="966">
                  <c:v>45898</c:v>
                </c:pt>
                <c:pt idx="967">
                  <c:v>45901</c:v>
                </c:pt>
                <c:pt idx="968">
                  <c:v>45902</c:v>
                </c:pt>
                <c:pt idx="969">
                  <c:v>45903</c:v>
                </c:pt>
                <c:pt idx="970">
                  <c:v>45904</c:v>
                </c:pt>
                <c:pt idx="971">
                  <c:v>45905</c:v>
                </c:pt>
                <c:pt idx="972">
                  <c:v>45908</c:v>
                </c:pt>
                <c:pt idx="973">
                  <c:v>45909</c:v>
                </c:pt>
                <c:pt idx="974">
                  <c:v>45910</c:v>
                </c:pt>
                <c:pt idx="975">
                  <c:v>45911</c:v>
                </c:pt>
                <c:pt idx="976">
                  <c:v>45912</c:v>
                </c:pt>
                <c:pt idx="977">
                  <c:v>45915</c:v>
                </c:pt>
                <c:pt idx="978">
                  <c:v>45916</c:v>
                </c:pt>
                <c:pt idx="979">
                  <c:v>45917</c:v>
                </c:pt>
                <c:pt idx="980">
                  <c:v>45918</c:v>
                </c:pt>
                <c:pt idx="981">
                  <c:v>45919</c:v>
                </c:pt>
                <c:pt idx="982">
                  <c:v>45922</c:v>
                </c:pt>
                <c:pt idx="983">
                  <c:v>45923</c:v>
                </c:pt>
                <c:pt idx="984">
                  <c:v>45924</c:v>
                </c:pt>
                <c:pt idx="985">
                  <c:v>45925</c:v>
                </c:pt>
                <c:pt idx="986">
                  <c:v>45926</c:v>
                </c:pt>
                <c:pt idx="987">
                  <c:v>45929</c:v>
                </c:pt>
                <c:pt idx="988">
                  <c:v>45930</c:v>
                </c:pt>
                <c:pt idx="989">
                  <c:v>45931</c:v>
                </c:pt>
                <c:pt idx="990">
                  <c:v>45932</c:v>
                </c:pt>
                <c:pt idx="991">
                  <c:v>45933</c:v>
                </c:pt>
                <c:pt idx="992">
                  <c:v>45936</c:v>
                </c:pt>
                <c:pt idx="993">
                  <c:v>45937</c:v>
                </c:pt>
                <c:pt idx="994">
                  <c:v>45938</c:v>
                </c:pt>
                <c:pt idx="995">
                  <c:v>45939</c:v>
                </c:pt>
                <c:pt idx="996">
                  <c:v>45940</c:v>
                </c:pt>
                <c:pt idx="997">
                  <c:v>45943</c:v>
                </c:pt>
                <c:pt idx="998">
                  <c:v>45944</c:v>
                </c:pt>
                <c:pt idx="999">
                  <c:v>45945</c:v>
                </c:pt>
                <c:pt idx="1000">
                  <c:v>45946</c:v>
                </c:pt>
                <c:pt idx="1001">
                  <c:v>45947</c:v>
                </c:pt>
                <c:pt idx="1002">
                  <c:v>45950</c:v>
                </c:pt>
                <c:pt idx="1003">
                  <c:v>45951</c:v>
                </c:pt>
                <c:pt idx="1004">
                  <c:v>45952</c:v>
                </c:pt>
                <c:pt idx="1005">
                  <c:v>45953</c:v>
                </c:pt>
                <c:pt idx="1006">
                  <c:v>45954</c:v>
                </c:pt>
                <c:pt idx="1007">
                  <c:v>45957</c:v>
                </c:pt>
                <c:pt idx="1008">
                  <c:v>45958</c:v>
                </c:pt>
                <c:pt idx="1009">
                  <c:v>45959</c:v>
                </c:pt>
                <c:pt idx="1010">
                  <c:v>45960</c:v>
                </c:pt>
                <c:pt idx="1011">
                  <c:v>45961</c:v>
                </c:pt>
                <c:pt idx="1012">
                  <c:v>45964</c:v>
                </c:pt>
                <c:pt idx="1013">
                  <c:v>45965</c:v>
                </c:pt>
                <c:pt idx="1014">
                  <c:v>45966</c:v>
                </c:pt>
                <c:pt idx="1015">
                  <c:v>45967</c:v>
                </c:pt>
                <c:pt idx="1016">
                  <c:v>45968</c:v>
                </c:pt>
                <c:pt idx="1017">
                  <c:v>45971</c:v>
                </c:pt>
                <c:pt idx="1018">
                  <c:v>45972</c:v>
                </c:pt>
                <c:pt idx="1019">
                  <c:v>45973</c:v>
                </c:pt>
                <c:pt idx="1020">
                  <c:v>45974</c:v>
                </c:pt>
                <c:pt idx="1021">
                  <c:v>45975</c:v>
                </c:pt>
                <c:pt idx="1022">
                  <c:v>45978</c:v>
                </c:pt>
                <c:pt idx="1023">
                  <c:v>45979</c:v>
                </c:pt>
                <c:pt idx="1024">
                  <c:v>45980</c:v>
                </c:pt>
                <c:pt idx="1025">
                  <c:v>45982</c:v>
                </c:pt>
                <c:pt idx="1026">
                  <c:v>45985</c:v>
                </c:pt>
                <c:pt idx="1027">
                  <c:v>45986</c:v>
                </c:pt>
                <c:pt idx="1028">
                  <c:v>45987</c:v>
                </c:pt>
                <c:pt idx="1029">
                  <c:v>45988</c:v>
                </c:pt>
                <c:pt idx="1030">
                  <c:v>45989</c:v>
                </c:pt>
                <c:pt idx="1031">
                  <c:v>45992</c:v>
                </c:pt>
                <c:pt idx="1032">
                  <c:v>45993</c:v>
                </c:pt>
                <c:pt idx="1033">
                  <c:v>45994</c:v>
                </c:pt>
                <c:pt idx="1034">
                  <c:v>45995</c:v>
                </c:pt>
                <c:pt idx="1035">
                  <c:v>45996</c:v>
                </c:pt>
                <c:pt idx="1036">
                  <c:v>45999</c:v>
                </c:pt>
                <c:pt idx="1037">
                  <c:v>46000</c:v>
                </c:pt>
                <c:pt idx="1038">
                  <c:v>46001</c:v>
                </c:pt>
                <c:pt idx="1039">
                  <c:v>46002</c:v>
                </c:pt>
                <c:pt idx="1040">
                  <c:v>46003</c:v>
                </c:pt>
                <c:pt idx="1041">
                  <c:v>46006</c:v>
                </c:pt>
                <c:pt idx="1042">
                  <c:v>46007</c:v>
                </c:pt>
                <c:pt idx="1043">
                  <c:v>46008</c:v>
                </c:pt>
                <c:pt idx="1044">
                  <c:v>46009</c:v>
                </c:pt>
                <c:pt idx="1045">
                  <c:v>46010</c:v>
                </c:pt>
                <c:pt idx="1046">
                  <c:v>46013</c:v>
                </c:pt>
                <c:pt idx="1047">
                  <c:v>46014</c:v>
                </c:pt>
                <c:pt idx="1048">
                  <c:v>46017</c:v>
                </c:pt>
                <c:pt idx="1049">
                  <c:v>46020</c:v>
                </c:pt>
                <c:pt idx="1050">
                  <c:v>46021</c:v>
                </c:pt>
                <c:pt idx="1051">
                  <c:v>46024</c:v>
                </c:pt>
                <c:pt idx="1052">
                  <c:v>46027</c:v>
                </c:pt>
                <c:pt idx="1053">
                  <c:v>46028</c:v>
                </c:pt>
                <c:pt idx="1054">
                  <c:v>46029</c:v>
                </c:pt>
                <c:pt idx="1055">
                  <c:v>46030</c:v>
                </c:pt>
                <c:pt idx="1056">
                  <c:v>46031</c:v>
                </c:pt>
                <c:pt idx="1057">
                  <c:v>46034</c:v>
                </c:pt>
                <c:pt idx="1058">
                  <c:v>46035</c:v>
                </c:pt>
                <c:pt idx="1059">
                  <c:v>46036</c:v>
                </c:pt>
                <c:pt idx="1060">
                  <c:v>46037</c:v>
                </c:pt>
                <c:pt idx="1061">
                  <c:v>46038</c:v>
                </c:pt>
                <c:pt idx="1062">
                  <c:v>46041</c:v>
                </c:pt>
                <c:pt idx="1063">
                  <c:v>46042</c:v>
                </c:pt>
                <c:pt idx="1064">
                  <c:v>46043</c:v>
                </c:pt>
                <c:pt idx="1065">
                  <c:v>46044</c:v>
                </c:pt>
                <c:pt idx="1066">
                  <c:v>46045</c:v>
                </c:pt>
                <c:pt idx="1067">
                  <c:v>46048</c:v>
                </c:pt>
                <c:pt idx="1068">
                  <c:v>46049</c:v>
                </c:pt>
                <c:pt idx="1069">
                  <c:v>46050</c:v>
                </c:pt>
                <c:pt idx="1070">
                  <c:v>46051</c:v>
                </c:pt>
                <c:pt idx="1071">
                  <c:v>46052</c:v>
                </c:pt>
                <c:pt idx="1072">
                  <c:v>46055</c:v>
                </c:pt>
                <c:pt idx="1073">
                  <c:v>46056</c:v>
                </c:pt>
                <c:pt idx="1074">
                  <c:v>46057</c:v>
                </c:pt>
                <c:pt idx="1075">
                  <c:v>46058</c:v>
                </c:pt>
                <c:pt idx="1076">
                  <c:v>46059</c:v>
                </c:pt>
                <c:pt idx="1077">
                  <c:v>46062</c:v>
                </c:pt>
                <c:pt idx="1078">
                  <c:v>46063</c:v>
                </c:pt>
                <c:pt idx="1079">
                  <c:v>46064</c:v>
                </c:pt>
                <c:pt idx="1080">
                  <c:v>46065</c:v>
                </c:pt>
                <c:pt idx="1081">
                  <c:v>46066</c:v>
                </c:pt>
                <c:pt idx="1082">
                  <c:v>46071</c:v>
                </c:pt>
                <c:pt idx="1083">
                  <c:v>46072</c:v>
                </c:pt>
                <c:pt idx="1084">
                  <c:v>46073</c:v>
                </c:pt>
                <c:pt idx="1085">
                  <c:v>46076</c:v>
                </c:pt>
                <c:pt idx="1086">
                  <c:v>46077</c:v>
                </c:pt>
                <c:pt idx="1087">
                  <c:v>46078</c:v>
                </c:pt>
                <c:pt idx="1088">
                  <c:v>46079</c:v>
                </c:pt>
                <c:pt idx="1089">
                  <c:v>46080</c:v>
                </c:pt>
                <c:pt idx="1090">
                  <c:v>46083</c:v>
                </c:pt>
                <c:pt idx="1091">
                  <c:v>46084</c:v>
                </c:pt>
                <c:pt idx="1092">
                  <c:v>46085</c:v>
                </c:pt>
                <c:pt idx="1093">
                  <c:v>46086</c:v>
                </c:pt>
                <c:pt idx="1094">
                  <c:v>46087</c:v>
                </c:pt>
                <c:pt idx="1095">
                  <c:v>46090</c:v>
                </c:pt>
                <c:pt idx="1096">
                  <c:v>46091</c:v>
                </c:pt>
                <c:pt idx="1097">
                  <c:v>46092</c:v>
                </c:pt>
                <c:pt idx="1098">
                  <c:v>46093</c:v>
                </c:pt>
                <c:pt idx="1099">
                  <c:v>46094</c:v>
                </c:pt>
                <c:pt idx="1100">
                  <c:v>46097</c:v>
                </c:pt>
                <c:pt idx="1101">
                  <c:v>46098</c:v>
                </c:pt>
                <c:pt idx="1102">
                  <c:v>46099</c:v>
                </c:pt>
                <c:pt idx="1103">
                  <c:v>46100</c:v>
                </c:pt>
                <c:pt idx="1104">
                  <c:v>46101</c:v>
                </c:pt>
                <c:pt idx="1105">
                  <c:v>46104</c:v>
                </c:pt>
                <c:pt idx="1106">
                  <c:v>46105</c:v>
                </c:pt>
                <c:pt idx="1107">
                  <c:v>46106</c:v>
                </c:pt>
                <c:pt idx="1108">
                  <c:v>46107</c:v>
                </c:pt>
                <c:pt idx="1109">
                  <c:v>46108</c:v>
                </c:pt>
                <c:pt idx="1110">
                  <c:v>46111</c:v>
                </c:pt>
                <c:pt idx="1111">
                  <c:v>46112</c:v>
                </c:pt>
                <c:pt idx="1112">
                  <c:v>46113</c:v>
                </c:pt>
                <c:pt idx="1113">
                  <c:v>46114</c:v>
                </c:pt>
                <c:pt idx="1114">
                  <c:v>46118</c:v>
                </c:pt>
                <c:pt idx="1115">
                  <c:v>46119</c:v>
                </c:pt>
                <c:pt idx="1116">
                  <c:v>46120</c:v>
                </c:pt>
                <c:pt idx="1117">
                  <c:v>46121</c:v>
                </c:pt>
                <c:pt idx="1118">
                  <c:v>46122</c:v>
                </c:pt>
                <c:pt idx="1119">
                  <c:v>46125</c:v>
                </c:pt>
                <c:pt idx="1120">
                  <c:v>46126</c:v>
                </c:pt>
                <c:pt idx="1121">
                  <c:v>46127</c:v>
                </c:pt>
                <c:pt idx="1122">
                  <c:v>46128</c:v>
                </c:pt>
                <c:pt idx="1123">
                  <c:v>46129</c:v>
                </c:pt>
                <c:pt idx="1124">
                  <c:v>46132</c:v>
                </c:pt>
                <c:pt idx="1125">
                  <c:v>46134</c:v>
                </c:pt>
                <c:pt idx="1126">
                  <c:v>46135</c:v>
                </c:pt>
                <c:pt idx="1127">
                  <c:v>46136</c:v>
                </c:pt>
                <c:pt idx="1128">
                  <c:v>46139</c:v>
                </c:pt>
                <c:pt idx="1129">
                  <c:v>46140</c:v>
                </c:pt>
                <c:pt idx="1130">
                  <c:v>46141</c:v>
                </c:pt>
                <c:pt idx="1131">
                  <c:v>46142</c:v>
                </c:pt>
                <c:pt idx="1132">
                  <c:v>46146</c:v>
                </c:pt>
                <c:pt idx="1133">
                  <c:v>46147</c:v>
                </c:pt>
                <c:pt idx="1134">
                  <c:v>46148</c:v>
                </c:pt>
                <c:pt idx="1135">
                  <c:v>46149</c:v>
                </c:pt>
                <c:pt idx="1136">
                  <c:v>46150</c:v>
                </c:pt>
                <c:pt idx="1137">
                  <c:v>46153</c:v>
                </c:pt>
                <c:pt idx="1138">
                  <c:v>46154</c:v>
                </c:pt>
                <c:pt idx="1139">
                  <c:v>46155</c:v>
                </c:pt>
                <c:pt idx="1140">
                  <c:v>46156</c:v>
                </c:pt>
                <c:pt idx="1141">
                  <c:v>46157</c:v>
                </c:pt>
                <c:pt idx="1142">
                  <c:v>46160</c:v>
                </c:pt>
                <c:pt idx="1143">
                  <c:v>46161</c:v>
                </c:pt>
                <c:pt idx="1144">
                  <c:v>46162</c:v>
                </c:pt>
                <c:pt idx="1145">
                  <c:v>46163</c:v>
                </c:pt>
                <c:pt idx="1146">
                  <c:v>46164</c:v>
                </c:pt>
                <c:pt idx="1147">
                  <c:v>46167</c:v>
                </c:pt>
                <c:pt idx="1148">
                  <c:v>46168</c:v>
                </c:pt>
                <c:pt idx="1149">
                  <c:v>46169</c:v>
                </c:pt>
                <c:pt idx="1150">
                  <c:v>46170</c:v>
                </c:pt>
                <c:pt idx="1151">
                  <c:v>46171</c:v>
                </c:pt>
                <c:pt idx="1152">
                  <c:v>46174</c:v>
                </c:pt>
                <c:pt idx="1153">
                  <c:v>46175</c:v>
                </c:pt>
                <c:pt idx="1154">
                  <c:v>46176</c:v>
                </c:pt>
                <c:pt idx="1155">
                  <c:v>46178</c:v>
                </c:pt>
                <c:pt idx="1156">
                  <c:v>46181</c:v>
                </c:pt>
                <c:pt idx="1157">
                  <c:v>46182</c:v>
                </c:pt>
                <c:pt idx="1158">
                  <c:v>46183</c:v>
                </c:pt>
                <c:pt idx="1159">
                  <c:v>46184</c:v>
                </c:pt>
                <c:pt idx="1160">
                  <c:v>46185</c:v>
                </c:pt>
                <c:pt idx="1161">
                  <c:v>46188</c:v>
                </c:pt>
                <c:pt idx="1162">
                  <c:v>46189</c:v>
                </c:pt>
                <c:pt idx="1163">
                  <c:v>46190</c:v>
                </c:pt>
                <c:pt idx="1164">
                  <c:v>46191</c:v>
                </c:pt>
                <c:pt idx="1165">
                  <c:v>46192</c:v>
                </c:pt>
                <c:pt idx="1166">
                  <c:v>46195</c:v>
                </c:pt>
                <c:pt idx="1167">
                  <c:v>46196</c:v>
                </c:pt>
                <c:pt idx="1168">
                  <c:v>46197</c:v>
                </c:pt>
                <c:pt idx="1169">
                  <c:v>46198</c:v>
                </c:pt>
                <c:pt idx="1170">
                  <c:v>46199</c:v>
                </c:pt>
                <c:pt idx="1171">
                  <c:v>46202</c:v>
                </c:pt>
                <c:pt idx="1172">
                  <c:v>46203</c:v>
                </c:pt>
                <c:pt idx="1173">
                  <c:v>46204</c:v>
                </c:pt>
                <c:pt idx="1174">
                  <c:v>46205</c:v>
                </c:pt>
                <c:pt idx="1175">
                  <c:v>46206</c:v>
                </c:pt>
                <c:pt idx="1176">
                  <c:v>46209</c:v>
                </c:pt>
                <c:pt idx="1177">
                  <c:v>46210</c:v>
                </c:pt>
                <c:pt idx="1178">
                  <c:v>46211</c:v>
                </c:pt>
                <c:pt idx="1179">
                  <c:v>46212</c:v>
                </c:pt>
                <c:pt idx="1180">
                  <c:v>46213</c:v>
                </c:pt>
                <c:pt idx="1181">
                  <c:v>46216</c:v>
                </c:pt>
                <c:pt idx="1182">
                  <c:v>46217</c:v>
                </c:pt>
                <c:pt idx="1183">
                  <c:v>46218</c:v>
                </c:pt>
                <c:pt idx="1184">
                  <c:v>46219</c:v>
                </c:pt>
                <c:pt idx="1185">
                  <c:v>46220</c:v>
                </c:pt>
                <c:pt idx="1186">
                  <c:v>46223</c:v>
                </c:pt>
                <c:pt idx="1187">
                  <c:v>46224</c:v>
                </c:pt>
                <c:pt idx="1188">
                  <c:v>46225</c:v>
                </c:pt>
                <c:pt idx="1189">
                  <c:v>46226</c:v>
                </c:pt>
                <c:pt idx="1190">
                  <c:v>46227</c:v>
                </c:pt>
                <c:pt idx="1191">
                  <c:v>46230</c:v>
                </c:pt>
                <c:pt idx="1192">
                  <c:v>46231</c:v>
                </c:pt>
                <c:pt idx="1193">
                  <c:v>46232</c:v>
                </c:pt>
                <c:pt idx="1194">
                  <c:v>46233</c:v>
                </c:pt>
                <c:pt idx="1195">
                  <c:v>46234</c:v>
                </c:pt>
                <c:pt idx="1196">
                  <c:v>46237</c:v>
                </c:pt>
                <c:pt idx="1197">
                  <c:v>46238</c:v>
                </c:pt>
                <c:pt idx="1198">
                  <c:v>46239</c:v>
                </c:pt>
                <c:pt idx="1199">
                  <c:v>46240</c:v>
                </c:pt>
                <c:pt idx="1200">
                  <c:v>46241</c:v>
                </c:pt>
                <c:pt idx="1201">
                  <c:v>46244</c:v>
                </c:pt>
                <c:pt idx="1202">
                  <c:v>46245</c:v>
                </c:pt>
                <c:pt idx="1203">
                  <c:v>46246</c:v>
                </c:pt>
                <c:pt idx="1204">
                  <c:v>46247</c:v>
                </c:pt>
                <c:pt idx="1205">
                  <c:v>46248</c:v>
                </c:pt>
                <c:pt idx="1206">
                  <c:v>46251</c:v>
                </c:pt>
                <c:pt idx="1207">
                  <c:v>46252</c:v>
                </c:pt>
                <c:pt idx="1208">
                  <c:v>46253</c:v>
                </c:pt>
                <c:pt idx="1209">
                  <c:v>46254</c:v>
                </c:pt>
                <c:pt idx="1210">
                  <c:v>46255</c:v>
                </c:pt>
                <c:pt idx="1211">
                  <c:v>46258</c:v>
                </c:pt>
                <c:pt idx="1212">
                  <c:v>46259</c:v>
                </c:pt>
                <c:pt idx="1213">
                  <c:v>46260</c:v>
                </c:pt>
                <c:pt idx="1214">
                  <c:v>46261</c:v>
                </c:pt>
                <c:pt idx="1215">
                  <c:v>46262</c:v>
                </c:pt>
                <c:pt idx="1216">
                  <c:v>46265</c:v>
                </c:pt>
              </c:numCache>
            </c:numRef>
          </c:cat>
          <c:val>
            <c:numRef>
              <c:f>Fig2_VolatilidadeMovel!$C$4:$C$1220</c:f>
              <c:numCache>
                <c:formatCode>0.00%</c:formatCode>
                <c:ptCount val="1217"/>
                <c:pt idx="0">
                  <c:v>0.25240158719771094</c:v>
                </c:pt>
                <c:pt idx="1">
                  <c:v>0.24391498338773066</c:v>
                </c:pt>
                <c:pt idx="2">
                  <c:v>0.26145682681870103</c:v>
                </c:pt>
                <c:pt idx="3">
                  <c:v>0.25996302343672206</c:v>
                </c:pt>
                <c:pt idx="4">
                  <c:v>0.24859659448025159</c:v>
                </c:pt>
                <c:pt idx="5">
                  <c:v>0.24428540985042319</c:v>
                </c:pt>
                <c:pt idx="6">
                  <c:v>0.25402806292262303</c:v>
                </c:pt>
                <c:pt idx="7">
                  <c:v>0.25288374824713888</c:v>
                </c:pt>
                <c:pt idx="8">
                  <c:v>0.25296632651159096</c:v>
                </c:pt>
                <c:pt idx="9">
                  <c:v>0.2523644466196287</c:v>
                </c:pt>
                <c:pt idx="10">
                  <c:v>0.25682254828678108</c:v>
                </c:pt>
                <c:pt idx="11">
                  <c:v>0.25932664416898615</c:v>
                </c:pt>
                <c:pt idx="12">
                  <c:v>0.25103936090173767</c:v>
                </c:pt>
                <c:pt idx="13">
                  <c:v>0.2540319654353419</c:v>
                </c:pt>
                <c:pt idx="14">
                  <c:v>0.25110022405981486</c:v>
                </c:pt>
                <c:pt idx="15">
                  <c:v>0.24531483093368039</c:v>
                </c:pt>
                <c:pt idx="16">
                  <c:v>0.24667648473432419</c:v>
                </c:pt>
                <c:pt idx="17">
                  <c:v>0.24696777620570581</c:v>
                </c:pt>
                <c:pt idx="18">
                  <c:v>0.23651161531497106</c:v>
                </c:pt>
                <c:pt idx="19">
                  <c:v>0.23676025415314711</c:v>
                </c:pt>
                <c:pt idx="20">
                  <c:v>0.24174408426394844</c:v>
                </c:pt>
                <c:pt idx="21">
                  <c:v>0.23708380615123442</c:v>
                </c:pt>
                <c:pt idx="22">
                  <c:v>0.22998413499262904</c:v>
                </c:pt>
                <c:pt idx="23">
                  <c:v>0.23112445994028183</c:v>
                </c:pt>
                <c:pt idx="24">
                  <c:v>0.23168007823404568</c:v>
                </c:pt>
                <c:pt idx="25">
                  <c:v>0.237094964368498</c:v>
                </c:pt>
                <c:pt idx="26">
                  <c:v>0.22978795926103543</c:v>
                </c:pt>
                <c:pt idx="27">
                  <c:v>0.23354021073779441</c:v>
                </c:pt>
                <c:pt idx="28">
                  <c:v>0.24820708754406773</c:v>
                </c:pt>
                <c:pt idx="29">
                  <c:v>0.24963499495667224</c:v>
                </c:pt>
                <c:pt idx="30">
                  <c:v>0.24538783304734502</c:v>
                </c:pt>
                <c:pt idx="31">
                  <c:v>0.24621393106784265</c:v>
                </c:pt>
                <c:pt idx="32">
                  <c:v>0.25671405391646251</c:v>
                </c:pt>
                <c:pt idx="33">
                  <c:v>0.25755387116589823</c:v>
                </c:pt>
                <c:pt idx="34">
                  <c:v>0.25065478902954352</c:v>
                </c:pt>
                <c:pt idx="35">
                  <c:v>0.2482034254115317</c:v>
                </c:pt>
                <c:pt idx="36">
                  <c:v>0.23969189721798606</c:v>
                </c:pt>
                <c:pt idx="37">
                  <c:v>0.23657849191632216</c:v>
                </c:pt>
                <c:pt idx="38">
                  <c:v>0.2398975795882991</c:v>
                </c:pt>
                <c:pt idx="39">
                  <c:v>0.2393724100406755</c:v>
                </c:pt>
                <c:pt idx="40">
                  <c:v>0.23136277424515492</c:v>
                </c:pt>
                <c:pt idx="41">
                  <c:v>0.22520064420620484</c:v>
                </c:pt>
                <c:pt idx="42">
                  <c:v>0.22630630661390067</c:v>
                </c:pt>
                <c:pt idx="43">
                  <c:v>0.2193266867142396</c:v>
                </c:pt>
                <c:pt idx="44">
                  <c:v>0.22483641456846862</c:v>
                </c:pt>
                <c:pt idx="45">
                  <c:v>0.22520682987060781</c:v>
                </c:pt>
                <c:pt idx="46">
                  <c:v>0.22435238753186595</c:v>
                </c:pt>
                <c:pt idx="47">
                  <c:v>0.22418381059010803</c:v>
                </c:pt>
                <c:pt idx="48">
                  <c:v>0.22024966926753448</c:v>
                </c:pt>
                <c:pt idx="49">
                  <c:v>0.21846722209470038</c:v>
                </c:pt>
                <c:pt idx="50">
                  <c:v>0.21288353396926152</c:v>
                </c:pt>
                <c:pt idx="51">
                  <c:v>0.20957260671964692</c:v>
                </c:pt>
                <c:pt idx="52">
                  <c:v>0.21065523095933944</c:v>
                </c:pt>
                <c:pt idx="53">
                  <c:v>0.21037913930929014</c:v>
                </c:pt>
                <c:pt idx="54">
                  <c:v>0.22083861079264666</c:v>
                </c:pt>
                <c:pt idx="55">
                  <c:v>0.21683724994452078</c:v>
                </c:pt>
                <c:pt idx="56">
                  <c:v>0.21811855025433813</c:v>
                </c:pt>
                <c:pt idx="57">
                  <c:v>0.21549164724474107</c:v>
                </c:pt>
                <c:pt idx="58">
                  <c:v>0.19798694031112071</c:v>
                </c:pt>
                <c:pt idx="59">
                  <c:v>0.20405470439176343</c:v>
                </c:pt>
                <c:pt idx="60">
                  <c:v>0.20212617940159139</c:v>
                </c:pt>
                <c:pt idx="61">
                  <c:v>0.20148200082702358</c:v>
                </c:pt>
                <c:pt idx="62">
                  <c:v>0.17466564377434138</c:v>
                </c:pt>
                <c:pt idx="63">
                  <c:v>0.17411019446150602</c:v>
                </c:pt>
                <c:pt idx="64">
                  <c:v>0.17098046518914597</c:v>
                </c:pt>
                <c:pt idx="65">
                  <c:v>0.1723773894991687</c:v>
                </c:pt>
                <c:pt idx="66">
                  <c:v>0.17192321117077566</c:v>
                </c:pt>
                <c:pt idx="67">
                  <c:v>0.16670088185146825</c:v>
                </c:pt>
                <c:pt idx="68">
                  <c:v>0.17272286809067097</c:v>
                </c:pt>
                <c:pt idx="69">
                  <c:v>0.17417760892079925</c:v>
                </c:pt>
                <c:pt idx="70">
                  <c:v>0.17550534629205819</c:v>
                </c:pt>
                <c:pt idx="71">
                  <c:v>0.17647216788143669</c:v>
                </c:pt>
                <c:pt idx="72">
                  <c:v>0.17526537738360334</c:v>
                </c:pt>
                <c:pt idx="73">
                  <c:v>0.17336656580352364</c:v>
                </c:pt>
                <c:pt idx="74">
                  <c:v>0.1652495322608597</c:v>
                </c:pt>
                <c:pt idx="75">
                  <c:v>0.16545360129707493</c:v>
                </c:pt>
                <c:pt idx="76">
                  <c:v>0.16514995664454515</c:v>
                </c:pt>
                <c:pt idx="77">
                  <c:v>0.16485269271926895</c:v>
                </c:pt>
                <c:pt idx="78">
                  <c:v>0.16439025081003986</c:v>
                </c:pt>
                <c:pt idx="79">
                  <c:v>0.16235633901431237</c:v>
                </c:pt>
                <c:pt idx="80">
                  <c:v>0.16055375453069962</c:v>
                </c:pt>
                <c:pt idx="81">
                  <c:v>0.16012583426678459</c:v>
                </c:pt>
                <c:pt idx="82">
                  <c:v>0.15650446192473555</c:v>
                </c:pt>
                <c:pt idx="83">
                  <c:v>0.15572468501445197</c:v>
                </c:pt>
                <c:pt idx="84">
                  <c:v>0.13124677615780245</c:v>
                </c:pt>
                <c:pt idx="85">
                  <c:v>0.14206353164715679</c:v>
                </c:pt>
                <c:pt idx="86">
                  <c:v>0.1427111676882297</c:v>
                </c:pt>
                <c:pt idx="87">
                  <c:v>0.14468958152514011</c:v>
                </c:pt>
                <c:pt idx="88">
                  <c:v>0.13960487242126449</c:v>
                </c:pt>
                <c:pt idx="89">
                  <c:v>0.13498035727726898</c:v>
                </c:pt>
                <c:pt idx="90">
                  <c:v>0.13562856281187943</c:v>
                </c:pt>
                <c:pt idx="91">
                  <c:v>0.13609904326298972</c:v>
                </c:pt>
                <c:pt idx="92">
                  <c:v>0.14190198228887066</c:v>
                </c:pt>
                <c:pt idx="93">
                  <c:v>0.14211961313061705</c:v>
                </c:pt>
                <c:pt idx="94">
                  <c:v>0.14097359755853739</c:v>
                </c:pt>
                <c:pt idx="95">
                  <c:v>0.15960842289419344</c:v>
                </c:pt>
                <c:pt idx="96">
                  <c:v>0.15996260285986363</c:v>
                </c:pt>
                <c:pt idx="97">
                  <c:v>0.17063513168836952</c:v>
                </c:pt>
                <c:pt idx="98">
                  <c:v>0.16112327567947776</c:v>
                </c:pt>
                <c:pt idx="99">
                  <c:v>0.16733581244579809</c:v>
                </c:pt>
                <c:pt idx="100">
                  <c:v>0.16993479951950183</c:v>
                </c:pt>
                <c:pt idx="101">
                  <c:v>0.17082428847157757</c:v>
                </c:pt>
                <c:pt idx="102">
                  <c:v>0.18069897434560009</c:v>
                </c:pt>
                <c:pt idx="103">
                  <c:v>0.18584928760362662</c:v>
                </c:pt>
                <c:pt idx="104">
                  <c:v>0.19075315946167204</c:v>
                </c:pt>
                <c:pt idx="105">
                  <c:v>0.1914155460551269</c:v>
                </c:pt>
                <c:pt idx="106">
                  <c:v>0.19265197640391757</c:v>
                </c:pt>
                <c:pt idx="107">
                  <c:v>0.19233555874440819</c:v>
                </c:pt>
                <c:pt idx="108">
                  <c:v>0.19541112584589954</c:v>
                </c:pt>
                <c:pt idx="109">
                  <c:v>0.19547530374076502</c:v>
                </c:pt>
                <c:pt idx="110">
                  <c:v>0.19506262665131469</c:v>
                </c:pt>
                <c:pt idx="111">
                  <c:v>0.19685756960949766</c:v>
                </c:pt>
                <c:pt idx="112">
                  <c:v>0.19683433431631198</c:v>
                </c:pt>
                <c:pt idx="113">
                  <c:v>0.1962263928689166</c:v>
                </c:pt>
                <c:pt idx="114">
                  <c:v>0.19902472142935682</c:v>
                </c:pt>
                <c:pt idx="115">
                  <c:v>0.19345564835127069</c:v>
                </c:pt>
                <c:pt idx="116">
                  <c:v>0.20268896435557121</c:v>
                </c:pt>
                <c:pt idx="117">
                  <c:v>0.20070269614036465</c:v>
                </c:pt>
                <c:pt idx="118">
                  <c:v>0.19937343715324554</c:v>
                </c:pt>
                <c:pt idx="119">
                  <c:v>0.1982195635415131</c:v>
                </c:pt>
                <c:pt idx="120">
                  <c:v>0.20144702117387603</c:v>
                </c:pt>
                <c:pt idx="121">
                  <c:v>0.19945352102142913</c:v>
                </c:pt>
                <c:pt idx="122">
                  <c:v>0.19346843309658449</c:v>
                </c:pt>
                <c:pt idx="123">
                  <c:v>0.19414914763828398</c:v>
                </c:pt>
                <c:pt idx="124">
                  <c:v>0.19371844382711967</c:v>
                </c:pt>
                <c:pt idx="125">
                  <c:v>0.17861046490892268</c:v>
                </c:pt>
                <c:pt idx="126">
                  <c:v>0.179379261815972</c:v>
                </c:pt>
                <c:pt idx="127">
                  <c:v>0.18581339019284276</c:v>
                </c:pt>
                <c:pt idx="128">
                  <c:v>0.18594681549679618</c:v>
                </c:pt>
                <c:pt idx="129">
                  <c:v>0.19057247213336367</c:v>
                </c:pt>
                <c:pt idx="130">
                  <c:v>0.18787342094956885</c:v>
                </c:pt>
                <c:pt idx="131">
                  <c:v>0.18664377692128287</c:v>
                </c:pt>
                <c:pt idx="132">
                  <c:v>0.18530191042101213</c:v>
                </c:pt>
                <c:pt idx="133">
                  <c:v>0.1791169989431825</c:v>
                </c:pt>
                <c:pt idx="134">
                  <c:v>0.16715380628883389</c:v>
                </c:pt>
                <c:pt idx="135">
                  <c:v>0.17428559923491754</c:v>
                </c:pt>
                <c:pt idx="136">
                  <c:v>0.18618608086748359</c:v>
                </c:pt>
                <c:pt idx="137">
                  <c:v>0.18564668808690474</c:v>
                </c:pt>
                <c:pt idx="138">
                  <c:v>0.18278136381673876</c:v>
                </c:pt>
                <c:pt idx="139">
                  <c:v>0.18246222826669262</c:v>
                </c:pt>
                <c:pt idx="140">
                  <c:v>0.1891165028628583</c:v>
                </c:pt>
                <c:pt idx="141">
                  <c:v>0.19027216050363271</c:v>
                </c:pt>
                <c:pt idx="142">
                  <c:v>0.19498876658920569</c:v>
                </c:pt>
                <c:pt idx="143">
                  <c:v>0.20045721079462428</c:v>
                </c:pt>
                <c:pt idx="144">
                  <c:v>0.19609150729719732</c:v>
                </c:pt>
                <c:pt idx="145">
                  <c:v>0.20435602423066987</c:v>
                </c:pt>
                <c:pt idx="146">
                  <c:v>0.20150863723237403</c:v>
                </c:pt>
                <c:pt idx="147">
                  <c:v>0.20749605033917237</c:v>
                </c:pt>
                <c:pt idx="148">
                  <c:v>0.21413093651143689</c:v>
                </c:pt>
                <c:pt idx="149">
                  <c:v>0.21444349707321028</c:v>
                </c:pt>
                <c:pt idx="150">
                  <c:v>0.21266354104547647</c:v>
                </c:pt>
                <c:pt idx="151">
                  <c:v>0.21568727368469906</c:v>
                </c:pt>
                <c:pt idx="152">
                  <c:v>0.21482424011783993</c:v>
                </c:pt>
                <c:pt idx="153">
                  <c:v>0.21545619583110431</c:v>
                </c:pt>
                <c:pt idx="154">
                  <c:v>0.21565532936353293</c:v>
                </c:pt>
                <c:pt idx="155">
                  <c:v>0.21531814987632186</c:v>
                </c:pt>
                <c:pt idx="156">
                  <c:v>0.21677210956189163</c:v>
                </c:pt>
                <c:pt idx="157">
                  <c:v>0.20233245975201808</c:v>
                </c:pt>
                <c:pt idx="158">
                  <c:v>0.2035164510564404</c:v>
                </c:pt>
                <c:pt idx="159">
                  <c:v>0.19213924239194133</c:v>
                </c:pt>
                <c:pt idx="160">
                  <c:v>0.19529577139384668</c:v>
                </c:pt>
                <c:pt idx="161">
                  <c:v>0.19735240962392425</c:v>
                </c:pt>
                <c:pt idx="162">
                  <c:v>0.19478458805224974</c:v>
                </c:pt>
                <c:pt idx="163">
                  <c:v>0.20777969036868227</c:v>
                </c:pt>
                <c:pt idx="164">
                  <c:v>0.20809065978843394</c:v>
                </c:pt>
                <c:pt idx="165">
                  <c:v>0.20251225335237527</c:v>
                </c:pt>
                <c:pt idx="166">
                  <c:v>0.20364612233857035</c:v>
                </c:pt>
                <c:pt idx="167">
                  <c:v>0.20373359311865907</c:v>
                </c:pt>
                <c:pt idx="168">
                  <c:v>0.19773642981143791</c:v>
                </c:pt>
                <c:pt idx="169">
                  <c:v>0.19774037132184358</c:v>
                </c:pt>
                <c:pt idx="170">
                  <c:v>0.19710428715569617</c:v>
                </c:pt>
                <c:pt idx="171">
                  <c:v>0.19394318597423688</c:v>
                </c:pt>
                <c:pt idx="172">
                  <c:v>0.20152146774038673</c:v>
                </c:pt>
                <c:pt idx="173">
                  <c:v>0.19701972733302983</c:v>
                </c:pt>
                <c:pt idx="174">
                  <c:v>0.1967521167294371</c:v>
                </c:pt>
                <c:pt idx="175">
                  <c:v>0.18838511028558555</c:v>
                </c:pt>
                <c:pt idx="176">
                  <c:v>0.18727114803291525</c:v>
                </c:pt>
                <c:pt idx="177">
                  <c:v>0.18072637818969386</c:v>
                </c:pt>
                <c:pt idx="178">
                  <c:v>0.17032650071530936</c:v>
                </c:pt>
                <c:pt idx="179">
                  <c:v>0.17110595720395677</c:v>
                </c:pt>
                <c:pt idx="180">
                  <c:v>0.18444362225288224</c:v>
                </c:pt>
                <c:pt idx="181">
                  <c:v>0.17897531596141558</c:v>
                </c:pt>
                <c:pt idx="182">
                  <c:v>0.1853293935142041</c:v>
                </c:pt>
                <c:pt idx="183">
                  <c:v>0.18550794142888713</c:v>
                </c:pt>
                <c:pt idx="184">
                  <c:v>0.18434029716884739</c:v>
                </c:pt>
                <c:pt idx="185">
                  <c:v>0.1881080313499032</c:v>
                </c:pt>
                <c:pt idx="186">
                  <c:v>0.18548227243956916</c:v>
                </c:pt>
                <c:pt idx="187">
                  <c:v>0.18614100055665897</c:v>
                </c:pt>
                <c:pt idx="188">
                  <c:v>0.19302554581253989</c:v>
                </c:pt>
                <c:pt idx="189">
                  <c:v>0.19325777437341626</c:v>
                </c:pt>
                <c:pt idx="190">
                  <c:v>0.1926085852864616</c:v>
                </c:pt>
                <c:pt idx="191">
                  <c:v>0.19084013004948328</c:v>
                </c:pt>
                <c:pt idx="192">
                  <c:v>0.19257054601225559</c:v>
                </c:pt>
                <c:pt idx="193">
                  <c:v>0.17647354729653891</c:v>
                </c:pt>
                <c:pt idx="194">
                  <c:v>0.18303956742073846</c:v>
                </c:pt>
                <c:pt idx="195">
                  <c:v>0.18486851345377114</c:v>
                </c:pt>
                <c:pt idx="196">
                  <c:v>0.16309486371313744</c:v>
                </c:pt>
                <c:pt idx="197">
                  <c:v>0.16577512663145941</c:v>
                </c:pt>
                <c:pt idx="198">
                  <c:v>0.16822463989340833</c:v>
                </c:pt>
                <c:pt idx="199">
                  <c:v>0.16818816580970822</c:v>
                </c:pt>
                <c:pt idx="200">
                  <c:v>0.16966453836894052</c:v>
                </c:pt>
                <c:pt idx="201">
                  <c:v>0.16957363467976333</c:v>
                </c:pt>
                <c:pt idx="202">
                  <c:v>0.16692819987992405</c:v>
                </c:pt>
                <c:pt idx="203">
                  <c:v>0.16646499945725682</c:v>
                </c:pt>
                <c:pt idx="204">
                  <c:v>0.16574379525893398</c:v>
                </c:pt>
                <c:pt idx="205">
                  <c:v>0.16204070251892536</c:v>
                </c:pt>
                <c:pt idx="206">
                  <c:v>0.17612884914022223</c:v>
                </c:pt>
                <c:pt idx="207">
                  <c:v>0.17467224185316885</c:v>
                </c:pt>
                <c:pt idx="208">
                  <c:v>0.17313212975927111</c:v>
                </c:pt>
                <c:pt idx="209">
                  <c:v>0.17335723546259074</c:v>
                </c:pt>
                <c:pt idx="210">
                  <c:v>0.16731647538308247</c:v>
                </c:pt>
                <c:pt idx="211">
                  <c:v>0.18047828252425804</c:v>
                </c:pt>
                <c:pt idx="212">
                  <c:v>0.16937910770757628</c:v>
                </c:pt>
                <c:pt idx="213">
                  <c:v>0.17615957875242247</c:v>
                </c:pt>
                <c:pt idx="214">
                  <c:v>0.17476428503176555</c:v>
                </c:pt>
                <c:pt idx="215">
                  <c:v>0.1607094238088865</c:v>
                </c:pt>
                <c:pt idx="216">
                  <c:v>0.16764728009993743</c:v>
                </c:pt>
                <c:pt idx="217">
                  <c:v>0.16819687144044718</c:v>
                </c:pt>
                <c:pt idx="218">
                  <c:v>0.1775685281338017</c:v>
                </c:pt>
                <c:pt idx="219">
                  <c:v>0.18079741782607531</c:v>
                </c:pt>
                <c:pt idx="220">
                  <c:v>0.180889605051791</c:v>
                </c:pt>
                <c:pt idx="221">
                  <c:v>0.18033954079849895</c:v>
                </c:pt>
                <c:pt idx="222">
                  <c:v>0.17968958684729441</c:v>
                </c:pt>
                <c:pt idx="223">
                  <c:v>0.19311535643663433</c:v>
                </c:pt>
                <c:pt idx="224">
                  <c:v>0.18894325260385053</c:v>
                </c:pt>
                <c:pt idx="225">
                  <c:v>0.19514060445928197</c:v>
                </c:pt>
                <c:pt idx="226">
                  <c:v>0.19601352335369113</c:v>
                </c:pt>
                <c:pt idx="227">
                  <c:v>0.20768547307294566</c:v>
                </c:pt>
                <c:pt idx="228">
                  <c:v>0.20659640456252962</c:v>
                </c:pt>
                <c:pt idx="229">
                  <c:v>0.20768852448874572</c:v>
                </c:pt>
                <c:pt idx="230">
                  <c:v>0.20149652278183924</c:v>
                </c:pt>
                <c:pt idx="231">
                  <c:v>0.2110310484514501</c:v>
                </c:pt>
                <c:pt idx="232">
                  <c:v>0.20580587910872272</c:v>
                </c:pt>
                <c:pt idx="233">
                  <c:v>0.20661148779043392</c:v>
                </c:pt>
                <c:pt idx="234">
                  <c:v>0.20948321686753532</c:v>
                </c:pt>
                <c:pt idx="235">
                  <c:v>0.21843332716107705</c:v>
                </c:pt>
                <c:pt idx="236">
                  <c:v>0.21401850144966711</c:v>
                </c:pt>
                <c:pt idx="237">
                  <c:v>0.21437410434460466</c:v>
                </c:pt>
                <c:pt idx="238">
                  <c:v>0.2138090893292359</c:v>
                </c:pt>
                <c:pt idx="239">
                  <c:v>0.21421455601973216</c:v>
                </c:pt>
                <c:pt idx="240">
                  <c:v>0.22482221825948737</c:v>
                </c:pt>
                <c:pt idx="241">
                  <c:v>0.26830777796148148</c:v>
                </c:pt>
                <c:pt idx="242">
                  <c:v>0.2665291947644774</c:v>
                </c:pt>
                <c:pt idx="243">
                  <c:v>0.26095088974243064</c:v>
                </c:pt>
                <c:pt idx="244">
                  <c:v>0.26098944822447279</c:v>
                </c:pt>
                <c:pt idx="245">
                  <c:v>0.26274257527889572</c:v>
                </c:pt>
                <c:pt idx="246">
                  <c:v>0.26076987369015375</c:v>
                </c:pt>
                <c:pt idx="247">
                  <c:v>0.26261148469045936</c:v>
                </c:pt>
                <c:pt idx="248">
                  <c:v>0.25775628840355702</c:v>
                </c:pt>
                <c:pt idx="249">
                  <c:v>0.26344518816986334</c:v>
                </c:pt>
                <c:pt idx="250">
                  <c:v>0.26533387685376736</c:v>
                </c:pt>
                <c:pt idx="251">
                  <c:v>0.2700393698723188</c:v>
                </c:pt>
                <c:pt idx="252">
                  <c:v>0.26836581734498127</c:v>
                </c:pt>
                <c:pt idx="253">
                  <c:v>0.25974812710407535</c:v>
                </c:pt>
                <c:pt idx="254">
                  <c:v>0.26681368258053334</c:v>
                </c:pt>
                <c:pt idx="255">
                  <c:v>0.2804648682996117</c:v>
                </c:pt>
                <c:pt idx="256">
                  <c:v>0.28169994028477158</c:v>
                </c:pt>
                <c:pt idx="257">
                  <c:v>0.27732107740397288</c:v>
                </c:pt>
                <c:pt idx="258">
                  <c:v>0.28096047672006175</c:v>
                </c:pt>
                <c:pt idx="259">
                  <c:v>0.28034601529791975</c:v>
                </c:pt>
                <c:pt idx="260">
                  <c:v>0.28137754037794449</c:v>
                </c:pt>
                <c:pt idx="261">
                  <c:v>0.27485693743103679</c:v>
                </c:pt>
                <c:pt idx="262">
                  <c:v>0.27453657960163858</c:v>
                </c:pt>
                <c:pt idx="263">
                  <c:v>0.27515465831145797</c:v>
                </c:pt>
                <c:pt idx="264">
                  <c:v>0.28012036078508179</c:v>
                </c:pt>
                <c:pt idx="265">
                  <c:v>0.27334558074171927</c:v>
                </c:pt>
                <c:pt idx="266">
                  <c:v>0.27248900906879892</c:v>
                </c:pt>
                <c:pt idx="267">
                  <c:v>0.29044425964229298</c:v>
                </c:pt>
                <c:pt idx="268">
                  <c:v>0.29730025161769069</c:v>
                </c:pt>
                <c:pt idx="269">
                  <c:v>0.29684363610015091</c:v>
                </c:pt>
                <c:pt idx="270">
                  <c:v>0.30105448626490589</c:v>
                </c:pt>
                <c:pt idx="271">
                  <c:v>0.25422975873889275</c:v>
                </c:pt>
                <c:pt idx="272">
                  <c:v>0.25462167183046475</c:v>
                </c:pt>
                <c:pt idx="273">
                  <c:v>0.25452930318575812</c:v>
                </c:pt>
                <c:pt idx="274">
                  <c:v>0.25431778935249427</c:v>
                </c:pt>
                <c:pt idx="275">
                  <c:v>0.25328995524641662</c:v>
                </c:pt>
                <c:pt idx="276">
                  <c:v>0.26708949723996411</c:v>
                </c:pt>
                <c:pt idx="277">
                  <c:v>0.27553518663098103</c:v>
                </c:pt>
                <c:pt idx="278">
                  <c:v>0.27540232452494601</c:v>
                </c:pt>
                <c:pt idx="279">
                  <c:v>0.27643860326905545</c:v>
                </c:pt>
                <c:pt idx="280">
                  <c:v>0.27659849452722518</c:v>
                </c:pt>
                <c:pt idx="281">
                  <c:v>0.27338736645352746</c:v>
                </c:pt>
                <c:pt idx="282">
                  <c:v>0.27451411694502953</c:v>
                </c:pt>
                <c:pt idx="283">
                  <c:v>0.28003480067881309</c:v>
                </c:pt>
                <c:pt idx="284">
                  <c:v>0.27101486014000264</c:v>
                </c:pt>
                <c:pt idx="285">
                  <c:v>0.25642542127238738</c:v>
                </c:pt>
                <c:pt idx="286">
                  <c:v>0.25841676317426815</c:v>
                </c:pt>
                <c:pt idx="287">
                  <c:v>0.25520326297310392</c:v>
                </c:pt>
                <c:pt idx="288">
                  <c:v>0.25491362798884637</c:v>
                </c:pt>
                <c:pt idx="289">
                  <c:v>0.25823231445623662</c:v>
                </c:pt>
                <c:pt idx="290">
                  <c:v>0.25411086787676834</c:v>
                </c:pt>
                <c:pt idx="291">
                  <c:v>0.25207890967048768</c:v>
                </c:pt>
                <c:pt idx="292">
                  <c:v>0.25215939824297529</c:v>
                </c:pt>
                <c:pt idx="293">
                  <c:v>0.25687624532290143</c:v>
                </c:pt>
                <c:pt idx="294">
                  <c:v>0.25876864228722735</c:v>
                </c:pt>
                <c:pt idx="295">
                  <c:v>0.25825124987100639</c:v>
                </c:pt>
                <c:pt idx="296">
                  <c:v>0.25144752403022286</c:v>
                </c:pt>
                <c:pt idx="297">
                  <c:v>0.23956111251999898</c:v>
                </c:pt>
                <c:pt idx="298">
                  <c:v>0.23116637679112684</c:v>
                </c:pt>
                <c:pt idx="299">
                  <c:v>0.22954480981693196</c:v>
                </c:pt>
                <c:pt idx="300">
                  <c:v>0.22193102565307543</c:v>
                </c:pt>
                <c:pt idx="301">
                  <c:v>0.22186676945732164</c:v>
                </c:pt>
                <c:pt idx="302">
                  <c:v>0.23866905350187997</c:v>
                </c:pt>
                <c:pt idx="303">
                  <c:v>0.24412817690678529</c:v>
                </c:pt>
                <c:pt idx="304">
                  <c:v>0.24648611270050391</c:v>
                </c:pt>
                <c:pt idx="305">
                  <c:v>0.25517890823110567</c:v>
                </c:pt>
                <c:pt idx="306">
                  <c:v>0.24468582316949092</c:v>
                </c:pt>
                <c:pt idx="307">
                  <c:v>0.2329776655194776</c:v>
                </c:pt>
                <c:pt idx="308">
                  <c:v>0.23705842080035558</c:v>
                </c:pt>
                <c:pt idx="309">
                  <c:v>0.23449710351782646</c:v>
                </c:pt>
                <c:pt idx="310">
                  <c:v>0.23155287362501958</c:v>
                </c:pt>
                <c:pt idx="311">
                  <c:v>0.22922106490448965</c:v>
                </c:pt>
                <c:pt idx="312">
                  <c:v>0.23184363852396697</c:v>
                </c:pt>
                <c:pt idx="313">
                  <c:v>0.22988571907673866</c:v>
                </c:pt>
                <c:pt idx="314">
                  <c:v>0.22985575745026637</c:v>
                </c:pt>
                <c:pt idx="315">
                  <c:v>0.22804652254423938</c:v>
                </c:pt>
                <c:pt idx="316">
                  <c:v>0.22332344940612392</c:v>
                </c:pt>
                <c:pt idx="317">
                  <c:v>0.22362226763335977</c:v>
                </c:pt>
                <c:pt idx="318">
                  <c:v>0.21566255578301721</c:v>
                </c:pt>
                <c:pt idx="319">
                  <c:v>0.20875373883530321</c:v>
                </c:pt>
                <c:pt idx="320">
                  <c:v>0.20906152185870752</c:v>
                </c:pt>
                <c:pt idx="321">
                  <c:v>0.21653335632566453</c:v>
                </c:pt>
                <c:pt idx="322">
                  <c:v>0.21414903003000144</c:v>
                </c:pt>
                <c:pt idx="323">
                  <c:v>0.2104619413398876</c:v>
                </c:pt>
                <c:pt idx="324">
                  <c:v>0.2079298368287554</c:v>
                </c:pt>
                <c:pt idx="325">
                  <c:v>0.21470187396980422</c:v>
                </c:pt>
                <c:pt idx="326">
                  <c:v>0.21942090465088973</c:v>
                </c:pt>
                <c:pt idx="327">
                  <c:v>0.21162031786888422</c:v>
                </c:pt>
                <c:pt idx="328">
                  <c:v>0.2114339437896991</c:v>
                </c:pt>
                <c:pt idx="329">
                  <c:v>0.21899131130761454</c:v>
                </c:pt>
                <c:pt idx="330">
                  <c:v>0.22055913500257932</c:v>
                </c:pt>
                <c:pt idx="331">
                  <c:v>0.22027883562714135</c:v>
                </c:pt>
                <c:pt idx="332">
                  <c:v>0.20115773588060848</c:v>
                </c:pt>
                <c:pt idx="333">
                  <c:v>0.19276225560726351</c:v>
                </c:pt>
                <c:pt idx="334">
                  <c:v>0.19550946639379485</c:v>
                </c:pt>
                <c:pt idx="335">
                  <c:v>0.18589261354776174</c:v>
                </c:pt>
                <c:pt idx="336">
                  <c:v>0.18387564268489828</c:v>
                </c:pt>
                <c:pt idx="337">
                  <c:v>0.19167722236342291</c:v>
                </c:pt>
                <c:pt idx="338">
                  <c:v>0.18624246525727353</c:v>
                </c:pt>
                <c:pt idx="339">
                  <c:v>0.18516518232937415</c:v>
                </c:pt>
                <c:pt idx="340">
                  <c:v>0.18482417181145963</c:v>
                </c:pt>
                <c:pt idx="341">
                  <c:v>0.18454374016362166</c:v>
                </c:pt>
                <c:pt idx="342">
                  <c:v>0.18031119060788575</c:v>
                </c:pt>
                <c:pt idx="343">
                  <c:v>0.1697500682117794</c:v>
                </c:pt>
                <c:pt idx="344">
                  <c:v>0.16892895604423805</c:v>
                </c:pt>
                <c:pt idx="345">
                  <c:v>0.16983454372495096</c:v>
                </c:pt>
                <c:pt idx="346">
                  <c:v>0.16920416000064978</c:v>
                </c:pt>
                <c:pt idx="347">
                  <c:v>0.18331685048843646</c:v>
                </c:pt>
                <c:pt idx="348">
                  <c:v>0.18233742414908272</c:v>
                </c:pt>
                <c:pt idx="349">
                  <c:v>0.18073234190534687</c:v>
                </c:pt>
                <c:pt idx="350">
                  <c:v>0.18063190473230997</c:v>
                </c:pt>
                <c:pt idx="351">
                  <c:v>0.17637467231831586</c:v>
                </c:pt>
                <c:pt idx="352">
                  <c:v>0.17621793064841021</c:v>
                </c:pt>
                <c:pt idx="353">
                  <c:v>0.17452373895743276</c:v>
                </c:pt>
                <c:pt idx="354">
                  <c:v>0.17557003859693016</c:v>
                </c:pt>
                <c:pt idx="355">
                  <c:v>0.17177840066635441</c:v>
                </c:pt>
                <c:pt idx="356">
                  <c:v>0.16830453527982447</c:v>
                </c:pt>
                <c:pt idx="357">
                  <c:v>0.16849723616899281</c:v>
                </c:pt>
                <c:pt idx="358">
                  <c:v>0.1780343933430287</c:v>
                </c:pt>
                <c:pt idx="359">
                  <c:v>0.16889550319391183</c:v>
                </c:pt>
                <c:pt idx="360">
                  <c:v>0.16676890576252057</c:v>
                </c:pt>
                <c:pt idx="361">
                  <c:v>0.17434854165393948</c:v>
                </c:pt>
                <c:pt idx="362">
                  <c:v>0.17391502357865979</c:v>
                </c:pt>
                <c:pt idx="363">
                  <c:v>0.18279199976960195</c:v>
                </c:pt>
                <c:pt idx="364">
                  <c:v>0.18114751328915157</c:v>
                </c:pt>
                <c:pt idx="365">
                  <c:v>0.18041099768437538</c:v>
                </c:pt>
                <c:pt idx="366">
                  <c:v>0.18080834122482037</c:v>
                </c:pt>
                <c:pt idx="367">
                  <c:v>0.17517612430606819</c:v>
                </c:pt>
                <c:pt idx="368">
                  <c:v>0.17423330430387396</c:v>
                </c:pt>
                <c:pt idx="369">
                  <c:v>0.17202014113894895</c:v>
                </c:pt>
                <c:pt idx="370">
                  <c:v>0.21287356192220133</c:v>
                </c:pt>
                <c:pt idx="371">
                  <c:v>0.21236067090661234</c:v>
                </c:pt>
                <c:pt idx="372">
                  <c:v>0.21210655372470663</c:v>
                </c:pt>
                <c:pt idx="373">
                  <c:v>0.20974336379603323</c:v>
                </c:pt>
                <c:pt idx="374">
                  <c:v>0.20956604053052705</c:v>
                </c:pt>
                <c:pt idx="375">
                  <c:v>0.20843375867615641</c:v>
                </c:pt>
                <c:pt idx="376">
                  <c:v>0.21750383739478601</c:v>
                </c:pt>
                <c:pt idx="377">
                  <c:v>0.2077738080836492</c:v>
                </c:pt>
                <c:pt idx="378">
                  <c:v>0.20426853565482259</c:v>
                </c:pt>
                <c:pt idx="379">
                  <c:v>0.20124081440048741</c:v>
                </c:pt>
                <c:pt idx="380">
                  <c:v>0.20238997429199718</c:v>
                </c:pt>
                <c:pt idx="381">
                  <c:v>0.20312186190693579</c:v>
                </c:pt>
                <c:pt idx="382">
                  <c:v>0.20727200415675495</c:v>
                </c:pt>
                <c:pt idx="383">
                  <c:v>0.21824848063494362</c:v>
                </c:pt>
                <c:pt idx="384">
                  <c:v>0.21440366377696307</c:v>
                </c:pt>
                <c:pt idx="385">
                  <c:v>0.21236249332639104</c:v>
                </c:pt>
                <c:pt idx="386">
                  <c:v>0.22764165412388176</c:v>
                </c:pt>
                <c:pt idx="387">
                  <c:v>0.22687380900729223</c:v>
                </c:pt>
                <c:pt idx="388">
                  <c:v>0.21513070615177993</c:v>
                </c:pt>
                <c:pt idx="389">
                  <c:v>0.2143310191991126</c:v>
                </c:pt>
                <c:pt idx="390">
                  <c:v>0.21412344526651303</c:v>
                </c:pt>
                <c:pt idx="391">
                  <c:v>0.2109107220137374</c:v>
                </c:pt>
                <c:pt idx="392">
                  <c:v>0.21080287230302713</c:v>
                </c:pt>
                <c:pt idx="393">
                  <c:v>0.20679706769446521</c:v>
                </c:pt>
                <c:pt idx="394">
                  <c:v>0.20052768413579652</c:v>
                </c:pt>
                <c:pt idx="395">
                  <c:v>0.19992403643626164</c:v>
                </c:pt>
                <c:pt idx="396">
                  <c:v>0.20010754772694747</c:v>
                </c:pt>
                <c:pt idx="397">
                  <c:v>0.1984369191368516</c:v>
                </c:pt>
                <c:pt idx="398">
                  <c:v>0.19866152669587644</c:v>
                </c:pt>
                <c:pt idx="399">
                  <c:v>0.20101321550904402</c:v>
                </c:pt>
                <c:pt idx="400">
                  <c:v>0.16470688037484046</c:v>
                </c:pt>
                <c:pt idx="401">
                  <c:v>0.16512634683670641</c:v>
                </c:pt>
                <c:pt idx="402">
                  <c:v>0.16547245725942131</c:v>
                </c:pt>
                <c:pt idx="403">
                  <c:v>0.16998445317397989</c:v>
                </c:pt>
                <c:pt idx="404">
                  <c:v>0.17082292583510553</c:v>
                </c:pt>
                <c:pt idx="405">
                  <c:v>0.18008007265561526</c:v>
                </c:pt>
                <c:pt idx="406">
                  <c:v>0.17275107685963292</c:v>
                </c:pt>
                <c:pt idx="407">
                  <c:v>0.17272256700701752</c:v>
                </c:pt>
                <c:pt idx="408">
                  <c:v>0.17635683233193922</c:v>
                </c:pt>
                <c:pt idx="409">
                  <c:v>0.17403684908992201</c:v>
                </c:pt>
                <c:pt idx="410">
                  <c:v>0.17188853150315167</c:v>
                </c:pt>
                <c:pt idx="411">
                  <c:v>0.1719038213812705</c:v>
                </c:pt>
                <c:pt idx="412">
                  <c:v>0.17120560696486015</c:v>
                </c:pt>
                <c:pt idx="413">
                  <c:v>0.15546385158566395</c:v>
                </c:pt>
                <c:pt idx="414">
                  <c:v>0.15471684101566208</c:v>
                </c:pt>
                <c:pt idx="415">
                  <c:v>0.15693295427640042</c:v>
                </c:pt>
                <c:pt idx="416">
                  <c:v>0.1407126619200095</c:v>
                </c:pt>
                <c:pt idx="417">
                  <c:v>0.14131914174255394</c:v>
                </c:pt>
                <c:pt idx="418">
                  <c:v>0.14039495014443312</c:v>
                </c:pt>
                <c:pt idx="419">
                  <c:v>0.14815491453061819</c:v>
                </c:pt>
                <c:pt idx="420">
                  <c:v>0.14787860498688768</c:v>
                </c:pt>
                <c:pt idx="421">
                  <c:v>0.15031082469245383</c:v>
                </c:pt>
                <c:pt idx="422">
                  <c:v>0.15235219834086289</c:v>
                </c:pt>
                <c:pt idx="423">
                  <c:v>0.15206956780160133</c:v>
                </c:pt>
                <c:pt idx="424">
                  <c:v>0.15376776231707573</c:v>
                </c:pt>
                <c:pt idx="425">
                  <c:v>0.15413433137767613</c:v>
                </c:pt>
                <c:pt idx="426">
                  <c:v>0.15713497296006179</c:v>
                </c:pt>
                <c:pt idx="427">
                  <c:v>0.15721185634604945</c:v>
                </c:pt>
                <c:pt idx="428">
                  <c:v>0.15648844990037739</c:v>
                </c:pt>
                <c:pt idx="429">
                  <c:v>0.16341602298270894</c:v>
                </c:pt>
                <c:pt idx="430">
                  <c:v>0.16391395723897198</c:v>
                </c:pt>
                <c:pt idx="431">
                  <c:v>0.16598783809655626</c:v>
                </c:pt>
                <c:pt idx="432">
                  <c:v>0.16535831534760354</c:v>
                </c:pt>
                <c:pt idx="433">
                  <c:v>0.15955678291921443</c:v>
                </c:pt>
                <c:pt idx="434">
                  <c:v>0.16055711006693962</c:v>
                </c:pt>
                <c:pt idx="435">
                  <c:v>0.15875579580751664</c:v>
                </c:pt>
                <c:pt idx="436">
                  <c:v>0.15175584897744671</c:v>
                </c:pt>
                <c:pt idx="437">
                  <c:v>0.15240114354321591</c:v>
                </c:pt>
                <c:pt idx="438">
                  <c:v>0.14561970091240564</c:v>
                </c:pt>
                <c:pt idx="439">
                  <c:v>0.14463252336044805</c:v>
                </c:pt>
                <c:pt idx="440">
                  <c:v>0.14876646481298217</c:v>
                </c:pt>
                <c:pt idx="441">
                  <c:v>0.15068477856599599</c:v>
                </c:pt>
                <c:pt idx="442">
                  <c:v>0.15002001218739117</c:v>
                </c:pt>
                <c:pt idx="443">
                  <c:v>0.14008132378335614</c:v>
                </c:pt>
                <c:pt idx="444">
                  <c:v>0.15408174620973156</c:v>
                </c:pt>
                <c:pt idx="445">
                  <c:v>0.15363442211881273</c:v>
                </c:pt>
                <c:pt idx="446">
                  <c:v>0.15699800045707746</c:v>
                </c:pt>
                <c:pt idx="447">
                  <c:v>0.15789822856107344</c:v>
                </c:pt>
                <c:pt idx="448">
                  <c:v>0.15711906306657733</c:v>
                </c:pt>
                <c:pt idx="449">
                  <c:v>0.15277364465198726</c:v>
                </c:pt>
                <c:pt idx="450">
                  <c:v>0.15520548597574108</c:v>
                </c:pt>
                <c:pt idx="451">
                  <c:v>0.1540946481120791</c:v>
                </c:pt>
                <c:pt idx="452">
                  <c:v>0.15312774790375977</c:v>
                </c:pt>
                <c:pt idx="453">
                  <c:v>0.15255439300309759</c:v>
                </c:pt>
                <c:pt idx="454">
                  <c:v>0.14668080762805702</c:v>
                </c:pt>
                <c:pt idx="455">
                  <c:v>0.14666738775605617</c:v>
                </c:pt>
                <c:pt idx="456">
                  <c:v>0.14417766774592047</c:v>
                </c:pt>
                <c:pt idx="457">
                  <c:v>0.14430687620869373</c:v>
                </c:pt>
                <c:pt idx="458">
                  <c:v>0.14406029650809896</c:v>
                </c:pt>
                <c:pt idx="459">
                  <c:v>0.13567177883644221</c:v>
                </c:pt>
                <c:pt idx="460">
                  <c:v>0.13057124518035515</c:v>
                </c:pt>
                <c:pt idx="461">
                  <c:v>0.13079200825178036</c:v>
                </c:pt>
                <c:pt idx="462">
                  <c:v>0.13851459009796727</c:v>
                </c:pt>
                <c:pt idx="463">
                  <c:v>0.14729477578424202</c:v>
                </c:pt>
                <c:pt idx="464">
                  <c:v>0.1441812113498194</c:v>
                </c:pt>
                <c:pt idx="465">
                  <c:v>0.14223552124452926</c:v>
                </c:pt>
                <c:pt idx="466">
                  <c:v>0.14551677795278525</c:v>
                </c:pt>
                <c:pt idx="467">
                  <c:v>0.14878206623259166</c:v>
                </c:pt>
                <c:pt idx="468">
                  <c:v>0.1502058969778286</c:v>
                </c:pt>
                <c:pt idx="469">
                  <c:v>0.15595727374077145</c:v>
                </c:pt>
                <c:pt idx="470">
                  <c:v>0.15648406601305753</c:v>
                </c:pt>
                <c:pt idx="471">
                  <c:v>0.1536052356038877</c:v>
                </c:pt>
                <c:pt idx="472">
                  <c:v>0.15255926461071062</c:v>
                </c:pt>
                <c:pt idx="473">
                  <c:v>0.15432426653979689</c:v>
                </c:pt>
                <c:pt idx="474">
                  <c:v>0.14362987806821159</c:v>
                </c:pt>
                <c:pt idx="475">
                  <c:v>0.14976013885671899</c:v>
                </c:pt>
                <c:pt idx="476">
                  <c:v>0.14576941310499578</c:v>
                </c:pt>
                <c:pt idx="477">
                  <c:v>0.14532434352636697</c:v>
                </c:pt>
                <c:pt idx="478">
                  <c:v>0.14861920293134839</c:v>
                </c:pt>
                <c:pt idx="479">
                  <c:v>0.14921523442952878</c:v>
                </c:pt>
                <c:pt idx="480">
                  <c:v>0.14743881269723194</c:v>
                </c:pt>
                <c:pt idx="481">
                  <c:v>0.14775675047943765</c:v>
                </c:pt>
                <c:pt idx="482">
                  <c:v>0.14924372485909626</c:v>
                </c:pt>
                <c:pt idx="483">
                  <c:v>0.16118847973202236</c:v>
                </c:pt>
                <c:pt idx="484">
                  <c:v>0.16119502291795176</c:v>
                </c:pt>
                <c:pt idx="485">
                  <c:v>0.16111045548260927</c:v>
                </c:pt>
                <c:pt idx="486">
                  <c:v>0.16395582582939736</c:v>
                </c:pt>
                <c:pt idx="487">
                  <c:v>0.16342138670963241</c:v>
                </c:pt>
                <c:pt idx="488">
                  <c:v>0.16690698743391111</c:v>
                </c:pt>
                <c:pt idx="489">
                  <c:v>0.16735879264838732</c:v>
                </c:pt>
                <c:pt idx="490">
                  <c:v>0.17150630484424037</c:v>
                </c:pt>
                <c:pt idx="491">
                  <c:v>0.17478270670167337</c:v>
                </c:pt>
                <c:pt idx="492">
                  <c:v>0.16882871239520822</c:v>
                </c:pt>
                <c:pt idx="493">
                  <c:v>0.16039597348871987</c:v>
                </c:pt>
                <c:pt idx="494">
                  <c:v>0.16066631928018979</c:v>
                </c:pt>
                <c:pt idx="495">
                  <c:v>0.16036447163521234</c:v>
                </c:pt>
                <c:pt idx="496">
                  <c:v>0.16212176672694484</c:v>
                </c:pt>
                <c:pt idx="497">
                  <c:v>0.15899553021217655</c:v>
                </c:pt>
                <c:pt idx="498">
                  <c:v>0.1608031239727914</c:v>
                </c:pt>
                <c:pt idx="499">
                  <c:v>0.15572450018794701</c:v>
                </c:pt>
                <c:pt idx="500">
                  <c:v>0.14658026629737869</c:v>
                </c:pt>
                <c:pt idx="501">
                  <c:v>0.15332206731882017</c:v>
                </c:pt>
                <c:pt idx="502">
                  <c:v>0.15311064329184798</c:v>
                </c:pt>
                <c:pt idx="503">
                  <c:v>0.15111086280759892</c:v>
                </c:pt>
                <c:pt idx="504">
                  <c:v>0.15056137792240287</c:v>
                </c:pt>
                <c:pt idx="505">
                  <c:v>0.14716041084489184</c:v>
                </c:pt>
                <c:pt idx="506">
                  <c:v>0.14539641126423877</c:v>
                </c:pt>
                <c:pt idx="507">
                  <c:v>0.15486902959146143</c:v>
                </c:pt>
                <c:pt idx="508">
                  <c:v>0.15486102526671416</c:v>
                </c:pt>
                <c:pt idx="509">
                  <c:v>0.15521891671676707</c:v>
                </c:pt>
                <c:pt idx="510">
                  <c:v>0.15645848685881911</c:v>
                </c:pt>
                <c:pt idx="511">
                  <c:v>0.16491221047904076</c:v>
                </c:pt>
                <c:pt idx="512">
                  <c:v>0.1818765168142677</c:v>
                </c:pt>
                <c:pt idx="513">
                  <c:v>0.17006459654292078</c:v>
                </c:pt>
                <c:pt idx="514">
                  <c:v>0.17096411939882375</c:v>
                </c:pt>
                <c:pt idx="515">
                  <c:v>0.17096741762913872</c:v>
                </c:pt>
                <c:pt idx="516">
                  <c:v>0.16430352438062953</c:v>
                </c:pt>
                <c:pt idx="517">
                  <c:v>0.16759921159209348</c:v>
                </c:pt>
                <c:pt idx="518">
                  <c:v>0.16484273679698386</c:v>
                </c:pt>
                <c:pt idx="519">
                  <c:v>0.17536108379973778</c:v>
                </c:pt>
                <c:pt idx="520">
                  <c:v>0.17184778866481154</c:v>
                </c:pt>
                <c:pt idx="521">
                  <c:v>0.16423162245388931</c:v>
                </c:pt>
                <c:pt idx="522">
                  <c:v>0.16515223968577372</c:v>
                </c:pt>
                <c:pt idx="523">
                  <c:v>0.16508200858597014</c:v>
                </c:pt>
                <c:pt idx="524">
                  <c:v>0.16456758349519809</c:v>
                </c:pt>
                <c:pt idx="525">
                  <c:v>0.16383271243701494</c:v>
                </c:pt>
                <c:pt idx="526">
                  <c:v>0.16402837792282918</c:v>
                </c:pt>
                <c:pt idx="527">
                  <c:v>0.16403910354609538</c:v>
                </c:pt>
                <c:pt idx="528">
                  <c:v>0.1592785420887195</c:v>
                </c:pt>
                <c:pt idx="529">
                  <c:v>0.15976389160517093</c:v>
                </c:pt>
                <c:pt idx="530">
                  <c:v>0.15897894107581881</c:v>
                </c:pt>
                <c:pt idx="531">
                  <c:v>0.14842099739372272</c:v>
                </c:pt>
                <c:pt idx="532">
                  <c:v>0.15400213785163491</c:v>
                </c:pt>
                <c:pt idx="533">
                  <c:v>0.15068974847948263</c:v>
                </c:pt>
                <c:pt idx="534">
                  <c:v>0.15475608776497154</c:v>
                </c:pt>
                <c:pt idx="535">
                  <c:v>0.15402220912387124</c:v>
                </c:pt>
                <c:pt idx="536">
                  <c:v>0.15065192274675818</c:v>
                </c:pt>
                <c:pt idx="537">
                  <c:v>0.14610543134405291</c:v>
                </c:pt>
                <c:pt idx="538">
                  <c:v>0.13961655594522543</c:v>
                </c:pt>
                <c:pt idx="539">
                  <c:v>0.14780124619569554</c:v>
                </c:pt>
                <c:pt idx="540">
                  <c:v>0.14878124009446528</c:v>
                </c:pt>
                <c:pt idx="541">
                  <c:v>0.14698326755617241</c:v>
                </c:pt>
                <c:pt idx="542">
                  <c:v>0.13093066517160409</c:v>
                </c:pt>
                <c:pt idx="543">
                  <c:v>0.13105841450097</c:v>
                </c:pt>
                <c:pt idx="544">
                  <c:v>0.13478144155929628</c:v>
                </c:pt>
                <c:pt idx="545">
                  <c:v>0.13593144547703065</c:v>
                </c:pt>
                <c:pt idx="546">
                  <c:v>0.13522880375415944</c:v>
                </c:pt>
                <c:pt idx="547">
                  <c:v>0.13260947223805097</c:v>
                </c:pt>
                <c:pt idx="548">
                  <c:v>0.13191339464897839</c:v>
                </c:pt>
                <c:pt idx="549">
                  <c:v>0.11927611640528715</c:v>
                </c:pt>
                <c:pt idx="550">
                  <c:v>0.12275612644499857</c:v>
                </c:pt>
                <c:pt idx="551">
                  <c:v>0.12275924781451365</c:v>
                </c:pt>
                <c:pt idx="552">
                  <c:v>0.12740676792457817</c:v>
                </c:pt>
                <c:pt idx="553">
                  <c:v>0.12752585540438019</c:v>
                </c:pt>
                <c:pt idx="554">
                  <c:v>0.12750591425809379</c:v>
                </c:pt>
                <c:pt idx="555">
                  <c:v>0.12989870429938091</c:v>
                </c:pt>
                <c:pt idx="556">
                  <c:v>0.12790223193141259</c:v>
                </c:pt>
                <c:pt idx="557">
                  <c:v>0.1281636659110815</c:v>
                </c:pt>
                <c:pt idx="558">
                  <c:v>0.1273145427745731</c:v>
                </c:pt>
                <c:pt idx="559">
                  <c:v>0.12697437836877773</c:v>
                </c:pt>
                <c:pt idx="560">
                  <c:v>0.13548197326381525</c:v>
                </c:pt>
                <c:pt idx="561">
                  <c:v>0.13543596832475466</c:v>
                </c:pt>
                <c:pt idx="562">
                  <c:v>0.1345142558019943</c:v>
                </c:pt>
                <c:pt idx="563">
                  <c:v>0.13467945747258336</c:v>
                </c:pt>
                <c:pt idx="564">
                  <c:v>0.13346385822621482</c:v>
                </c:pt>
                <c:pt idx="565">
                  <c:v>0.1383229543237981</c:v>
                </c:pt>
                <c:pt idx="566">
                  <c:v>0.13668668515063939</c:v>
                </c:pt>
                <c:pt idx="567">
                  <c:v>0.13679772281704736</c:v>
                </c:pt>
                <c:pt idx="568">
                  <c:v>0.13717502463347367</c:v>
                </c:pt>
                <c:pt idx="569">
                  <c:v>0.11854220038504179</c:v>
                </c:pt>
                <c:pt idx="570">
                  <c:v>0.11633351377396882</c:v>
                </c:pt>
                <c:pt idx="571">
                  <c:v>0.11613865065774953</c:v>
                </c:pt>
                <c:pt idx="572">
                  <c:v>0.11557043351286338</c:v>
                </c:pt>
                <c:pt idx="573">
                  <c:v>0.11703889385077237</c:v>
                </c:pt>
                <c:pt idx="574">
                  <c:v>0.1159043280327022</c:v>
                </c:pt>
                <c:pt idx="575">
                  <c:v>0.12948936901868807</c:v>
                </c:pt>
                <c:pt idx="576">
                  <c:v>0.12898787632580705</c:v>
                </c:pt>
                <c:pt idx="577">
                  <c:v>0.13251341863706345</c:v>
                </c:pt>
                <c:pt idx="578">
                  <c:v>0.13116393451945615</c:v>
                </c:pt>
                <c:pt idx="579">
                  <c:v>0.13234597286039679</c:v>
                </c:pt>
                <c:pt idx="580">
                  <c:v>0.13126114699157651</c:v>
                </c:pt>
                <c:pt idx="581">
                  <c:v>0.13338761849646125</c:v>
                </c:pt>
                <c:pt idx="582">
                  <c:v>0.12945027621348826</c:v>
                </c:pt>
                <c:pt idx="583">
                  <c:v>0.12979698217013752</c:v>
                </c:pt>
                <c:pt idx="584">
                  <c:v>0.12942775110642832</c:v>
                </c:pt>
                <c:pt idx="585">
                  <c:v>0.12793123546976173</c:v>
                </c:pt>
                <c:pt idx="586">
                  <c:v>0.12852708004605806</c:v>
                </c:pt>
                <c:pt idx="587">
                  <c:v>0.12858950091913848</c:v>
                </c:pt>
                <c:pt idx="588">
                  <c:v>0.136710479398399</c:v>
                </c:pt>
                <c:pt idx="589">
                  <c:v>0.14041414372303576</c:v>
                </c:pt>
                <c:pt idx="590">
                  <c:v>0.13371128964183768</c:v>
                </c:pt>
                <c:pt idx="591">
                  <c:v>0.13257379215124537</c:v>
                </c:pt>
                <c:pt idx="592">
                  <c:v>0.13099123957160844</c:v>
                </c:pt>
                <c:pt idx="593">
                  <c:v>0.13095801179467528</c:v>
                </c:pt>
                <c:pt idx="594">
                  <c:v>0.12967670077434171</c:v>
                </c:pt>
                <c:pt idx="595">
                  <c:v>0.12486556110401761</c:v>
                </c:pt>
                <c:pt idx="596">
                  <c:v>0.12780359221266127</c:v>
                </c:pt>
                <c:pt idx="597">
                  <c:v>0.12918541596826474</c:v>
                </c:pt>
                <c:pt idx="598">
                  <c:v>0.13298818766464882</c:v>
                </c:pt>
                <c:pt idx="599">
                  <c:v>0.13288736784334185</c:v>
                </c:pt>
                <c:pt idx="600">
                  <c:v>0.13065835835483428</c:v>
                </c:pt>
                <c:pt idx="601">
                  <c:v>0.13218161495921607</c:v>
                </c:pt>
                <c:pt idx="602">
                  <c:v>0.13111728254659119</c:v>
                </c:pt>
                <c:pt idx="603">
                  <c:v>0.12849560206520502</c:v>
                </c:pt>
                <c:pt idx="604">
                  <c:v>0.13313785716650731</c:v>
                </c:pt>
                <c:pt idx="605">
                  <c:v>0.11835192789910495</c:v>
                </c:pt>
                <c:pt idx="606">
                  <c:v>0.12049142446924486</c:v>
                </c:pt>
                <c:pt idx="607">
                  <c:v>0.11435622293355271</c:v>
                </c:pt>
                <c:pt idx="608">
                  <c:v>0.11430591129234102</c:v>
                </c:pt>
                <c:pt idx="609">
                  <c:v>0.11360760587423181</c:v>
                </c:pt>
                <c:pt idx="610">
                  <c:v>0.11257864155871991</c:v>
                </c:pt>
                <c:pt idx="611">
                  <c:v>0.11330673136716077</c:v>
                </c:pt>
                <c:pt idx="612">
                  <c:v>0.1138870777551055</c:v>
                </c:pt>
                <c:pt idx="613">
                  <c:v>0.11188443625618487</c:v>
                </c:pt>
                <c:pt idx="614">
                  <c:v>0.11188095525232303</c:v>
                </c:pt>
                <c:pt idx="615">
                  <c:v>0.11234184287620501</c:v>
                </c:pt>
                <c:pt idx="616">
                  <c:v>0.1213937920821808</c:v>
                </c:pt>
                <c:pt idx="617">
                  <c:v>0.12359566330913589</c:v>
                </c:pt>
                <c:pt idx="618">
                  <c:v>0.12086667729802843</c:v>
                </c:pt>
                <c:pt idx="619">
                  <c:v>0.11721927925219697</c:v>
                </c:pt>
                <c:pt idx="620">
                  <c:v>0.11906696493393673</c:v>
                </c:pt>
                <c:pt idx="621">
                  <c:v>0.11947218150961748</c:v>
                </c:pt>
                <c:pt idx="622">
                  <c:v>0.11993189310389125</c:v>
                </c:pt>
                <c:pt idx="623">
                  <c:v>0.11992387421319384</c:v>
                </c:pt>
                <c:pt idx="624">
                  <c:v>0.11804283244061491</c:v>
                </c:pt>
                <c:pt idx="625">
                  <c:v>0.12028658413594037</c:v>
                </c:pt>
                <c:pt idx="626">
                  <c:v>0.11776297525681677</c:v>
                </c:pt>
                <c:pt idx="627">
                  <c:v>0.11621101981991223</c:v>
                </c:pt>
                <c:pt idx="628">
                  <c:v>0.11032843494580005</c:v>
                </c:pt>
                <c:pt idx="629">
                  <c:v>0.10985234901797387</c:v>
                </c:pt>
                <c:pt idx="630">
                  <c:v>0.11892218301387267</c:v>
                </c:pt>
                <c:pt idx="631">
                  <c:v>0.11851367367466153</c:v>
                </c:pt>
                <c:pt idx="632">
                  <c:v>0.12293745470764458</c:v>
                </c:pt>
                <c:pt idx="633">
                  <c:v>0.12542531868107243</c:v>
                </c:pt>
                <c:pt idx="634">
                  <c:v>0.1241249196178373</c:v>
                </c:pt>
                <c:pt idx="635">
                  <c:v>0.12215946666417145</c:v>
                </c:pt>
                <c:pt idx="636">
                  <c:v>0.12019270099963666</c:v>
                </c:pt>
                <c:pt idx="637">
                  <c:v>0.12020384609714795</c:v>
                </c:pt>
                <c:pt idx="638">
                  <c:v>0.12411715230178985</c:v>
                </c:pt>
                <c:pt idx="639">
                  <c:v>0.12349942143009983</c:v>
                </c:pt>
                <c:pt idx="640">
                  <c:v>0.12379178188419522</c:v>
                </c:pt>
                <c:pt idx="641">
                  <c:v>0.12118701986224936</c:v>
                </c:pt>
                <c:pt idx="642">
                  <c:v>0.12116565441285938</c:v>
                </c:pt>
                <c:pt idx="643">
                  <c:v>0.12113941210037861</c:v>
                </c:pt>
                <c:pt idx="644">
                  <c:v>0.12118128297113048</c:v>
                </c:pt>
                <c:pt idx="645">
                  <c:v>0.12061202273770141</c:v>
                </c:pt>
                <c:pt idx="646">
                  <c:v>0.1110261491895965</c:v>
                </c:pt>
                <c:pt idx="647">
                  <c:v>0.114785608723602</c:v>
                </c:pt>
                <c:pt idx="648">
                  <c:v>0.10956071814065843</c:v>
                </c:pt>
                <c:pt idx="649">
                  <c:v>0.10908280719131552</c:v>
                </c:pt>
                <c:pt idx="650">
                  <c:v>0.10448188756885909</c:v>
                </c:pt>
                <c:pt idx="651">
                  <c:v>0.10484806429398374</c:v>
                </c:pt>
                <c:pt idx="652">
                  <c:v>0.10557202203281654</c:v>
                </c:pt>
                <c:pt idx="653">
                  <c:v>0.10632691034448742</c:v>
                </c:pt>
                <c:pt idx="654">
                  <c:v>0.10630241658534964</c:v>
                </c:pt>
                <c:pt idx="655">
                  <c:v>0.10358252326475212</c:v>
                </c:pt>
                <c:pt idx="656">
                  <c:v>0.10290550483544113</c:v>
                </c:pt>
                <c:pt idx="657">
                  <c:v>0.10963822675259148</c:v>
                </c:pt>
                <c:pt idx="658">
                  <c:v>0.1199212612330694</c:v>
                </c:pt>
                <c:pt idx="659">
                  <c:v>0.1199547963865515</c:v>
                </c:pt>
                <c:pt idx="660">
                  <c:v>0.11284987702343699</c:v>
                </c:pt>
                <c:pt idx="661">
                  <c:v>0.11616401491726899</c:v>
                </c:pt>
                <c:pt idx="662">
                  <c:v>0.11285753670012945</c:v>
                </c:pt>
                <c:pt idx="663">
                  <c:v>0.10807749879985741</c:v>
                </c:pt>
                <c:pt idx="664">
                  <c:v>0.10111186518257438</c:v>
                </c:pt>
                <c:pt idx="665">
                  <c:v>0.10276145784707973</c:v>
                </c:pt>
                <c:pt idx="666">
                  <c:v>0.10241745715088897</c:v>
                </c:pt>
                <c:pt idx="667">
                  <c:v>0.10221755978844961</c:v>
                </c:pt>
                <c:pt idx="668">
                  <c:v>0.1034025801716843</c:v>
                </c:pt>
                <c:pt idx="669">
                  <c:v>0.10911530329705467</c:v>
                </c:pt>
                <c:pt idx="670">
                  <c:v>0.10782391617921941</c:v>
                </c:pt>
                <c:pt idx="671">
                  <c:v>0.10773053738274919</c:v>
                </c:pt>
                <c:pt idx="672">
                  <c:v>0.1159597857708226</c:v>
                </c:pt>
                <c:pt idx="673">
                  <c:v>0.11578204713084359</c:v>
                </c:pt>
                <c:pt idx="674">
                  <c:v>0.11790453070868241</c:v>
                </c:pt>
                <c:pt idx="675">
                  <c:v>0.11778441363680439</c:v>
                </c:pt>
                <c:pt idx="676">
                  <c:v>0.11975100417794138</c:v>
                </c:pt>
                <c:pt idx="677">
                  <c:v>0.11333079470635522</c:v>
                </c:pt>
                <c:pt idx="678">
                  <c:v>0.11108853668388281</c:v>
                </c:pt>
                <c:pt idx="679">
                  <c:v>0.11060864445128339</c:v>
                </c:pt>
                <c:pt idx="680">
                  <c:v>0.11113546815084084</c:v>
                </c:pt>
                <c:pt idx="681">
                  <c:v>0.10943484815997179</c:v>
                </c:pt>
                <c:pt idx="682">
                  <c:v>0.10759588747465046</c:v>
                </c:pt>
                <c:pt idx="683">
                  <c:v>0.1061908358954454</c:v>
                </c:pt>
                <c:pt idx="684">
                  <c:v>0.1060347346022926</c:v>
                </c:pt>
                <c:pt idx="685">
                  <c:v>0.10595785724156766</c:v>
                </c:pt>
                <c:pt idx="686">
                  <c:v>0.10481916615857614</c:v>
                </c:pt>
                <c:pt idx="687">
                  <c:v>0.11029702747826735</c:v>
                </c:pt>
                <c:pt idx="688">
                  <c:v>9.5082222061323926E-2</c:v>
                </c:pt>
                <c:pt idx="689">
                  <c:v>9.4912010875980377E-2</c:v>
                </c:pt>
                <c:pt idx="690">
                  <c:v>9.9523262518730504E-2</c:v>
                </c:pt>
                <c:pt idx="691">
                  <c:v>8.8649506065856795E-2</c:v>
                </c:pt>
                <c:pt idx="692">
                  <c:v>8.8973204473539222E-2</c:v>
                </c:pt>
                <c:pt idx="693">
                  <c:v>9.3869123672412999E-2</c:v>
                </c:pt>
                <c:pt idx="694">
                  <c:v>9.3774034262051942E-2</c:v>
                </c:pt>
                <c:pt idx="695">
                  <c:v>9.6761982554430984E-2</c:v>
                </c:pt>
                <c:pt idx="696">
                  <c:v>0.10069963670189397</c:v>
                </c:pt>
                <c:pt idx="697">
                  <c:v>0.10136205961685024</c:v>
                </c:pt>
                <c:pt idx="698">
                  <c:v>0.10774999651499205</c:v>
                </c:pt>
                <c:pt idx="699">
                  <c:v>0.10522740372912547</c:v>
                </c:pt>
                <c:pt idx="700">
                  <c:v>0.10679356551757249</c:v>
                </c:pt>
                <c:pt idx="701">
                  <c:v>0.10972310115156866</c:v>
                </c:pt>
                <c:pt idx="702">
                  <c:v>0.10605986547239785</c:v>
                </c:pt>
                <c:pt idx="703">
                  <c:v>0.11256206823570065</c:v>
                </c:pt>
                <c:pt idx="704">
                  <c:v>0.11183898948280351</c:v>
                </c:pt>
                <c:pt idx="705">
                  <c:v>0.11418248066149567</c:v>
                </c:pt>
                <c:pt idx="706">
                  <c:v>0.11415867317789666</c:v>
                </c:pt>
                <c:pt idx="707">
                  <c:v>0.11469104830950586</c:v>
                </c:pt>
                <c:pt idx="708">
                  <c:v>0.1151005729574776</c:v>
                </c:pt>
                <c:pt idx="709">
                  <c:v>0.11988442875256526</c:v>
                </c:pt>
                <c:pt idx="710">
                  <c:v>0.11972386244662997</c:v>
                </c:pt>
                <c:pt idx="711">
                  <c:v>0.1196560557861734</c:v>
                </c:pt>
                <c:pt idx="712">
                  <c:v>0.12297092678148547</c:v>
                </c:pt>
                <c:pt idx="713">
                  <c:v>0.12273760368276346</c:v>
                </c:pt>
                <c:pt idx="714">
                  <c:v>0.12469250640840689</c:v>
                </c:pt>
                <c:pt idx="715">
                  <c:v>0.12451584822467865</c:v>
                </c:pt>
                <c:pt idx="716">
                  <c:v>0.1246678380154872</c:v>
                </c:pt>
                <c:pt idx="717">
                  <c:v>0.12030456377257782</c:v>
                </c:pt>
                <c:pt idx="718">
                  <c:v>0.1203028236858075</c:v>
                </c:pt>
                <c:pt idx="719">
                  <c:v>0.12390465570702364</c:v>
                </c:pt>
                <c:pt idx="720">
                  <c:v>0.12016866326767263</c:v>
                </c:pt>
                <c:pt idx="721">
                  <c:v>0.12385793959720351</c:v>
                </c:pt>
                <c:pt idx="722">
                  <c:v>0.12246638531000557</c:v>
                </c:pt>
                <c:pt idx="723">
                  <c:v>0.1284811327439018</c:v>
                </c:pt>
                <c:pt idx="724">
                  <c:v>0.12722292102089666</c:v>
                </c:pt>
                <c:pt idx="725">
                  <c:v>0.1256596759071926</c:v>
                </c:pt>
                <c:pt idx="726">
                  <c:v>0.12218325610897812</c:v>
                </c:pt>
                <c:pt idx="727">
                  <c:v>0.12320898460838003</c:v>
                </c:pt>
                <c:pt idx="728">
                  <c:v>0.11661660914627792</c:v>
                </c:pt>
                <c:pt idx="729">
                  <c:v>0.11475767466396301</c:v>
                </c:pt>
                <c:pt idx="730">
                  <c:v>0.1140613987114566</c:v>
                </c:pt>
                <c:pt idx="731">
                  <c:v>0.11619812761327543</c:v>
                </c:pt>
                <c:pt idx="732">
                  <c:v>0.11540829677084741</c:v>
                </c:pt>
                <c:pt idx="733">
                  <c:v>0.11741971150777671</c:v>
                </c:pt>
                <c:pt idx="734">
                  <c:v>0.11740443903849947</c:v>
                </c:pt>
                <c:pt idx="735">
                  <c:v>0.11931108594426944</c:v>
                </c:pt>
                <c:pt idx="736">
                  <c:v>0.1180349178157323</c:v>
                </c:pt>
                <c:pt idx="737">
                  <c:v>0.12094861245540114</c:v>
                </c:pt>
                <c:pt idx="738">
                  <c:v>0.12101509637535324</c:v>
                </c:pt>
                <c:pt idx="739">
                  <c:v>0.11505933364980969</c:v>
                </c:pt>
                <c:pt idx="740">
                  <c:v>0.11605992548110797</c:v>
                </c:pt>
                <c:pt idx="741">
                  <c:v>0.11825172021181338</c:v>
                </c:pt>
                <c:pt idx="742">
                  <c:v>0.12172106143967995</c:v>
                </c:pt>
                <c:pt idx="743">
                  <c:v>0.12123116442499164</c:v>
                </c:pt>
                <c:pt idx="744">
                  <c:v>0.11751638008520358</c:v>
                </c:pt>
                <c:pt idx="745">
                  <c:v>0.11775575243527212</c:v>
                </c:pt>
                <c:pt idx="746">
                  <c:v>0.12041888343467769</c:v>
                </c:pt>
                <c:pt idx="747">
                  <c:v>0.11893371801963906</c:v>
                </c:pt>
                <c:pt idx="748">
                  <c:v>0.11894418357118669</c:v>
                </c:pt>
                <c:pt idx="749">
                  <c:v>0.12017919457050981</c:v>
                </c:pt>
                <c:pt idx="750">
                  <c:v>0.11985953272833738</c:v>
                </c:pt>
                <c:pt idx="751">
                  <c:v>0.1141157194556127</c:v>
                </c:pt>
                <c:pt idx="752">
                  <c:v>0.1148529227154798</c:v>
                </c:pt>
                <c:pt idx="753">
                  <c:v>0.10829710130224186</c:v>
                </c:pt>
                <c:pt idx="754">
                  <c:v>0.10808692608722148</c:v>
                </c:pt>
                <c:pt idx="755">
                  <c:v>0.10809638309394136</c:v>
                </c:pt>
                <c:pt idx="756">
                  <c:v>0.10823085505357538</c:v>
                </c:pt>
                <c:pt idx="757">
                  <c:v>0.11001686713940786</c:v>
                </c:pt>
                <c:pt idx="758">
                  <c:v>0.10779097713256393</c:v>
                </c:pt>
                <c:pt idx="759">
                  <c:v>0.11244119660336546</c:v>
                </c:pt>
                <c:pt idx="760">
                  <c:v>0.1127151071096554</c:v>
                </c:pt>
                <c:pt idx="761">
                  <c:v>0.11016013586261143</c:v>
                </c:pt>
                <c:pt idx="762">
                  <c:v>0.11112834654807098</c:v>
                </c:pt>
                <c:pt idx="763">
                  <c:v>0.10775397060894647</c:v>
                </c:pt>
                <c:pt idx="764">
                  <c:v>0.12088492929765787</c:v>
                </c:pt>
                <c:pt idx="765">
                  <c:v>0.11539787637478836</c:v>
                </c:pt>
                <c:pt idx="766">
                  <c:v>0.11496904402010612</c:v>
                </c:pt>
                <c:pt idx="767">
                  <c:v>0.11079072587626677</c:v>
                </c:pt>
                <c:pt idx="768">
                  <c:v>0.11751605680010303</c:v>
                </c:pt>
                <c:pt idx="769">
                  <c:v>0.11635709893373127</c:v>
                </c:pt>
                <c:pt idx="770">
                  <c:v>0.11488768071285137</c:v>
                </c:pt>
                <c:pt idx="771">
                  <c:v>0.11187132801770409</c:v>
                </c:pt>
                <c:pt idx="772">
                  <c:v>0.10557690347320181</c:v>
                </c:pt>
                <c:pt idx="773">
                  <c:v>0.10545231211240358</c:v>
                </c:pt>
                <c:pt idx="774">
                  <c:v>0.10592911422635452</c:v>
                </c:pt>
                <c:pt idx="775">
                  <c:v>0.1088361098750404</c:v>
                </c:pt>
                <c:pt idx="776">
                  <c:v>0.11641672103674292</c:v>
                </c:pt>
                <c:pt idx="777">
                  <c:v>0.1160209174623329</c:v>
                </c:pt>
                <c:pt idx="778">
                  <c:v>0.11760397391254554</c:v>
                </c:pt>
                <c:pt idx="779">
                  <c:v>0.12559300911033167</c:v>
                </c:pt>
                <c:pt idx="780">
                  <c:v>0.14262758372918122</c:v>
                </c:pt>
                <c:pt idx="781">
                  <c:v>0.14421891525935657</c:v>
                </c:pt>
                <c:pt idx="782">
                  <c:v>0.14332249025563842</c:v>
                </c:pt>
                <c:pt idx="783">
                  <c:v>0.14545577500562926</c:v>
                </c:pt>
                <c:pt idx="784">
                  <c:v>0.1454706673557806</c:v>
                </c:pt>
                <c:pt idx="785">
                  <c:v>0.15169476882214283</c:v>
                </c:pt>
                <c:pt idx="786">
                  <c:v>0.15684815807259528</c:v>
                </c:pt>
                <c:pt idx="787">
                  <c:v>0.15861173116008226</c:v>
                </c:pt>
                <c:pt idx="788">
                  <c:v>0.16058908474982403</c:v>
                </c:pt>
                <c:pt idx="789">
                  <c:v>0.16086741379131808</c:v>
                </c:pt>
                <c:pt idx="790">
                  <c:v>0.17923822113036242</c:v>
                </c:pt>
                <c:pt idx="791">
                  <c:v>0.18164129365425585</c:v>
                </c:pt>
                <c:pt idx="792">
                  <c:v>0.18204548972128087</c:v>
                </c:pt>
                <c:pt idx="793">
                  <c:v>0.18170692987591994</c:v>
                </c:pt>
                <c:pt idx="794">
                  <c:v>0.19339321432937748</c:v>
                </c:pt>
                <c:pt idx="795">
                  <c:v>0.19389573817641009</c:v>
                </c:pt>
                <c:pt idx="796">
                  <c:v>0.19606028979041057</c:v>
                </c:pt>
                <c:pt idx="797">
                  <c:v>0.19756600839361882</c:v>
                </c:pt>
                <c:pt idx="798">
                  <c:v>0.19470036505618973</c:v>
                </c:pt>
                <c:pt idx="799">
                  <c:v>0.19509431302339814</c:v>
                </c:pt>
                <c:pt idx="800">
                  <c:v>0.19518666697871989</c:v>
                </c:pt>
                <c:pt idx="801">
                  <c:v>0.19507972754733491</c:v>
                </c:pt>
                <c:pt idx="802">
                  <c:v>0.19762353303699937</c:v>
                </c:pt>
                <c:pt idx="803">
                  <c:v>0.20227350284427184</c:v>
                </c:pt>
                <c:pt idx="804">
                  <c:v>0.20446370341576384</c:v>
                </c:pt>
                <c:pt idx="805">
                  <c:v>0.20557788859126969</c:v>
                </c:pt>
                <c:pt idx="806">
                  <c:v>0.19769252693364769</c:v>
                </c:pt>
                <c:pt idx="807">
                  <c:v>0.19818904850392688</c:v>
                </c:pt>
                <c:pt idx="808">
                  <c:v>0.19649859705151351</c:v>
                </c:pt>
                <c:pt idx="809">
                  <c:v>0.19210248858387666</c:v>
                </c:pt>
                <c:pt idx="810">
                  <c:v>0.19929823253710788</c:v>
                </c:pt>
                <c:pt idx="811">
                  <c:v>0.19992358841441843</c:v>
                </c:pt>
                <c:pt idx="812">
                  <c:v>0.20202061168431157</c:v>
                </c:pt>
                <c:pt idx="813">
                  <c:v>0.20116435260119336</c:v>
                </c:pt>
                <c:pt idx="814">
                  <c:v>0.20164380040434482</c:v>
                </c:pt>
                <c:pt idx="815">
                  <c:v>0.19684359368100027</c:v>
                </c:pt>
                <c:pt idx="816">
                  <c:v>0.192684326847015</c:v>
                </c:pt>
                <c:pt idx="817">
                  <c:v>0.18990738042488658</c:v>
                </c:pt>
                <c:pt idx="818">
                  <c:v>0.19759630943492834</c:v>
                </c:pt>
                <c:pt idx="819">
                  <c:v>0.19515916930607674</c:v>
                </c:pt>
                <c:pt idx="820">
                  <c:v>0.17895737291953948</c:v>
                </c:pt>
                <c:pt idx="821">
                  <c:v>0.19402443491195795</c:v>
                </c:pt>
                <c:pt idx="822">
                  <c:v>0.193192129286725</c:v>
                </c:pt>
                <c:pt idx="823">
                  <c:v>0.19157532196180863</c:v>
                </c:pt>
                <c:pt idx="824">
                  <c:v>0.16686722137828078</c:v>
                </c:pt>
                <c:pt idx="825">
                  <c:v>0.16682914736104587</c:v>
                </c:pt>
                <c:pt idx="826">
                  <c:v>0.16626293699777581</c:v>
                </c:pt>
                <c:pt idx="827">
                  <c:v>0.16748680750806791</c:v>
                </c:pt>
                <c:pt idx="828">
                  <c:v>0.16852154295627766</c:v>
                </c:pt>
                <c:pt idx="829">
                  <c:v>0.16775925191215138</c:v>
                </c:pt>
                <c:pt idx="830">
                  <c:v>0.17633968270161485</c:v>
                </c:pt>
                <c:pt idx="831">
                  <c:v>0.1763465390435186</c:v>
                </c:pt>
                <c:pt idx="832">
                  <c:v>0.18535427207922839</c:v>
                </c:pt>
                <c:pt idx="833">
                  <c:v>0.18298129260640897</c:v>
                </c:pt>
                <c:pt idx="834">
                  <c:v>0.18182455080882989</c:v>
                </c:pt>
                <c:pt idx="835">
                  <c:v>0.17978709573903651</c:v>
                </c:pt>
                <c:pt idx="836">
                  <c:v>0.17977303382289042</c:v>
                </c:pt>
                <c:pt idx="837">
                  <c:v>0.17822248937362159</c:v>
                </c:pt>
                <c:pt idx="838">
                  <c:v>0.18410005925084116</c:v>
                </c:pt>
                <c:pt idx="839">
                  <c:v>0.18427787152113675</c:v>
                </c:pt>
                <c:pt idx="840">
                  <c:v>0.1699286823865338</c:v>
                </c:pt>
                <c:pt idx="841">
                  <c:v>0.16597050734055324</c:v>
                </c:pt>
                <c:pt idx="842">
                  <c:v>0.1712425623224067</c:v>
                </c:pt>
                <c:pt idx="843">
                  <c:v>0.17092435506985254</c:v>
                </c:pt>
                <c:pt idx="844">
                  <c:v>0.17069686720872299</c:v>
                </c:pt>
                <c:pt idx="845">
                  <c:v>0.1748282050629946</c:v>
                </c:pt>
                <c:pt idx="846">
                  <c:v>0.17486280230082199</c:v>
                </c:pt>
                <c:pt idx="847">
                  <c:v>0.17666954413407554</c:v>
                </c:pt>
                <c:pt idx="848">
                  <c:v>0.16725036871888604</c:v>
                </c:pt>
                <c:pt idx="849">
                  <c:v>0.17127680754322447</c:v>
                </c:pt>
                <c:pt idx="850">
                  <c:v>0.18578818783299483</c:v>
                </c:pt>
                <c:pt idx="851">
                  <c:v>0.17290965867592648</c:v>
                </c:pt>
                <c:pt idx="852">
                  <c:v>0.17189221128786569</c:v>
                </c:pt>
                <c:pt idx="853">
                  <c:v>0.17268667166786222</c:v>
                </c:pt>
                <c:pt idx="854">
                  <c:v>0.17183753514859429</c:v>
                </c:pt>
                <c:pt idx="855">
                  <c:v>0.17182887210327452</c:v>
                </c:pt>
                <c:pt idx="856">
                  <c:v>0.17361580808484856</c:v>
                </c:pt>
                <c:pt idx="857">
                  <c:v>0.16874441370630502</c:v>
                </c:pt>
                <c:pt idx="858">
                  <c:v>0.16795233620193245</c:v>
                </c:pt>
                <c:pt idx="859">
                  <c:v>0.16731511704129881</c:v>
                </c:pt>
                <c:pt idx="860">
                  <c:v>0.16120344308334206</c:v>
                </c:pt>
                <c:pt idx="861">
                  <c:v>0.16644512354137087</c:v>
                </c:pt>
                <c:pt idx="862">
                  <c:v>0.14938843900629528</c:v>
                </c:pt>
                <c:pt idx="863">
                  <c:v>0.14929009107967323</c:v>
                </c:pt>
                <c:pt idx="864">
                  <c:v>0.14930199265583335</c:v>
                </c:pt>
                <c:pt idx="865">
                  <c:v>0.17167447364606384</c:v>
                </c:pt>
                <c:pt idx="866">
                  <c:v>0.17568738111389809</c:v>
                </c:pt>
                <c:pt idx="867">
                  <c:v>0.17933963988913659</c:v>
                </c:pt>
                <c:pt idx="868">
                  <c:v>0.19700816271174768</c:v>
                </c:pt>
                <c:pt idx="869">
                  <c:v>0.19961550652287166</c:v>
                </c:pt>
                <c:pt idx="870">
                  <c:v>0.1995804435658263</c:v>
                </c:pt>
                <c:pt idx="871">
                  <c:v>0.20309704098220638</c:v>
                </c:pt>
                <c:pt idx="872">
                  <c:v>0.19655374926174501</c:v>
                </c:pt>
                <c:pt idx="873">
                  <c:v>0.19823714011885765</c:v>
                </c:pt>
                <c:pt idx="874">
                  <c:v>0.19990819319192737</c:v>
                </c:pt>
                <c:pt idx="875">
                  <c:v>0.1972634338006912</c:v>
                </c:pt>
                <c:pt idx="876">
                  <c:v>0.19947883392648827</c:v>
                </c:pt>
                <c:pt idx="877">
                  <c:v>0.20211108671091044</c:v>
                </c:pt>
                <c:pt idx="878">
                  <c:v>0.20216974694147705</c:v>
                </c:pt>
                <c:pt idx="879">
                  <c:v>0.19925840437976547</c:v>
                </c:pt>
                <c:pt idx="880">
                  <c:v>0.18620112295588492</c:v>
                </c:pt>
                <c:pt idx="881">
                  <c:v>0.18217816858210725</c:v>
                </c:pt>
                <c:pt idx="882">
                  <c:v>0.18182100216475786</c:v>
                </c:pt>
                <c:pt idx="883">
                  <c:v>0.18447058913115302</c:v>
                </c:pt>
                <c:pt idx="884">
                  <c:v>0.18399316772070176</c:v>
                </c:pt>
                <c:pt idx="885">
                  <c:v>0.18386534566414564</c:v>
                </c:pt>
                <c:pt idx="886">
                  <c:v>0.19170334794507962</c:v>
                </c:pt>
                <c:pt idx="887">
                  <c:v>0.19126004063666341</c:v>
                </c:pt>
                <c:pt idx="888">
                  <c:v>0.19114350562625251</c:v>
                </c:pt>
                <c:pt idx="889">
                  <c:v>0.19675097604322386</c:v>
                </c:pt>
                <c:pt idx="890">
                  <c:v>0.19475088069557231</c:v>
                </c:pt>
                <c:pt idx="891">
                  <c:v>0.19052339720409384</c:v>
                </c:pt>
                <c:pt idx="892">
                  <c:v>0.19025446210882382</c:v>
                </c:pt>
                <c:pt idx="893">
                  <c:v>0.1902204653522154</c:v>
                </c:pt>
                <c:pt idx="894">
                  <c:v>0.19011132196577013</c:v>
                </c:pt>
                <c:pt idx="895">
                  <c:v>0.17298481682685943</c:v>
                </c:pt>
                <c:pt idx="896">
                  <c:v>0.16778199107324895</c:v>
                </c:pt>
                <c:pt idx="897">
                  <c:v>0.16056823821390001</c:v>
                </c:pt>
                <c:pt idx="898">
                  <c:v>0.13838965962881841</c:v>
                </c:pt>
                <c:pt idx="899">
                  <c:v>0.13350489547490918</c:v>
                </c:pt>
                <c:pt idx="900">
                  <c:v>0.13368024329679537</c:v>
                </c:pt>
                <c:pt idx="901">
                  <c:v>0.13036506675629922</c:v>
                </c:pt>
                <c:pt idx="902">
                  <c:v>0.13547277785059147</c:v>
                </c:pt>
                <c:pt idx="903">
                  <c:v>0.13317294105782984</c:v>
                </c:pt>
                <c:pt idx="904">
                  <c:v>0.13131679358546117</c:v>
                </c:pt>
                <c:pt idx="905">
                  <c:v>0.13175729611217069</c:v>
                </c:pt>
                <c:pt idx="906">
                  <c:v>0.12852858931266012</c:v>
                </c:pt>
                <c:pt idx="907">
                  <c:v>0.11841502964548956</c:v>
                </c:pt>
                <c:pt idx="908">
                  <c:v>0.11877899649638167</c:v>
                </c:pt>
                <c:pt idx="909">
                  <c:v>0.11962286198552695</c:v>
                </c:pt>
                <c:pt idx="910">
                  <c:v>0.12040005018470806</c:v>
                </c:pt>
                <c:pt idx="911">
                  <c:v>0.12104556388035795</c:v>
                </c:pt>
                <c:pt idx="912">
                  <c:v>0.12188915667173902</c:v>
                </c:pt>
                <c:pt idx="913">
                  <c:v>0.12249276504074715</c:v>
                </c:pt>
                <c:pt idx="914">
                  <c:v>0.12311331690367859</c:v>
                </c:pt>
                <c:pt idx="915">
                  <c:v>0.12311364508692661</c:v>
                </c:pt>
                <c:pt idx="916">
                  <c:v>0.11365927828085688</c:v>
                </c:pt>
                <c:pt idx="917">
                  <c:v>0.11420178492110311</c:v>
                </c:pt>
                <c:pt idx="918">
                  <c:v>0.11493545664949481</c:v>
                </c:pt>
                <c:pt idx="919">
                  <c:v>0.10645879248259692</c:v>
                </c:pt>
                <c:pt idx="920">
                  <c:v>0.11036013446299797</c:v>
                </c:pt>
                <c:pt idx="921">
                  <c:v>0.108478383621523</c:v>
                </c:pt>
                <c:pt idx="922">
                  <c:v>0.11686577721731696</c:v>
                </c:pt>
                <c:pt idx="923">
                  <c:v>0.11740955058705674</c:v>
                </c:pt>
                <c:pt idx="924">
                  <c:v>0.11738701336241167</c:v>
                </c:pt>
                <c:pt idx="925">
                  <c:v>0.11395370655441685</c:v>
                </c:pt>
                <c:pt idx="926">
                  <c:v>0.11298450805172788</c:v>
                </c:pt>
                <c:pt idx="927">
                  <c:v>0.11920549197696464</c:v>
                </c:pt>
                <c:pt idx="928">
                  <c:v>0.11917413534509438</c:v>
                </c:pt>
                <c:pt idx="929">
                  <c:v>0.12155338361046157</c:v>
                </c:pt>
                <c:pt idx="930">
                  <c:v>0.12177719493918505</c:v>
                </c:pt>
                <c:pt idx="931">
                  <c:v>0.12207760006825666</c:v>
                </c:pt>
                <c:pt idx="932">
                  <c:v>0.11947025394797044</c:v>
                </c:pt>
                <c:pt idx="933">
                  <c:v>0.11940369587958367</c:v>
                </c:pt>
                <c:pt idx="934">
                  <c:v>0.11830513256204495</c:v>
                </c:pt>
                <c:pt idx="935">
                  <c:v>0.11786928223437804</c:v>
                </c:pt>
                <c:pt idx="936">
                  <c:v>0.1257476500832676</c:v>
                </c:pt>
                <c:pt idx="937">
                  <c:v>0.1271759501547704</c:v>
                </c:pt>
                <c:pt idx="938">
                  <c:v>0.12696830760037073</c:v>
                </c:pt>
                <c:pt idx="939">
                  <c:v>0.12939040447224343</c:v>
                </c:pt>
                <c:pt idx="940">
                  <c:v>0.13240407874276547</c:v>
                </c:pt>
                <c:pt idx="941">
                  <c:v>0.13133384778135107</c:v>
                </c:pt>
                <c:pt idx="942">
                  <c:v>0.13387916153790205</c:v>
                </c:pt>
                <c:pt idx="943">
                  <c:v>0.12628104099245721</c:v>
                </c:pt>
                <c:pt idx="944">
                  <c:v>0.13019868050272398</c:v>
                </c:pt>
                <c:pt idx="945">
                  <c:v>0.13123470320932065</c:v>
                </c:pt>
                <c:pt idx="946">
                  <c:v>0.12806514948099221</c:v>
                </c:pt>
                <c:pt idx="947">
                  <c:v>0.128600043105631</c:v>
                </c:pt>
                <c:pt idx="948">
                  <c:v>0.12778065419734547</c:v>
                </c:pt>
                <c:pt idx="949">
                  <c:v>0.12876595831096585</c:v>
                </c:pt>
                <c:pt idx="950">
                  <c:v>0.13276210212160333</c:v>
                </c:pt>
                <c:pt idx="951">
                  <c:v>0.13328761637986128</c:v>
                </c:pt>
                <c:pt idx="952">
                  <c:v>0.12589617172190648</c:v>
                </c:pt>
                <c:pt idx="953">
                  <c:v>0.13488017561838492</c:v>
                </c:pt>
                <c:pt idx="954">
                  <c:v>0.13685999436129512</c:v>
                </c:pt>
                <c:pt idx="955">
                  <c:v>0.13034413080821594</c:v>
                </c:pt>
                <c:pt idx="956">
                  <c:v>0.12996546680889492</c:v>
                </c:pt>
                <c:pt idx="957">
                  <c:v>0.12744899144584287</c:v>
                </c:pt>
                <c:pt idx="958">
                  <c:v>0.14093635311832406</c:v>
                </c:pt>
                <c:pt idx="959">
                  <c:v>0.13647744646893403</c:v>
                </c:pt>
                <c:pt idx="960">
                  <c:v>0.13576225988128912</c:v>
                </c:pt>
                <c:pt idx="961">
                  <c:v>0.15463580944566693</c:v>
                </c:pt>
                <c:pt idx="962">
                  <c:v>0.15321710882373496</c:v>
                </c:pt>
                <c:pt idx="963">
                  <c:v>0.15336325938119932</c:v>
                </c:pt>
                <c:pt idx="964">
                  <c:v>0.15591717325498705</c:v>
                </c:pt>
                <c:pt idx="965">
                  <c:v>0.15989405360988038</c:v>
                </c:pt>
                <c:pt idx="966">
                  <c:v>0.15099601445183428</c:v>
                </c:pt>
                <c:pt idx="967">
                  <c:v>0.15075707063560276</c:v>
                </c:pt>
                <c:pt idx="968">
                  <c:v>0.15256474384626595</c:v>
                </c:pt>
                <c:pt idx="969">
                  <c:v>0.1510833177637223</c:v>
                </c:pt>
                <c:pt idx="970">
                  <c:v>0.14743530011227149</c:v>
                </c:pt>
                <c:pt idx="971">
                  <c:v>0.14966308188145624</c:v>
                </c:pt>
                <c:pt idx="972">
                  <c:v>0.14686676146866276</c:v>
                </c:pt>
                <c:pt idx="973">
                  <c:v>0.14707602330004635</c:v>
                </c:pt>
                <c:pt idx="974">
                  <c:v>0.14573349850974357</c:v>
                </c:pt>
                <c:pt idx="975">
                  <c:v>0.14358770703647095</c:v>
                </c:pt>
                <c:pt idx="976">
                  <c:v>0.14424584859943604</c:v>
                </c:pt>
                <c:pt idx="977">
                  <c:v>0.14542228707590246</c:v>
                </c:pt>
                <c:pt idx="978">
                  <c:v>0.14540614941761315</c:v>
                </c:pt>
                <c:pt idx="979">
                  <c:v>0.14550700871749847</c:v>
                </c:pt>
                <c:pt idx="980">
                  <c:v>0.14119518977966253</c:v>
                </c:pt>
                <c:pt idx="981">
                  <c:v>0.13978711607643091</c:v>
                </c:pt>
                <c:pt idx="982">
                  <c:v>0.14091842212186079</c:v>
                </c:pt>
                <c:pt idx="983">
                  <c:v>0.13569487674227326</c:v>
                </c:pt>
                <c:pt idx="984">
                  <c:v>0.1317933064190068</c:v>
                </c:pt>
                <c:pt idx="985">
                  <c:v>0.13458126495119827</c:v>
                </c:pt>
                <c:pt idx="986">
                  <c:v>0.13446217693222187</c:v>
                </c:pt>
                <c:pt idx="987">
                  <c:v>0.13415109611062387</c:v>
                </c:pt>
                <c:pt idx="988">
                  <c:v>0.11483988690361355</c:v>
                </c:pt>
                <c:pt idx="989">
                  <c:v>0.11698789502990251</c:v>
                </c:pt>
                <c:pt idx="990">
                  <c:v>0.12288410445541964</c:v>
                </c:pt>
                <c:pt idx="991">
                  <c:v>0.10147951154782653</c:v>
                </c:pt>
                <c:pt idx="992">
                  <c:v>0.10273397166201156</c:v>
                </c:pt>
                <c:pt idx="993">
                  <c:v>0.1138418260648139</c:v>
                </c:pt>
                <c:pt idx="994">
                  <c:v>0.11117949436615884</c:v>
                </c:pt>
                <c:pt idx="995">
                  <c:v>0.10516748271942283</c:v>
                </c:pt>
                <c:pt idx="996">
                  <c:v>0.10704441675974609</c:v>
                </c:pt>
                <c:pt idx="997">
                  <c:v>0.10947386971219925</c:v>
                </c:pt>
                <c:pt idx="998">
                  <c:v>0.10757378725405228</c:v>
                </c:pt>
                <c:pt idx="999">
                  <c:v>0.1084258475615368</c:v>
                </c:pt>
                <c:pt idx="1000">
                  <c:v>0.10654769048874849</c:v>
                </c:pt>
                <c:pt idx="1001">
                  <c:v>0.10395129760700636</c:v>
                </c:pt>
                <c:pt idx="1002">
                  <c:v>0.10448626878547262</c:v>
                </c:pt>
                <c:pt idx="1003">
                  <c:v>0.10486785234777692</c:v>
                </c:pt>
                <c:pt idx="1004">
                  <c:v>0.10498732046388469</c:v>
                </c:pt>
                <c:pt idx="1005">
                  <c:v>0.10508003016830204</c:v>
                </c:pt>
                <c:pt idx="1006">
                  <c:v>0.103319925726174</c:v>
                </c:pt>
                <c:pt idx="1007">
                  <c:v>0.10144619573461924</c:v>
                </c:pt>
                <c:pt idx="1008">
                  <c:v>0.1013454983597161</c:v>
                </c:pt>
                <c:pt idx="1009">
                  <c:v>9.9520839644113707E-2</c:v>
                </c:pt>
                <c:pt idx="1010">
                  <c:v>9.9442269693733848E-2</c:v>
                </c:pt>
                <c:pt idx="1011">
                  <c:v>0.10012098986209994</c:v>
                </c:pt>
                <c:pt idx="1012">
                  <c:v>9.9561872328271711E-2</c:v>
                </c:pt>
                <c:pt idx="1013">
                  <c:v>9.6782819201055456E-2</c:v>
                </c:pt>
                <c:pt idx="1014">
                  <c:v>0.10738659690357066</c:v>
                </c:pt>
                <c:pt idx="1015">
                  <c:v>0.10352013382692683</c:v>
                </c:pt>
                <c:pt idx="1016">
                  <c:v>0.1038302165219223</c:v>
                </c:pt>
                <c:pt idx="1017">
                  <c:v>0.10449797650696301</c:v>
                </c:pt>
                <c:pt idx="1018">
                  <c:v>0.11166882502057771</c:v>
                </c:pt>
                <c:pt idx="1019">
                  <c:v>0.10987928157854791</c:v>
                </c:pt>
                <c:pt idx="1020">
                  <c:v>0.10369133041536467</c:v>
                </c:pt>
                <c:pt idx="1021">
                  <c:v>0.10365012860602031</c:v>
                </c:pt>
                <c:pt idx="1022">
                  <c:v>0.10403450146380233</c:v>
                </c:pt>
                <c:pt idx="1023">
                  <c:v>8.9567945048036349E-2</c:v>
                </c:pt>
                <c:pt idx="1024">
                  <c:v>9.4503286410006548E-2</c:v>
                </c:pt>
                <c:pt idx="1025">
                  <c:v>9.5013554236506939E-2</c:v>
                </c:pt>
                <c:pt idx="1026">
                  <c:v>8.9937131858645075E-2</c:v>
                </c:pt>
                <c:pt idx="1027">
                  <c:v>8.8951295238627923E-2</c:v>
                </c:pt>
                <c:pt idx="1028">
                  <c:v>9.6507659324964107E-2</c:v>
                </c:pt>
                <c:pt idx="1029">
                  <c:v>9.7197621911699214E-2</c:v>
                </c:pt>
                <c:pt idx="1030">
                  <c:v>9.5352943249877822E-2</c:v>
                </c:pt>
                <c:pt idx="1031">
                  <c:v>9.6175208323789452E-2</c:v>
                </c:pt>
                <c:pt idx="1032">
                  <c:v>0.10174727149920974</c:v>
                </c:pt>
                <c:pt idx="1033">
                  <c:v>9.9831308047483955E-2</c:v>
                </c:pt>
                <c:pt idx="1034">
                  <c:v>0.10635251640853974</c:v>
                </c:pt>
                <c:pt idx="1035">
                  <c:v>0.17555413252284691</c:v>
                </c:pt>
                <c:pt idx="1036">
                  <c:v>0.1757136150385146</c:v>
                </c:pt>
                <c:pt idx="1037">
                  <c:v>0.17586472662197386</c:v>
                </c:pt>
                <c:pt idx="1038">
                  <c:v>0.17633829907818394</c:v>
                </c:pt>
                <c:pt idx="1039">
                  <c:v>0.17560054512841994</c:v>
                </c:pt>
                <c:pt idx="1040">
                  <c:v>0.17690720481585773</c:v>
                </c:pt>
                <c:pt idx="1041">
                  <c:v>0.17830713481059826</c:v>
                </c:pt>
                <c:pt idx="1042">
                  <c:v>0.19443552990681703</c:v>
                </c:pt>
                <c:pt idx="1043">
                  <c:v>0.19644744563765842</c:v>
                </c:pt>
                <c:pt idx="1044">
                  <c:v>0.19097675950055623</c:v>
                </c:pt>
                <c:pt idx="1045">
                  <c:v>0.1910984369961361</c:v>
                </c:pt>
                <c:pt idx="1046">
                  <c:v>0.19099664564911001</c:v>
                </c:pt>
                <c:pt idx="1047">
                  <c:v>0.19411280243157591</c:v>
                </c:pt>
                <c:pt idx="1048">
                  <c:v>0.18905848335513581</c:v>
                </c:pt>
                <c:pt idx="1049">
                  <c:v>0.18924531058857788</c:v>
                </c:pt>
                <c:pt idx="1050">
                  <c:v>0.18917000533274783</c:v>
                </c:pt>
                <c:pt idx="1051">
                  <c:v>0.18940410465786081</c:v>
                </c:pt>
                <c:pt idx="1052">
                  <c:v>0.18997266767895574</c:v>
                </c:pt>
                <c:pt idx="1053">
                  <c:v>0.19173223168249298</c:v>
                </c:pt>
                <c:pt idx="1054">
                  <c:v>0.19315150620292326</c:v>
                </c:pt>
                <c:pt idx="1055">
                  <c:v>0.19290219618012652</c:v>
                </c:pt>
                <c:pt idx="1056">
                  <c:v>0.19286704678357586</c:v>
                </c:pt>
                <c:pt idx="1057">
                  <c:v>0.19292700175758321</c:v>
                </c:pt>
                <c:pt idx="1058">
                  <c:v>0.18889737795354469</c:v>
                </c:pt>
                <c:pt idx="1059">
                  <c:v>0.19637056172686365</c:v>
                </c:pt>
                <c:pt idx="1060">
                  <c:v>0.19618625327777001</c:v>
                </c:pt>
                <c:pt idx="1061">
                  <c:v>0.19657903910098148</c:v>
                </c:pt>
                <c:pt idx="1062">
                  <c:v>0.19188850099496924</c:v>
                </c:pt>
                <c:pt idx="1063">
                  <c:v>0.1930150540425834</c:v>
                </c:pt>
                <c:pt idx="1064">
                  <c:v>0.20945398533831722</c:v>
                </c:pt>
                <c:pt idx="1065">
                  <c:v>0.16788892728245167</c:v>
                </c:pt>
                <c:pt idx="1066">
                  <c:v>0.17325897474302085</c:v>
                </c:pt>
                <c:pt idx="1067">
                  <c:v>0.17312195969861788</c:v>
                </c:pt>
                <c:pt idx="1068">
                  <c:v>0.17743307173229445</c:v>
                </c:pt>
                <c:pt idx="1069">
                  <c:v>0.17968115897913731</c:v>
                </c:pt>
                <c:pt idx="1070">
                  <c:v>0.18314965206392717</c:v>
                </c:pt>
                <c:pt idx="1071">
                  <c:v>0.18654312374573459</c:v>
                </c:pt>
                <c:pt idx="1072">
                  <c:v>0.16686870109974422</c:v>
                </c:pt>
                <c:pt idx="1073">
                  <c:v>0.1653026002401963</c:v>
                </c:pt>
                <c:pt idx="1074">
                  <c:v>0.18303096906281449</c:v>
                </c:pt>
                <c:pt idx="1075">
                  <c:v>0.1831293781309476</c:v>
                </c:pt>
                <c:pt idx="1076">
                  <c:v>0.18201793347457876</c:v>
                </c:pt>
                <c:pt idx="1077">
                  <c:v>0.18378532086314145</c:v>
                </c:pt>
                <c:pt idx="1078">
                  <c:v>0.18469445143064495</c:v>
                </c:pt>
                <c:pt idx="1079">
                  <c:v>0.188457127566347</c:v>
                </c:pt>
                <c:pt idx="1080">
                  <c:v>0.19392887280307286</c:v>
                </c:pt>
                <c:pt idx="1081">
                  <c:v>0.19545954890086306</c:v>
                </c:pt>
                <c:pt idx="1082">
                  <c:v>0.19635186520193665</c:v>
                </c:pt>
                <c:pt idx="1083">
                  <c:v>0.19716096100248459</c:v>
                </c:pt>
                <c:pt idx="1084">
                  <c:v>0.19251810395413013</c:v>
                </c:pt>
                <c:pt idx="1085">
                  <c:v>0.19689701588918673</c:v>
                </c:pt>
                <c:pt idx="1086">
                  <c:v>0.19845187348480822</c:v>
                </c:pt>
                <c:pt idx="1087">
                  <c:v>0.19842939172084076</c:v>
                </c:pt>
                <c:pt idx="1088">
                  <c:v>0.19588863123801961</c:v>
                </c:pt>
                <c:pt idx="1089">
                  <c:v>0.19742352612087419</c:v>
                </c:pt>
                <c:pt idx="1090">
                  <c:v>0.19740769059688357</c:v>
                </c:pt>
                <c:pt idx="1091">
                  <c:v>0.22452286665684737</c:v>
                </c:pt>
                <c:pt idx="1092">
                  <c:v>0.22571287761068065</c:v>
                </c:pt>
                <c:pt idx="1093">
                  <c:v>0.2420441808541888</c:v>
                </c:pt>
                <c:pt idx="1094">
                  <c:v>0.22579112299621484</c:v>
                </c:pt>
                <c:pt idx="1095">
                  <c:v>0.21864083146679689</c:v>
                </c:pt>
                <c:pt idx="1096">
                  <c:v>0.21586257105737469</c:v>
                </c:pt>
                <c:pt idx="1097">
                  <c:v>0.21588152564633223</c:v>
                </c:pt>
                <c:pt idx="1098">
                  <c:v>0.22323728730844872</c:v>
                </c:pt>
                <c:pt idx="1099">
                  <c:v>0.21953999979800953</c:v>
                </c:pt>
                <c:pt idx="1100">
                  <c:v>0.22194912414408841</c:v>
                </c:pt>
                <c:pt idx="1101">
                  <c:v>0.22046257251096529</c:v>
                </c:pt>
                <c:pt idx="1102">
                  <c:v>0.21942615247935085</c:v>
                </c:pt>
                <c:pt idx="1103">
                  <c:v>0.21439381900758578</c:v>
                </c:pt>
                <c:pt idx="1104">
                  <c:v>0.21537122851448784</c:v>
                </c:pt>
                <c:pt idx="1105">
                  <c:v>0.23549217275760892</c:v>
                </c:pt>
                <c:pt idx="1106">
                  <c:v>0.23529916056419262</c:v>
                </c:pt>
                <c:pt idx="1107">
                  <c:v>0.23405450753177467</c:v>
                </c:pt>
                <c:pt idx="1108">
                  <c:v>0.23776610319502448</c:v>
                </c:pt>
                <c:pt idx="1109">
                  <c:v>0.23005012294354465</c:v>
                </c:pt>
                <c:pt idx="1110">
                  <c:v>0.22929454848763381</c:v>
                </c:pt>
                <c:pt idx="1111">
                  <c:v>0.24206978117178907</c:v>
                </c:pt>
                <c:pt idx="1112">
                  <c:v>0.24204157340610852</c:v>
                </c:pt>
                <c:pt idx="1113">
                  <c:v>0.23884042864479962</c:v>
                </c:pt>
                <c:pt idx="1114">
                  <c:v>0.23672042978216101</c:v>
                </c:pt>
                <c:pt idx="1115">
                  <c:v>0.23537003379973928</c:v>
                </c:pt>
                <c:pt idx="1116">
                  <c:v>0.23970562131882958</c:v>
                </c:pt>
                <c:pt idx="1117">
                  <c:v>0.24355317757658682</c:v>
                </c:pt>
                <c:pt idx="1118">
                  <c:v>0.24536031291939786</c:v>
                </c:pt>
                <c:pt idx="1119">
                  <c:v>0.24241949869194959</c:v>
                </c:pt>
                <c:pt idx="1120">
                  <c:v>0.24244807683494968</c:v>
                </c:pt>
                <c:pt idx="1121">
                  <c:v>0.21974332170558478</c:v>
                </c:pt>
                <c:pt idx="1122">
                  <c:v>0.21871893419877289</c:v>
                </c:pt>
                <c:pt idx="1123">
                  <c:v>0.20246457291644612</c:v>
                </c:pt>
                <c:pt idx="1124">
                  <c:v>0.20075186501129433</c:v>
                </c:pt>
                <c:pt idx="1125">
                  <c:v>0.20783918904873436</c:v>
                </c:pt>
                <c:pt idx="1126">
                  <c:v>0.20670461669909171</c:v>
                </c:pt>
                <c:pt idx="1127">
                  <c:v>0.2071037248217415</c:v>
                </c:pt>
                <c:pt idx="1128">
                  <c:v>0.19212537613982486</c:v>
                </c:pt>
                <c:pt idx="1129">
                  <c:v>0.19045782726429841</c:v>
                </c:pt>
                <c:pt idx="1130">
                  <c:v>0.19873668761454261</c:v>
                </c:pt>
                <c:pt idx="1131">
                  <c:v>0.20217230207195827</c:v>
                </c:pt>
                <c:pt idx="1132">
                  <c:v>0.20384500302429617</c:v>
                </c:pt>
                <c:pt idx="1133">
                  <c:v>0.20427140406334796</c:v>
                </c:pt>
                <c:pt idx="1134">
                  <c:v>0.19147543544545745</c:v>
                </c:pt>
                <c:pt idx="1135">
                  <c:v>0.18441932757408994</c:v>
                </c:pt>
                <c:pt idx="1136">
                  <c:v>0.18471530100532882</c:v>
                </c:pt>
                <c:pt idx="1137">
                  <c:v>0.18195742614928012</c:v>
                </c:pt>
                <c:pt idx="1138">
                  <c:v>0.17876701298998696</c:v>
                </c:pt>
                <c:pt idx="1139">
                  <c:v>0.18528273500216844</c:v>
                </c:pt>
                <c:pt idx="1140">
                  <c:v>0.185897391012629</c:v>
                </c:pt>
                <c:pt idx="1141">
                  <c:v>0.16706991095802706</c:v>
                </c:pt>
                <c:pt idx="1142">
                  <c:v>0.16653184578808308</c:v>
                </c:pt>
                <c:pt idx="1143">
                  <c:v>0.17074224317747069</c:v>
                </c:pt>
                <c:pt idx="1144">
                  <c:v>0.18020580023459817</c:v>
                </c:pt>
                <c:pt idx="1145">
                  <c:v>0.18037287967287327</c:v>
                </c:pt>
                <c:pt idx="1146">
                  <c:v>0.16783077307115238</c:v>
                </c:pt>
                <c:pt idx="1147">
                  <c:v>0.16303758144845237</c:v>
                </c:pt>
                <c:pt idx="1148">
                  <c:v>0.15760949853376477</c:v>
                </c:pt>
                <c:pt idx="1149">
                  <c:v>0.15617419595377313</c:v>
                </c:pt>
                <c:pt idx="1150">
                  <c:v>0.15464357056709704</c:v>
                </c:pt>
                <c:pt idx="1151">
                  <c:v>0.15490180450747018</c:v>
                </c:pt>
                <c:pt idx="1152">
                  <c:v>0.15554773983574907</c:v>
                </c:pt>
                <c:pt idx="1153">
                  <c:v>0.16225729089670435</c:v>
                </c:pt>
                <c:pt idx="1154">
                  <c:v>0.16983557768948682</c:v>
                </c:pt>
                <c:pt idx="1155">
                  <c:v>0.16629919193534323</c:v>
                </c:pt>
                <c:pt idx="1156">
                  <c:v>0.16609882455102915</c:v>
                </c:pt>
                <c:pt idx="1157">
                  <c:v>0.16910990660390851</c:v>
                </c:pt>
                <c:pt idx="1158">
                  <c:v>0.16923829773955459</c:v>
                </c:pt>
                <c:pt idx="1159">
                  <c:v>0.17960970490392336</c:v>
                </c:pt>
                <c:pt idx="1160">
                  <c:v>0.17173082698666631</c:v>
                </c:pt>
                <c:pt idx="1161">
                  <c:v>0.16461030336586513</c:v>
                </c:pt>
                <c:pt idx="1162">
                  <c:v>0.16366706658432401</c:v>
                </c:pt>
                <c:pt idx="1163">
                  <c:v>0.16169474042930265</c:v>
                </c:pt>
                <c:pt idx="1164">
                  <c:v>0.15989049701822231</c:v>
                </c:pt>
                <c:pt idx="1165">
                  <c:v>0.14793180250799542</c:v>
                </c:pt>
                <c:pt idx="1166">
                  <c:v>0.15255520927395733</c:v>
                </c:pt>
                <c:pt idx="1167">
                  <c:v>0.15146472685446938</c:v>
                </c:pt>
                <c:pt idx="1168">
                  <c:v>0.15034217138301217</c:v>
                </c:pt>
                <c:pt idx="1169">
                  <c:v>0.14510039960440554</c:v>
                </c:pt>
                <c:pt idx="1170">
                  <c:v>0.14531170559132775</c:v>
                </c:pt>
                <c:pt idx="1171">
                  <c:v>0.14449960254854738</c:v>
                </c:pt>
                <c:pt idx="1172">
                  <c:v>0.1455481987527058</c:v>
                </c:pt>
                <c:pt idx="1173">
                  <c:v>0.13905538903665771</c:v>
                </c:pt>
                <c:pt idx="1174">
                  <c:v>0.12998548284402542</c:v>
                </c:pt>
                <c:pt idx="1175">
                  <c:v>0.13200148648176477</c:v>
                </c:pt>
                <c:pt idx="1176">
                  <c:v>0.132648073661428</c:v>
                </c:pt>
                <c:pt idx="1177">
                  <c:v>0.12942388629415985</c:v>
                </c:pt>
                <c:pt idx="1178">
                  <c:v>0.12987376437449263</c:v>
                </c:pt>
                <c:pt idx="1179">
                  <c:v>0.13493069426917878</c:v>
                </c:pt>
                <c:pt idx="1180">
                  <c:v>0.15972867033257324</c:v>
                </c:pt>
                <c:pt idx="1181">
                  <c:v>0.16230477415435846</c:v>
                </c:pt>
                <c:pt idx="1182">
                  <c:v>0.16026408055735017</c:v>
                </c:pt>
                <c:pt idx="1183">
                  <c:v>0.15745667331487018</c:v>
                </c:pt>
                <c:pt idx="1184">
                  <c:v>0.14724884347854458</c:v>
                </c:pt>
                <c:pt idx="1185">
                  <c:v>0.1451488343728248</c:v>
                </c:pt>
                <c:pt idx="1186">
                  <c:v>0.14513185807241116</c:v>
                </c:pt>
                <c:pt idx="1187">
                  <c:v>0.14409831591190397</c:v>
                </c:pt>
                <c:pt idx="1188">
                  <c:v>0.15721023807898876</c:v>
                </c:pt>
                <c:pt idx="1189">
                  <c:v>0.15140767248640871</c:v>
                </c:pt>
                <c:pt idx="1190">
                  <c:v>0.15841728217518106</c:v>
                </c:pt>
                <c:pt idx="1191">
                  <c:v>0.15895130243677077</c:v>
                </c:pt>
                <c:pt idx="1192">
                  <c:v>0.15901569821485406</c:v>
                </c:pt>
                <c:pt idx="1193">
                  <c:v>0.16448788221245597</c:v>
                </c:pt>
                <c:pt idx="1194">
                  <c:v>0.17203442086612572</c:v>
                </c:pt>
                <c:pt idx="1195">
                  <c:v>0.17219957640658037</c:v>
                </c:pt>
                <c:pt idx="1196">
                  <c:v>0.16953912777262528</c:v>
                </c:pt>
                <c:pt idx="1197">
                  <c:v>0.16925870219701164</c:v>
                </c:pt>
                <c:pt idx="1198">
                  <c:v>0.16854863060035949</c:v>
                </c:pt>
                <c:pt idx="1199">
                  <c:v>0.17163140838635435</c:v>
                </c:pt>
                <c:pt idx="1200">
                  <c:v>0.17808908435312865</c:v>
                </c:pt>
                <c:pt idx="1201">
                  <c:v>0.17816155035128925</c:v>
                </c:pt>
                <c:pt idx="1202">
                  <c:v>0.19168626218967308</c:v>
                </c:pt>
                <c:pt idx="1203">
                  <c:v>0.19170634426150629</c:v>
                </c:pt>
                <c:pt idx="1204">
                  <c:v>0.19051992023201561</c:v>
                </c:pt>
                <c:pt idx="1205">
                  <c:v>0.18880835619916753</c:v>
                </c:pt>
                <c:pt idx="1206">
                  <c:v>0.18729256403096806</c:v>
                </c:pt>
                <c:pt idx="1207">
                  <c:v>0.18730733950026121</c:v>
                </c:pt>
                <c:pt idx="1208">
                  <c:v>0.18834132272923618</c:v>
                </c:pt>
                <c:pt idx="1209">
                  <c:v>0.18449418475425169</c:v>
                </c:pt>
                <c:pt idx="1210">
                  <c:v>0.17122141234082466</c:v>
                </c:pt>
                <c:pt idx="1211">
                  <c:v>0.16908347704576751</c:v>
                </c:pt>
                <c:pt idx="1212">
                  <c:v>0.17471796665049122</c:v>
                </c:pt>
                <c:pt idx="1213">
                  <c:v>0.17446012135832509</c:v>
                </c:pt>
                <c:pt idx="1214">
                  <c:v>0.17078524473967591</c:v>
                </c:pt>
                <c:pt idx="1215">
                  <c:v>0.17094909371304517</c:v>
                </c:pt>
                <c:pt idx="1216">
                  <c:v>0.17300072619783535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4C-4C71-BEED-731519761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354717"/>
        <c:axId val="39759502"/>
      </c:lineChart>
      <c:dateAx>
        <c:axId val="133547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/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759502"/>
        <c:crosses val="autoZero"/>
        <c:auto val="1"/>
        <c:lblOffset val="100"/>
        <c:baseTimeUnit val="days"/>
        <c:majorUnit val="6"/>
        <c:majorTimeUnit val="months"/>
      </c:dateAx>
      <c:valAx>
        <c:axId val="397595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Volatilidade anualizada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547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ICO2 — Fechamento diário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Dados!$B$1</c:f>
              <c:strCache>
                <c:ptCount val="1"/>
                <c:pt idx="0">
                  <c:v>ICO2_Fechamento</c:v>
                </c:pt>
              </c:strCache>
            </c:strRef>
          </c:tx>
          <c:spPr>
            <a:ln w="9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Dados!$A$2:$A$1248</c:f>
              <c:numCache>
                <c:formatCode>m/d/yy</c:formatCode>
                <c:ptCount val="1247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44445</c:v>
                </c:pt>
                <c:pt idx="4">
                  <c:v>44447</c:v>
                </c:pt>
                <c:pt idx="5">
                  <c:v>44448</c:v>
                </c:pt>
                <c:pt idx="6">
                  <c:v>44449</c:v>
                </c:pt>
                <c:pt idx="7">
                  <c:v>44452</c:v>
                </c:pt>
                <c:pt idx="8">
                  <c:v>44453</c:v>
                </c:pt>
                <c:pt idx="9">
                  <c:v>44454</c:v>
                </c:pt>
                <c:pt idx="10">
                  <c:v>44455</c:v>
                </c:pt>
                <c:pt idx="11">
                  <c:v>44456</c:v>
                </c:pt>
                <c:pt idx="12">
                  <c:v>44459</c:v>
                </c:pt>
                <c:pt idx="13">
                  <c:v>44460</c:v>
                </c:pt>
                <c:pt idx="14">
                  <c:v>44461</c:v>
                </c:pt>
                <c:pt idx="15">
                  <c:v>44462</c:v>
                </c:pt>
                <c:pt idx="16">
                  <c:v>44463</c:v>
                </c:pt>
                <c:pt idx="17">
                  <c:v>44466</c:v>
                </c:pt>
                <c:pt idx="18">
                  <c:v>44467</c:v>
                </c:pt>
                <c:pt idx="19">
                  <c:v>44468</c:v>
                </c:pt>
                <c:pt idx="20">
                  <c:v>44469</c:v>
                </c:pt>
                <c:pt idx="21">
                  <c:v>44470</c:v>
                </c:pt>
                <c:pt idx="22">
                  <c:v>44473</c:v>
                </c:pt>
                <c:pt idx="23">
                  <c:v>44474</c:v>
                </c:pt>
                <c:pt idx="24">
                  <c:v>44475</c:v>
                </c:pt>
                <c:pt idx="25">
                  <c:v>44476</c:v>
                </c:pt>
                <c:pt idx="26">
                  <c:v>44477</c:v>
                </c:pt>
                <c:pt idx="27">
                  <c:v>44480</c:v>
                </c:pt>
                <c:pt idx="28">
                  <c:v>44482</c:v>
                </c:pt>
                <c:pt idx="29">
                  <c:v>44483</c:v>
                </c:pt>
                <c:pt idx="30">
                  <c:v>44484</c:v>
                </c:pt>
                <c:pt idx="31">
                  <c:v>44487</c:v>
                </c:pt>
                <c:pt idx="32">
                  <c:v>44488</c:v>
                </c:pt>
                <c:pt idx="33">
                  <c:v>44489</c:v>
                </c:pt>
                <c:pt idx="34">
                  <c:v>44490</c:v>
                </c:pt>
                <c:pt idx="35">
                  <c:v>44491</c:v>
                </c:pt>
                <c:pt idx="36">
                  <c:v>44494</c:v>
                </c:pt>
                <c:pt idx="37">
                  <c:v>44495</c:v>
                </c:pt>
                <c:pt idx="38">
                  <c:v>44496</c:v>
                </c:pt>
                <c:pt idx="39">
                  <c:v>44497</c:v>
                </c:pt>
                <c:pt idx="40">
                  <c:v>44498</c:v>
                </c:pt>
                <c:pt idx="41">
                  <c:v>44501</c:v>
                </c:pt>
                <c:pt idx="42">
                  <c:v>44503</c:v>
                </c:pt>
                <c:pt idx="43">
                  <c:v>44504</c:v>
                </c:pt>
                <c:pt idx="44">
                  <c:v>44505</c:v>
                </c:pt>
                <c:pt idx="45">
                  <c:v>44508</c:v>
                </c:pt>
                <c:pt idx="46">
                  <c:v>44509</c:v>
                </c:pt>
                <c:pt idx="47">
                  <c:v>44510</c:v>
                </c:pt>
                <c:pt idx="48">
                  <c:v>44511</c:v>
                </c:pt>
                <c:pt idx="49">
                  <c:v>44512</c:v>
                </c:pt>
                <c:pt idx="50">
                  <c:v>44516</c:v>
                </c:pt>
                <c:pt idx="51">
                  <c:v>44517</c:v>
                </c:pt>
                <c:pt idx="52">
                  <c:v>44518</c:v>
                </c:pt>
                <c:pt idx="53">
                  <c:v>44519</c:v>
                </c:pt>
                <c:pt idx="54">
                  <c:v>44522</c:v>
                </c:pt>
                <c:pt idx="55">
                  <c:v>44523</c:v>
                </c:pt>
                <c:pt idx="56">
                  <c:v>44524</c:v>
                </c:pt>
                <c:pt idx="57">
                  <c:v>44525</c:v>
                </c:pt>
                <c:pt idx="58">
                  <c:v>44526</c:v>
                </c:pt>
                <c:pt idx="59">
                  <c:v>44529</c:v>
                </c:pt>
                <c:pt idx="60">
                  <c:v>44530</c:v>
                </c:pt>
                <c:pt idx="61">
                  <c:v>44531</c:v>
                </c:pt>
                <c:pt idx="62">
                  <c:v>44532</c:v>
                </c:pt>
                <c:pt idx="63">
                  <c:v>44533</c:v>
                </c:pt>
                <c:pt idx="64">
                  <c:v>44536</c:v>
                </c:pt>
                <c:pt idx="65">
                  <c:v>44537</c:v>
                </c:pt>
                <c:pt idx="66">
                  <c:v>44538</c:v>
                </c:pt>
                <c:pt idx="67">
                  <c:v>44539</c:v>
                </c:pt>
                <c:pt idx="68">
                  <c:v>44540</c:v>
                </c:pt>
                <c:pt idx="69">
                  <c:v>44543</c:v>
                </c:pt>
                <c:pt idx="70">
                  <c:v>44544</c:v>
                </c:pt>
                <c:pt idx="71">
                  <c:v>44545</c:v>
                </c:pt>
                <c:pt idx="72">
                  <c:v>44546</c:v>
                </c:pt>
                <c:pt idx="73">
                  <c:v>44547</c:v>
                </c:pt>
                <c:pt idx="74">
                  <c:v>44550</c:v>
                </c:pt>
                <c:pt idx="75">
                  <c:v>44551</c:v>
                </c:pt>
                <c:pt idx="76">
                  <c:v>44552</c:v>
                </c:pt>
                <c:pt idx="77">
                  <c:v>44553</c:v>
                </c:pt>
                <c:pt idx="78">
                  <c:v>44557</c:v>
                </c:pt>
                <c:pt idx="79">
                  <c:v>44558</c:v>
                </c:pt>
                <c:pt idx="80">
                  <c:v>44559</c:v>
                </c:pt>
                <c:pt idx="81">
                  <c:v>44560</c:v>
                </c:pt>
                <c:pt idx="82">
                  <c:v>44564</c:v>
                </c:pt>
                <c:pt idx="83">
                  <c:v>44565</c:v>
                </c:pt>
                <c:pt idx="84">
                  <c:v>44566</c:v>
                </c:pt>
                <c:pt idx="85">
                  <c:v>44567</c:v>
                </c:pt>
                <c:pt idx="86">
                  <c:v>44568</c:v>
                </c:pt>
                <c:pt idx="87">
                  <c:v>44571</c:v>
                </c:pt>
                <c:pt idx="88">
                  <c:v>44572</c:v>
                </c:pt>
                <c:pt idx="89">
                  <c:v>44573</c:v>
                </c:pt>
                <c:pt idx="90">
                  <c:v>44574</c:v>
                </c:pt>
                <c:pt idx="91">
                  <c:v>44575</c:v>
                </c:pt>
                <c:pt idx="92">
                  <c:v>44578</c:v>
                </c:pt>
                <c:pt idx="93">
                  <c:v>44579</c:v>
                </c:pt>
                <c:pt idx="94">
                  <c:v>44580</c:v>
                </c:pt>
                <c:pt idx="95">
                  <c:v>44581</c:v>
                </c:pt>
                <c:pt idx="96">
                  <c:v>44582</c:v>
                </c:pt>
                <c:pt idx="97">
                  <c:v>44585</c:v>
                </c:pt>
                <c:pt idx="98">
                  <c:v>44586</c:v>
                </c:pt>
                <c:pt idx="99">
                  <c:v>44587</c:v>
                </c:pt>
                <c:pt idx="100">
                  <c:v>44588</c:v>
                </c:pt>
                <c:pt idx="101">
                  <c:v>44589</c:v>
                </c:pt>
                <c:pt idx="102">
                  <c:v>44592</c:v>
                </c:pt>
                <c:pt idx="103">
                  <c:v>44593</c:v>
                </c:pt>
                <c:pt idx="104">
                  <c:v>44594</c:v>
                </c:pt>
                <c:pt idx="105">
                  <c:v>44595</c:v>
                </c:pt>
                <c:pt idx="106">
                  <c:v>44596</c:v>
                </c:pt>
                <c:pt idx="107">
                  <c:v>44599</c:v>
                </c:pt>
                <c:pt idx="108">
                  <c:v>44600</c:v>
                </c:pt>
                <c:pt idx="109">
                  <c:v>44601</c:v>
                </c:pt>
                <c:pt idx="110">
                  <c:v>44602</c:v>
                </c:pt>
                <c:pt idx="111">
                  <c:v>44603</c:v>
                </c:pt>
                <c:pt idx="112">
                  <c:v>44606</c:v>
                </c:pt>
                <c:pt idx="113">
                  <c:v>44607</c:v>
                </c:pt>
                <c:pt idx="114">
                  <c:v>44608</c:v>
                </c:pt>
                <c:pt idx="115">
                  <c:v>44609</c:v>
                </c:pt>
                <c:pt idx="116">
                  <c:v>44610</c:v>
                </c:pt>
                <c:pt idx="117">
                  <c:v>44613</c:v>
                </c:pt>
                <c:pt idx="118">
                  <c:v>44614</c:v>
                </c:pt>
                <c:pt idx="119">
                  <c:v>44615</c:v>
                </c:pt>
                <c:pt idx="120">
                  <c:v>44616</c:v>
                </c:pt>
                <c:pt idx="121">
                  <c:v>44617</c:v>
                </c:pt>
                <c:pt idx="122">
                  <c:v>44622</c:v>
                </c:pt>
                <c:pt idx="123">
                  <c:v>44623</c:v>
                </c:pt>
                <c:pt idx="124">
                  <c:v>44624</c:v>
                </c:pt>
                <c:pt idx="125">
                  <c:v>44627</c:v>
                </c:pt>
                <c:pt idx="126">
                  <c:v>44628</c:v>
                </c:pt>
                <c:pt idx="127">
                  <c:v>44629</c:v>
                </c:pt>
                <c:pt idx="128">
                  <c:v>44630</c:v>
                </c:pt>
                <c:pt idx="129">
                  <c:v>44631</c:v>
                </c:pt>
                <c:pt idx="130">
                  <c:v>44634</c:v>
                </c:pt>
                <c:pt idx="131">
                  <c:v>44635</c:v>
                </c:pt>
                <c:pt idx="132">
                  <c:v>44636</c:v>
                </c:pt>
                <c:pt idx="133">
                  <c:v>44637</c:v>
                </c:pt>
                <c:pt idx="134">
                  <c:v>44638</c:v>
                </c:pt>
                <c:pt idx="135">
                  <c:v>44641</c:v>
                </c:pt>
                <c:pt idx="136">
                  <c:v>44642</c:v>
                </c:pt>
                <c:pt idx="137">
                  <c:v>44643</c:v>
                </c:pt>
                <c:pt idx="138">
                  <c:v>44644</c:v>
                </c:pt>
                <c:pt idx="139">
                  <c:v>44645</c:v>
                </c:pt>
                <c:pt idx="140">
                  <c:v>44648</c:v>
                </c:pt>
                <c:pt idx="141">
                  <c:v>44649</c:v>
                </c:pt>
                <c:pt idx="142">
                  <c:v>44650</c:v>
                </c:pt>
                <c:pt idx="143">
                  <c:v>44651</c:v>
                </c:pt>
                <c:pt idx="144">
                  <c:v>44652</c:v>
                </c:pt>
                <c:pt idx="145">
                  <c:v>44655</c:v>
                </c:pt>
                <c:pt idx="146">
                  <c:v>44656</c:v>
                </c:pt>
                <c:pt idx="147">
                  <c:v>44657</c:v>
                </c:pt>
                <c:pt idx="148">
                  <c:v>44658</c:v>
                </c:pt>
                <c:pt idx="149">
                  <c:v>44659</c:v>
                </c:pt>
                <c:pt idx="150">
                  <c:v>44662</c:v>
                </c:pt>
                <c:pt idx="151">
                  <c:v>44663</c:v>
                </c:pt>
                <c:pt idx="152">
                  <c:v>44664</c:v>
                </c:pt>
                <c:pt idx="153">
                  <c:v>44665</c:v>
                </c:pt>
                <c:pt idx="154">
                  <c:v>44669</c:v>
                </c:pt>
                <c:pt idx="155">
                  <c:v>44670</c:v>
                </c:pt>
                <c:pt idx="156">
                  <c:v>44671</c:v>
                </c:pt>
                <c:pt idx="157">
                  <c:v>44673</c:v>
                </c:pt>
                <c:pt idx="158">
                  <c:v>44676</c:v>
                </c:pt>
                <c:pt idx="159">
                  <c:v>44677</c:v>
                </c:pt>
                <c:pt idx="160">
                  <c:v>44678</c:v>
                </c:pt>
                <c:pt idx="161">
                  <c:v>44679</c:v>
                </c:pt>
                <c:pt idx="162">
                  <c:v>44680</c:v>
                </c:pt>
                <c:pt idx="163">
                  <c:v>44683</c:v>
                </c:pt>
                <c:pt idx="164">
                  <c:v>44684</c:v>
                </c:pt>
                <c:pt idx="165">
                  <c:v>44685</c:v>
                </c:pt>
                <c:pt idx="166">
                  <c:v>44686</c:v>
                </c:pt>
                <c:pt idx="167">
                  <c:v>44687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44697</c:v>
                </c:pt>
                <c:pt idx="174">
                  <c:v>44698</c:v>
                </c:pt>
                <c:pt idx="175">
                  <c:v>44699</c:v>
                </c:pt>
                <c:pt idx="176">
                  <c:v>44700</c:v>
                </c:pt>
                <c:pt idx="177">
                  <c:v>44701</c:v>
                </c:pt>
                <c:pt idx="178">
                  <c:v>44704</c:v>
                </c:pt>
                <c:pt idx="179">
                  <c:v>44705</c:v>
                </c:pt>
                <c:pt idx="180">
                  <c:v>44706</c:v>
                </c:pt>
                <c:pt idx="181">
                  <c:v>44707</c:v>
                </c:pt>
                <c:pt idx="182">
                  <c:v>44708</c:v>
                </c:pt>
                <c:pt idx="183">
                  <c:v>44711</c:v>
                </c:pt>
                <c:pt idx="184">
                  <c:v>44712</c:v>
                </c:pt>
                <c:pt idx="185">
                  <c:v>44713</c:v>
                </c:pt>
                <c:pt idx="186">
                  <c:v>44714</c:v>
                </c:pt>
                <c:pt idx="187">
                  <c:v>44715</c:v>
                </c:pt>
                <c:pt idx="188">
                  <c:v>44718</c:v>
                </c:pt>
                <c:pt idx="189">
                  <c:v>44719</c:v>
                </c:pt>
                <c:pt idx="190">
                  <c:v>44720</c:v>
                </c:pt>
                <c:pt idx="191">
                  <c:v>44721</c:v>
                </c:pt>
                <c:pt idx="192">
                  <c:v>44722</c:v>
                </c:pt>
                <c:pt idx="193">
                  <c:v>44725</c:v>
                </c:pt>
                <c:pt idx="194">
                  <c:v>44726</c:v>
                </c:pt>
                <c:pt idx="195">
                  <c:v>44727</c:v>
                </c:pt>
                <c:pt idx="196">
                  <c:v>44729</c:v>
                </c:pt>
                <c:pt idx="197">
                  <c:v>44732</c:v>
                </c:pt>
                <c:pt idx="198">
                  <c:v>44733</c:v>
                </c:pt>
                <c:pt idx="199">
                  <c:v>44734</c:v>
                </c:pt>
                <c:pt idx="200">
                  <c:v>44735</c:v>
                </c:pt>
                <c:pt idx="201">
                  <c:v>44736</c:v>
                </c:pt>
                <c:pt idx="202">
                  <c:v>44739</c:v>
                </c:pt>
                <c:pt idx="203">
                  <c:v>44740</c:v>
                </c:pt>
                <c:pt idx="204">
                  <c:v>44741</c:v>
                </c:pt>
                <c:pt idx="205">
                  <c:v>44742</c:v>
                </c:pt>
                <c:pt idx="206">
                  <c:v>44743</c:v>
                </c:pt>
                <c:pt idx="207">
                  <c:v>44746</c:v>
                </c:pt>
                <c:pt idx="208">
                  <c:v>44747</c:v>
                </c:pt>
                <c:pt idx="209">
                  <c:v>44748</c:v>
                </c:pt>
                <c:pt idx="210">
                  <c:v>44749</c:v>
                </c:pt>
                <c:pt idx="211">
                  <c:v>44750</c:v>
                </c:pt>
                <c:pt idx="212">
                  <c:v>44753</c:v>
                </c:pt>
                <c:pt idx="213">
                  <c:v>44754</c:v>
                </c:pt>
                <c:pt idx="214">
                  <c:v>44755</c:v>
                </c:pt>
                <c:pt idx="215">
                  <c:v>44756</c:v>
                </c:pt>
                <c:pt idx="216">
                  <c:v>44757</c:v>
                </c:pt>
                <c:pt idx="217">
                  <c:v>44760</c:v>
                </c:pt>
                <c:pt idx="218">
                  <c:v>44761</c:v>
                </c:pt>
                <c:pt idx="219">
                  <c:v>44762</c:v>
                </c:pt>
                <c:pt idx="220">
                  <c:v>44763</c:v>
                </c:pt>
                <c:pt idx="221">
                  <c:v>44764</c:v>
                </c:pt>
                <c:pt idx="222">
                  <c:v>44767</c:v>
                </c:pt>
                <c:pt idx="223">
                  <c:v>44768</c:v>
                </c:pt>
                <c:pt idx="224">
                  <c:v>44769</c:v>
                </c:pt>
                <c:pt idx="225">
                  <c:v>44770</c:v>
                </c:pt>
                <c:pt idx="226">
                  <c:v>44771</c:v>
                </c:pt>
                <c:pt idx="227">
                  <c:v>44774</c:v>
                </c:pt>
                <c:pt idx="228">
                  <c:v>44775</c:v>
                </c:pt>
                <c:pt idx="229">
                  <c:v>44776</c:v>
                </c:pt>
                <c:pt idx="230">
                  <c:v>44777</c:v>
                </c:pt>
                <c:pt idx="231">
                  <c:v>44778</c:v>
                </c:pt>
                <c:pt idx="232">
                  <c:v>44781</c:v>
                </c:pt>
                <c:pt idx="233">
                  <c:v>44782</c:v>
                </c:pt>
                <c:pt idx="234">
                  <c:v>44783</c:v>
                </c:pt>
                <c:pt idx="235">
                  <c:v>44784</c:v>
                </c:pt>
                <c:pt idx="236">
                  <c:v>44785</c:v>
                </c:pt>
                <c:pt idx="237">
                  <c:v>44788</c:v>
                </c:pt>
                <c:pt idx="238">
                  <c:v>44789</c:v>
                </c:pt>
                <c:pt idx="239">
                  <c:v>44790</c:v>
                </c:pt>
                <c:pt idx="240">
                  <c:v>44791</c:v>
                </c:pt>
                <c:pt idx="241">
                  <c:v>44792</c:v>
                </c:pt>
                <c:pt idx="242">
                  <c:v>44795</c:v>
                </c:pt>
                <c:pt idx="243">
                  <c:v>44796</c:v>
                </c:pt>
                <c:pt idx="244">
                  <c:v>44797</c:v>
                </c:pt>
                <c:pt idx="245">
                  <c:v>44798</c:v>
                </c:pt>
                <c:pt idx="246">
                  <c:v>44799</c:v>
                </c:pt>
                <c:pt idx="247">
                  <c:v>44802</c:v>
                </c:pt>
                <c:pt idx="248">
                  <c:v>44803</c:v>
                </c:pt>
                <c:pt idx="249">
                  <c:v>44804</c:v>
                </c:pt>
                <c:pt idx="250">
                  <c:v>44805</c:v>
                </c:pt>
                <c:pt idx="251">
                  <c:v>44806</c:v>
                </c:pt>
                <c:pt idx="252">
                  <c:v>44809</c:v>
                </c:pt>
                <c:pt idx="253">
                  <c:v>44810</c:v>
                </c:pt>
                <c:pt idx="254">
                  <c:v>44812</c:v>
                </c:pt>
                <c:pt idx="255">
                  <c:v>44813</c:v>
                </c:pt>
                <c:pt idx="256">
                  <c:v>44816</c:v>
                </c:pt>
                <c:pt idx="257">
                  <c:v>44817</c:v>
                </c:pt>
                <c:pt idx="258">
                  <c:v>44818</c:v>
                </c:pt>
                <c:pt idx="259">
                  <c:v>44819</c:v>
                </c:pt>
                <c:pt idx="260">
                  <c:v>44820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44830</c:v>
                </c:pt>
                <c:pt idx="267">
                  <c:v>44831</c:v>
                </c:pt>
                <c:pt idx="268">
                  <c:v>44832</c:v>
                </c:pt>
                <c:pt idx="269">
                  <c:v>44833</c:v>
                </c:pt>
                <c:pt idx="270">
                  <c:v>44834</c:v>
                </c:pt>
                <c:pt idx="271">
                  <c:v>44837</c:v>
                </c:pt>
                <c:pt idx="272">
                  <c:v>44838</c:v>
                </c:pt>
                <c:pt idx="273">
                  <c:v>44839</c:v>
                </c:pt>
                <c:pt idx="274">
                  <c:v>44840</c:v>
                </c:pt>
                <c:pt idx="275">
                  <c:v>44841</c:v>
                </c:pt>
                <c:pt idx="276">
                  <c:v>44844</c:v>
                </c:pt>
                <c:pt idx="277">
                  <c:v>44845</c:v>
                </c:pt>
                <c:pt idx="278">
                  <c:v>44847</c:v>
                </c:pt>
                <c:pt idx="279">
                  <c:v>44848</c:v>
                </c:pt>
                <c:pt idx="280">
                  <c:v>44851</c:v>
                </c:pt>
                <c:pt idx="281">
                  <c:v>44852</c:v>
                </c:pt>
                <c:pt idx="282">
                  <c:v>44853</c:v>
                </c:pt>
                <c:pt idx="283">
                  <c:v>44854</c:v>
                </c:pt>
                <c:pt idx="284">
                  <c:v>44855</c:v>
                </c:pt>
                <c:pt idx="285">
                  <c:v>44858</c:v>
                </c:pt>
                <c:pt idx="286">
                  <c:v>44859</c:v>
                </c:pt>
                <c:pt idx="287">
                  <c:v>44860</c:v>
                </c:pt>
                <c:pt idx="288">
                  <c:v>44861</c:v>
                </c:pt>
                <c:pt idx="289">
                  <c:v>44862</c:v>
                </c:pt>
                <c:pt idx="290">
                  <c:v>44865</c:v>
                </c:pt>
                <c:pt idx="291">
                  <c:v>44866</c:v>
                </c:pt>
                <c:pt idx="292">
                  <c:v>44868</c:v>
                </c:pt>
                <c:pt idx="293">
                  <c:v>44869</c:v>
                </c:pt>
                <c:pt idx="294">
                  <c:v>44872</c:v>
                </c:pt>
                <c:pt idx="295">
                  <c:v>44873</c:v>
                </c:pt>
                <c:pt idx="296">
                  <c:v>44874</c:v>
                </c:pt>
                <c:pt idx="297">
                  <c:v>44875</c:v>
                </c:pt>
                <c:pt idx="298">
                  <c:v>44876</c:v>
                </c:pt>
                <c:pt idx="299">
                  <c:v>44879</c:v>
                </c:pt>
                <c:pt idx="300">
                  <c:v>44881</c:v>
                </c:pt>
                <c:pt idx="301">
                  <c:v>44882</c:v>
                </c:pt>
                <c:pt idx="302">
                  <c:v>44883</c:v>
                </c:pt>
                <c:pt idx="303">
                  <c:v>44886</c:v>
                </c:pt>
                <c:pt idx="304">
                  <c:v>44887</c:v>
                </c:pt>
                <c:pt idx="305">
                  <c:v>44888</c:v>
                </c:pt>
                <c:pt idx="306">
                  <c:v>44889</c:v>
                </c:pt>
                <c:pt idx="307">
                  <c:v>44890</c:v>
                </c:pt>
                <c:pt idx="308">
                  <c:v>44893</c:v>
                </c:pt>
                <c:pt idx="309">
                  <c:v>44894</c:v>
                </c:pt>
                <c:pt idx="310">
                  <c:v>44895</c:v>
                </c:pt>
                <c:pt idx="311">
                  <c:v>44896</c:v>
                </c:pt>
                <c:pt idx="312">
                  <c:v>44897</c:v>
                </c:pt>
                <c:pt idx="313">
                  <c:v>44900</c:v>
                </c:pt>
                <c:pt idx="314">
                  <c:v>44901</c:v>
                </c:pt>
                <c:pt idx="315">
                  <c:v>44902</c:v>
                </c:pt>
                <c:pt idx="316">
                  <c:v>44903</c:v>
                </c:pt>
                <c:pt idx="317">
                  <c:v>44904</c:v>
                </c:pt>
                <c:pt idx="318">
                  <c:v>44907</c:v>
                </c:pt>
                <c:pt idx="319">
                  <c:v>44908</c:v>
                </c:pt>
                <c:pt idx="320">
                  <c:v>44909</c:v>
                </c:pt>
                <c:pt idx="321">
                  <c:v>44910</c:v>
                </c:pt>
                <c:pt idx="322">
                  <c:v>44911</c:v>
                </c:pt>
                <c:pt idx="323">
                  <c:v>44914</c:v>
                </c:pt>
                <c:pt idx="324">
                  <c:v>44915</c:v>
                </c:pt>
                <c:pt idx="325">
                  <c:v>44916</c:v>
                </c:pt>
                <c:pt idx="326">
                  <c:v>44917</c:v>
                </c:pt>
                <c:pt idx="327">
                  <c:v>44918</c:v>
                </c:pt>
                <c:pt idx="328">
                  <c:v>44921</c:v>
                </c:pt>
                <c:pt idx="329">
                  <c:v>44922</c:v>
                </c:pt>
                <c:pt idx="330">
                  <c:v>44923</c:v>
                </c:pt>
                <c:pt idx="331">
                  <c:v>44924</c:v>
                </c:pt>
                <c:pt idx="332">
                  <c:v>44928</c:v>
                </c:pt>
                <c:pt idx="333">
                  <c:v>44929</c:v>
                </c:pt>
                <c:pt idx="334">
                  <c:v>44930</c:v>
                </c:pt>
                <c:pt idx="335">
                  <c:v>44931</c:v>
                </c:pt>
                <c:pt idx="336">
                  <c:v>44932</c:v>
                </c:pt>
                <c:pt idx="337">
                  <c:v>44935</c:v>
                </c:pt>
                <c:pt idx="338">
                  <c:v>44936</c:v>
                </c:pt>
                <c:pt idx="339">
                  <c:v>44937</c:v>
                </c:pt>
                <c:pt idx="340">
                  <c:v>44938</c:v>
                </c:pt>
                <c:pt idx="341">
                  <c:v>44939</c:v>
                </c:pt>
                <c:pt idx="342">
                  <c:v>44942</c:v>
                </c:pt>
                <c:pt idx="343">
                  <c:v>44943</c:v>
                </c:pt>
                <c:pt idx="344">
                  <c:v>44944</c:v>
                </c:pt>
                <c:pt idx="345">
                  <c:v>44945</c:v>
                </c:pt>
                <c:pt idx="346">
                  <c:v>44946</c:v>
                </c:pt>
                <c:pt idx="347">
                  <c:v>44949</c:v>
                </c:pt>
                <c:pt idx="348">
                  <c:v>44950</c:v>
                </c:pt>
                <c:pt idx="349">
                  <c:v>44951</c:v>
                </c:pt>
                <c:pt idx="350">
                  <c:v>44952</c:v>
                </c:pt>
                <c:pt idx="351">
                  <c:v>44953</c:v>
                </c:pt>
                <c:pt idx="352">
                  <c:v>44956</c:v>
                </c:pt>
                <c:pt idx="353">
                  <c:v>44957</c:v>
                </c:pt>
                <c:pt idx="354">
                  <c:v>44958</c:v>
                </c:pt>
                <c:pt idx="355">
                  <c:v>44959</c:v>
                </c:pt>
                <c:pt idx="356">
                  <c:v>44960</c:v>
                </c:pt>
                <c:pt idx="357">
                  <c:v>44963</c:v>
                </c:pt>
                <c:pt idx="358">
                  <c:v>44964</c:v>
                </c:pt>
                <c:pt idx="359">
                  <c:v>44965</c:v>
                </c:pt>
                <c:pt idx="360">
                  <c:v>44966</c:v>
                </c:pt>
                <c:pt idx="361">
                  <c:v>44967</c:v>
                </c:pt>
                <c:pt idx="362">
                  <c:v>44970</c:v>
                </c:pt>
                <c:pt idx="363">
                  <c:v>44971</c:v>
                </c:pt>
                <c:pt idx="364">
                  <c:v>44972</c:v>
                </c:pt>
                <c:pt idx="365">
                  <c:v>44973</c:v>
                </c:pt>
                <c:pt idx="366">
                  <c:v>44974</c:v>
                </c:pt>
                <c:pt idx="367">
                  <c:v>44979</c:v>
                </c:pt>
                <c:pt idx="368">
                  <c:v>44980</c:v>
                </c:pt>
                <c:pt idx="369">
                  <c:v>44981</c:v>
                </c:pt>
                <c:pt idx="370">
                  <c:v>44984</c:v>
                </c:pt>
                <c:pt idx="371">
                  <c:v>44985</c:v>
                </c:pt>
                <c:pt idx="372">
                  <c:v>44986</c:v>
                </c:pt>
                <c:pt idx="373">
                  <c:v>44987</c:v>
                </c:pt>
                <c:pt idx="374">
                  <c:v>44988</c:v>
                </c:pt>
                <c:pt idx="375">
                  <c:v>44991</c:v>
                </c:pt>
                <c:pt idx="376">
                  <c:v>44992</c:v>
                </c:pt>
                <c:pt idx="377">
                  <c:v>44993</c:v>
                </c:pt>
                <c:pt idx="378">
                  <c:v>44994</c:v>
                </c:pt>
                <c:pt idx="379">
                  <c:v>44995</c:v>
                </c:pt>
                <c:pt idx="380">
                  <c:v>44998</c:v>
                </c:pt>
                <c:pt idx="381">
                  <c:v>44999</c:v>
                </c:pt>
                <c:pt idx="382">
                  <c:v>45000</c:v>
                </c:pt>
                <c:pt idx="383">
                  <c:v>45001</c:v>
                </c:pt>
                <c:pt idx="384">
                  <c:v>45002</c:v>
                </c:pt>
                <c:pt idx="385">
                  <c:v>45005</c:v>
                </c:pt>
                <c:pt idx="386">
                  <c:v>45006</c:v>
                </c:pt>
                <c:pt idx="387">
                  <c:v>45007</c:v>
                </c:pt>
                <c:pt idx="388">
                  <c:v>45008</c:v>
                </c:pt>
                <c:pt idx="389">
                  <c:v>45009</c:v>
                </c:pt>
                <c:pt idx="390">
                  <c:v>45012</c:v>
                </c:pt>
                <c:pt idx="391">
                  <c:v>45013</c:v>
                </c:pt>
                <c:pt idx="392">
                  <c:v>45014</c:v>
                </c:pt>
                <c:pt idx="393">
                  <c:v>45015</c:v>
                </c:pt>
                <c:pt idx="394">
                  <c:v>45016</c:v>
                </c:pt>
                <c:pt idx="395">
                  <c:v>45019</c:v>
                </c:pt>
                <c:pt idx="396">
                  <c:v>45020</c:v>
                </c:pt>
                <c:pt idx="397">
                  <c:v>45021</c:v>
                </c:pt>
                <c:pt idx="398">
                  <c:v>45022</c:v>
                </c:pt>
                <c:pt idx="399">
                  <c:v>45026</c:v>
                </c:pt>
                <c:pt idx="400">
                  <c:v>45027</c:v>
                </c:pt>
                <c:pt idx="401">
                  <c:v>45028</c:v>
                </c:pt>
                <c:pt idx="402">
                  <c:v>45029</c:v>
                </c:pt>
                <c:pt idx="403">
                  <c:v>45030</c:v>
                </c:pt>
                <c:pt idx="404">
                  <c:v>45033</c:v>
                </c:pt>
                <c:pt idx="405">
                  <c:v>45034</c:v>
                </c:pt>
                <c:pt idx="406">
                  <c:v>45035</c:v>
                </c:pt>
                <c:pt idx="407">
                  <c:v>45036</c:v>
                </c:pt>
                <c:pt idx="408">
                  <c:v>45040</c:v>
                </c:pt>
                <c:pt idx="409">
                  <c:v>45041</c:v>
                </c:pt>
                <c:pt idx="410">
                  <c:v>45042</c:v>
                </c:pt>
                <c:pt idx="411">
                  <c:v>45043</c:v>
                </c:pt>
                <c:pt idx="412">
                  <c:v>45044</c:v>
                </c:pt>
                <c:pt idx="413">
                  <c:v>45048</c:v>
                </c:pt>
                <c:pt idx="414">
                  <c:v>45049</c:v>
                </c:pt>
                <c:pt idx="415">
                  <c:v>45050</c:v>
                </c:pt>
                <c:pt idx="416">
                  <c:v>45051</c:v>
                </c:pt>
                <c:pt idx="417">
                  <c:v>45054</c:v>
                </c:pt>
                <c:pt idx="418">
                  <c:v>45055</c:v>
                </c:pt>
                <c:pt idx="419">
                  <c:v>45056</c:v>
                </c:pt>
                <c:pt idx="420">
                  <c:v>45057</c:v>
                </c:pt>
                <c:pt idx="421">
                  <c:v>45058</c:v>
                </c:pt>
                <c:pt idx="422">
                  <c:v>45061</c:v>
                </c:pt>
                <c:pt idx="423">
                  <c:v>45062</c:v>
                </c:pt>
                <c:pt idx="424">
                  <c:v>45063</c:v>
                </c:pt>
                <c:pt idx="425">
                  <c:v>45064</c:v>
                </c:pt>
                <c:pt idx="426">
                  <c:v>45065</c:v>
                </c:pt>
                <c:pt idx="427">
                  <c:v>45068</c:v>
                </c:pt>
                <c:pt idx="428">
                  <c:v>45069</c:v>
                </c:pt>
                <c:pt idx="429">
                  <c:v>45070</c:v>
                </c:pt>
                <c:pt idx="430">
                  <c:v>45071</c:v>
                </c:pt>
                <c:pt idx="431">
                  <c:v>45072</c:v>
                </c:pt>
                <c:pt idx="432">
                  <c:v>45075</c:v>
                </c:pt>
                <c:pt idx="433">
                  <c:v>45076</c:v>
                </c:pt>
                <c:pt idx="434">
                  <c:v>45077</c:v>
                </c:pt>
                <c:pt idx="435">
                  <c:v>45078</c:v>
                </c:pt>
                <c:pt idx="436">
                  <c:v>45079</c:v>
                </c:pt>
                <c:pt idx="437">
                  <c:v>45082</c:v>
                </c:pt>
                <c:pt idx="438">
                  <c:v>45083</c:v>
                </c:pt>
                <c:pt idx="439">
                  <c:v>45084</c:v>
                </c:pt>
                <c:pt idx="440">
                  <c:v>45086</c:v>
                </c:pt>
                <c:pt idx="441">
                  <c:v>45089</c:v>
                </c:pt>
                <c:pt idx="442">
                  <c:v>45090</c:v>
                </c:pt>
                <c:pt idx="443">
                  <c:v>45091</c:v>
                </c:pt>
                <c:pt idx="444">
                  <c:v>45092</c:v>
                </c:pt>
                <c:pt idx="445">
                  <c:v>45093</c:v>
                </c:pt>
                <c:pt idx="446">
                  <c:v>45096</c:v>
                </c:pt>
                <c:pt idx="447">
                  <c:v>45097</c:v>
                </c:pt>
                <c:pt idx="448">
                  <c:v>45098</c:v>
                </c:pt>
                <c:pt idx="449">
                  <c:v>45099</c:v>
                </c:pt>
                <c:pt idx="450">
                  <c:v>45100</c:v>
                </c:pt>
                <c:pt idx="451">
                  <c:v>45103</c:v>
                </c:pt>
                <c:pt idx="452">
                  <c:v>45104</c:v>
                </c:pt>
                <c:pt idx="453">
                  <c:v>45105</c:v>
                </c:pt>
                <c:pt idx="454">
                  <c:v>45106</c:v>
                </c:pt>
                <c:pt idx="455">
                  <c:v>45107</c:v>
                </c:pt>
                <c:pt idx="456">
                  <c:v>45110</c:v>
                </c:pt>
                <c:pt idx="457">
                  <c:v>45111</c:v>
                </c:pt>
                <c:pt idx="458">
                  <c:v>45112</c:v>
                </c:pt>
                <c:pt idx="459">
                  <c:v>45113</c:v>
                </c:pt>
                <c:pt idx="460">
                  <c:v>45114</c:v>
                </c:pt>
                <c:pt idx="461">
                  <c:v>45117</c:v>
                </c:pt>
                <c:pt idx="462">
                  <c:v>45118</c:v>
                </c:pt>
                <c:pt idx="463">
                  <c:v>45119</c:v>
                </c:pt>
                <c:pt idx="464">
                  <c:v>45120</c:v>
                </c:pt>
                <c:pt idx="465">
                  <c:v>45121</c:v>
                </c:pt>
                <c:pt idx="466">
                  <c:v>45124</c:v>
                </c:pt>
                <c:pt idx="467">
                  <c:v>45125</c:v>
                </c:pt>
                <c:pt idx="468">
                  <c:v>45126</c:v>
                </c:pt>
                <c:pt idx="469">
                  <c:v>45127</c:v>
                </c:pt>
                <c:pt idx="470">
                  <c:v>45128</c:v>
                </c:pt>
                <c:pt idx="471">
                  <c:v>45131</c:v>
                </c:pt>
                <c:pt idx="472">
                  <c:v>45132</c:v>
                </c:pt>
                <c:pt idx="473">
                  <c:v>45133</c:v>
                </c:pt>
                <c:pt idx="474">
                  <c:v>45134</c:v>
                </c:pt>
                <c:pt idx="475">
                  <c:v>45135</c:v>
                </c:pt>
                <c:pt idx="476">
                  <c:v>45138</c:v>
                </c:pt>
                <c:pt idx="477">
                  <c:v>45139</c:v>
                </c:pt>
                <c:pt idx="478">
                  <c:v>45140</c:v>
                </c:pt>
                <c:pt idx="479">
                  <c:v>45141</c:v>
                </c:pt>
                <c:pt idx="480">
                  <c:v>45142</c:v>
                </c:pt>
                <c:pt idx="481">
                  <c:v>45145</c:v>
                </c:pt>
                <c:pt idx="482">
                  <c:v>45146</c:v>
                </c:pt>
                <c:pt idx="483">
                  <c:v>45147</c:v>
                </c:pt>
                <c:pt idx="484">
                  <c:v>45148</c:v>
                </c:pt>
                <c:pt idx="485">
                  <c:v>45149</c:v>
                </c:pt>
                <c:pt idx="486">
                  <c:v>45152</c:v>
                </c:pt>
                <c:pt idx="487">
                  <c:v>45153</c:v>
                </c:pt>
                <c:pt idx="488">
                  <c:v>45154</c:v>
                </c:pt>
                <c:pt idx="489">
                  <c:v>45155</c:v>
                </c:pt>
                <c:pt idx="490">
                  <c:v>45156</c:v>
                </c:pt>
                <c:pt idx="491">
                  <c:v>45159</c:v>
                </c:pt>
                <c:pt idx="492">
                  <c:v>45160</c:v>
                </c:pt>
                <c:pt idx="493">
                  <c:v>45161</c:v>
                </c:pt>
                <c:pt idx="494">
                  <c:v>45162</c:v>
                </c:pt>
                <c:pt idx="495">
                  <c:v>45163</c:v>
                </c:pt>
                <c:pt idx="496">
                  <c:v>45166</c:v>
                </c:pt>
                <c:pt idx="497">
                  <c:v>45167</c:v>
                </c:pt>
                <c:pt idx="498">
                  <c:v>45168</c:v>
                </c:pt>
                <c:pt idx="499">
                  <c:v>45169</c:v>
                </c:pt>
                <c:pt idx="500">
                  <c:v>45170</c:v>
                </c:pt>
                <c:pt idx="501">
                  <c:v>45173</c:v>
                </c:pt>
                <c:pt idx="502">
                  <c:v>45174</c:v>
                </c:pt>
                <c:pt idx="503">
                  <c:v>45175</c:v>
                </c:pt>
                <c:pt idx="504">
                  <c:v>45177</c:v>
                </c:pt>
                <c:pt idx="505">
                  <c:v>45180</c:v>
                </c:pt>
                <c:pt idx="506">
                  <c:v>45181</c:v>
                </c:pt>
                <c:pt idx="507">
                  <c:v>45182</c:v>
                </c:pt>
                <c:pt idx="508">
                  <c:v>45183</c:v>
                </c:pt>
                <c:pt idx="509">
                  <c:v>45184</c:v>
                </c:pt>
                <c:pt idx="510">
                  <c:v>45187</c:v>
                </c:pt>
                <c:pt idx="511">
                  <c:v>45188</c:v>
                </c:pt>
                <c:pt idx="512">
                  <c:v>45189</c:v>
                </c:pt>
                <c:pt idx="513">
                  <c:v>45190</c:v>
                </c:pt>
                <c:pt idx="514">
                  <c:v>45191</c:v>
                </c:pt>
                <c:pt idx="515">
                  <c:v>45194</c:v>
                </c:pt>
                <c:pt idx="516">
                  <c:v>45195</c:v>
                </c:pt>
                <c:pt idx="517">
                  <c:v>45196</c:v>
                </c:pt>
                <c:pt idx="518">
                  <c:v>45197</c:v>
                </c:pt>
                <c:pt idx="519">
                  <c:v>45198</c:v>
                </c:pt>
                <c:pt idx="520">
                  <c:v>45201</c:v>
                </c:pt>
                <c:pt idx="521">
                  <c:v>45202</c:v>
                </c:pt>
                <c:pt idx="522">
                  <c:v>45203</c:v>
                </c:pt>
                <c:pt idx="523">
                  <c:v>45204</c:v>
                </c:pt>
                <c:pt idx="524">
                  <c:v>45205</c:v>
                </c:pt>
                <c:pt idx="525">
                  <c:v>45208</c:v>
                </c:pt>
                <c:pt idx="526">
                  <c:v>45209</c:v>
                </c:pt>
                <c:pt idx="527">
                  <c:v>45210</c:v>
                </c:pt>
                <c:pt idx="528">
                  <c:v>45212</c:v>
                </c:pt>
                <c:pt idx="529">
                  <c:v>45215</c:v>
                </c:pt>
                <c:pt idx="530">
                  <c:v>45216</c:v>
                </c:pt>
                <c:pt idx="531">
                  <c:v>45217</c:v>
                </c:pt>
                <c:pt idx="532">
                  <c:v>45218</c:v>
                </c:pt>
                <c:pt idx="533">
                  <c:v>45219</c:v>
                </c:pt>
                <c:pt idx="534">
                  <c:v>45222</c:v>
                </c:pt>
                <c:pt idx="535">
                  <c:v>45223</c:v>
                </c:pt>
                <c:pt idx="536">
                  <c:v>45224</c:v>
                </c:pt>
                <c:pt idx="537">
                  <c:v>45225</c:v>
                </c:pt>
                <c:pt idx="538">
                  <c:v>45226</c:v>
                </c:pt>
                <c:pt idx="539">
                  <c:v>45229</c:v>
                </c:pt>
                <c:pt idx="540">
                  <c:v>45230</c:v>
                </c:pt>
                <c:pt idx="541">
                  <c:v>45231</c:v>
                </c:pt>
                <c:pt idx="542">
                  <c:v>45233</c:v>
                </c:pt>
                <c:pt idx="543">
                  <c:v>45236</c:v>
                </c:pt>
                <c:pt idx="544">
                  <c:v>45237</c:v>
                </c:pt>
                <c:pt idx="545">
                  <c:v>45238</c:v>
                </c:pt>
                <c:pt idx="546">
                  <c:v>45239</c:v>
                </c:pt>
                <c:pt idx="547">
                  <c:v>45240</c:v>
                </c:pt>
                <c:pt idx="548">
                  <c:v>45243</c:v>
                </c:pt>
                <c:pt idx="549">
                  <c:v>45244</c:v>
                </c:pt>
                <c:pt idx="550">
                  <c:v>45246</c:v>
                </c:pt>
                <c:pt idx="551">
                  <c:v>45247</c:v>
                </c:pt>
                <c:pt idx="552">
                  <c:v>45250</c:v>
                </c:pt>
                <c:pt idx="553">
                  <c:v>45251</c:v>
                </c:pt>
                <c:pt idx="554">
                  <c:v>45252</c:v>
                </c:pt>
                <c:pt idx="555">
                  <c:v>45253</c:v>
                </c:pt>
                <c:pt idx="556">
                  <c:v>45254</c:v>
                </c:pt>
                <c:pt idx="557">
                  <c:v>45257</c:v>
                </c:pt>
                <c:pt idx="558">
                  <c:v>45258</c:v>
                </c:pt>
                <c:pt idx="559">
                  <c:v>45259</c:v>
                </c:pt>
                <c:pt idx="560">
                  <c:v>45260</c:v>
                </c:pt>
                <c:pt idx="561">
                  <c:v>45261</c:v>
                </c:pt>
                <c:pt idx="562">
                  <c:v>45264</c:v>
                </c:pt>
                <c:pt idx="563">
                  <c:v>45265</c:v>
                </c:pt>
                <c:pt idx="564">
                  <c:v>45266</c:v>
                </c:pt>
                <c:pt idx="565">
                  <c:v>45267</c:v>
                </c:pt>
                <c:pt idx="566">
                  <c:v>45268</c:v>
                </c:pt>
                <c:pt idx="567">
                  <c:v>45271</c:v>
                </c:pt>
                <c:pt idx="568">
                  <c:v>45272</c:v>
                </c:pt>
                <c:pt idx="569">
                  <c:v>45273</c:v>
                </c:pt>
                <c:pt idx="570">
                  <c:v>45274</c:v>
                </c:pt>
                <c:pt idx="571">
                  <c:v>45275</c:v>
                </c:pt>
                <c:pt idx="572">
                  <c:v>45278</c:v>
                </c:pt>
                <c:pt idx="573">
                  <c:v>45279</c:v>
                </c:pt>
                <c:pt idx="574">
                  <c:v>45280</c:v>
                </c:pt>
                <c:pt idx="575">
                  <c:v>45281</c:v>
                </c:pt>
                <c:pt idx="576">
                  <c:v>45282</c:v>
                </c:pt>
                <c:pt idx="577">
                  <c:v>45286</c:v>
                </c:pt>
                <c:pt idx="578">
                  <c:v>45287</c:v>
                </c:pt>
                <c:pt idx="579">
                  <c:v>45288</c:v>
                </c:pt>
                <c:pt idx="580">
                  <c:v>45293</c:v>
                </c:pt>
                <c:pt idx="581">
                  <c:v>45294</c:v>
                </c:pt>
                <c:pt idx="582">
                  <c:v>45295</c:v>
                </c:pt>
                <c:pt idx="583">
                  <c:v>45296</c:v>
                </c:pt>
                <c:pt idx="584">
                  <c:v>45299</c:v>
                </c:pt>
                <c:pt idx="585">
                  <c:v>45300</c:v>
                </c:pt>
                <c:pt idx="586">
                  <c:v>45301</c:v>
                </c:pt>
                <c:pt idx="587">
                  <c:v>45302</c:v>
                </c:pt>
                <c:pt idx="588">
                  <c:v>45303</c:v>
                </c:pt>
                <c:pt idx="589">
                  <c:v>45306</c:v>
                </c:pt>
                <c:pt idx="590">
                  <c:v>45307</c:v>
                </c:pt>
                <c:pt idx="591">
                  <c:v>45308</c:v>
                </c:pt>
                <c:pt idx="592">
                  <c:v>45309</c:v>
                </c:pt>
                <c:pt idx="593">
                  <c:v>45310</c:v>
                </c:pt>
                <c:pt idx="594">
                  <c:v>45313</c:v>
                </c:pt>
                <c:pt idx="595">
                  <c:v>45314</c:v>
                </c:pt>
                <c:pt idx="596">
                  <c:v>45315</c:v>
                </c:pt>
                <c:pt idx="597">
                  <c:v>45316</c:v>
                </c:pt>
                <c:pt idx="598">
                  <c:v>45317</c:v>
                </c:pt>
                <c:pt idx="599">
                  <c:v>45320</c:v>
                </c:pt>
                <c:pt idx="600">
                  <c:v>45321</c:v>
                </c:pt>
                <c:pt idx="601">
                  <c:v>45322</c:v>
                </c:pt>
                <c:pt idx="602">
                  <c:v>45323</c:v>
                </c:pt>
                <c:pt idx="603">
                  <c:v>45324</c:v>
                </c:pt>
                <c:pt idx="604">
                  <c:v>45327</c:v>
                </c:pt>
                <c:pt idx="605">
                  <c:v>45328</c:v>
                </c:pt>
                <c:pt idx="606">
                  <c:v>45329</c:v>
                </c:pt>
                <c:pt idx="607">
                  <c:v>45330</c:v>
                </c:pt>
                <c:pt idx="608">
                  <c:v>45331</c:v>
                </c:pt>
                <c:pt idx="609">
                  <c:v>45336</c:v>
                </c:pt>
                <c:pt idx="610">
                  <c:v>45337</c:v>
                </c:pt>
                <c:pt idx="611">
                  <c:v>45338</c:v>
                </c:pt>
                <c:pt idx="612">
                  <c:v>45341</c:v>
                </c:pt>
                <c:pt idx="613">
                  <c:v>45342</c:v>
                </c:pt>
                <c:pt idx="614">
                  <c:v>45343</c:v>
                </c:pt>
                <c:pt idx="615">
                  <c:v>45344</c:v>
                </c:pt>
                <c:pt idx="616">
                  <c:v>45345</c:v>
                </c:pt>
                <c:pt idx="617">
                  <c:v>45348</c:v>
                </c:pt>
                <c:pt idx="618">
                  <c:v>45349</c:v>
                </c:pt>
                <c:pt idx="619">
                  <c:v>45350</c:v>
                </c:pt>
                <c:pt idx="620">
                  <c:v>45351</c:v>
                </c:pt>
                <c:pt idx="621">
                  <c:v>45352</c:v>
                </c:pt>
                <c:pt idx="622">
                  <c:v>45355</c:v>
                </c:pt>
                <c:pt idx="623">
                  <c:v>45356</c:v>
                </c:pt>
                <c:pt idx="624">
                  <c:v>45357</c:v>
                </c:pt>
                <c:pt idx="625">
                  <c:v>45358</c:v>
                </c:pt>
                <c:pt idx="626">
                  <c:v>45359</c:v>
                </c:pt>
                <c:pt idx="627">
                  <c:v>45362</c:v>
                </c:pt>
                <c:pt idx="628">
                  <c:v>45363</c:v>
                </c:pt>
                <c:pt idx="629">
                  <c:v>45364</c:v>
                </c:pt>
                <c:pt idx="630">
                  <c:v>45365</c:v>
                </c:pt>
                <c:pt idx="631">
                  <c:v>45366</c:v>
                </c:pt>
                <c:pt idx="632">
                  <c:v>45369</c:v>
                </c:pt>
                <c:pt idx="633">
                  <c:v>45370</c:v>
                </c:pt>
                <c:pt idx="634">
                  <c:v>45371</c:v>
                </c:pt>
                <c:pt idx="635">
                  <c:v>45372</c:v>
                </c:pt>
                <c:pt idx="636">
                  <c:v>45373</c:v>
                </c:pt>
                <c:pt idx="637">
                  <c:v>45376</c:v>
                </c:pt>
                <c:pt idx="638">
                  <c:v>45377</c:v>
                </c:pt>
                <c:pt idx="639">
                  <c:v>45378</c:v>
                </c:pt>
                <c:pt idx="640">
                  <c:v>45379</c:v>
                </c:pt>
                <c:pt idx="641">
                  <c:v>45383</c:v>
                </c:pt>
                <c:pt idx="642">
                  <c:v>45384</c:v>
                </c:pt>
                <c:pt idx="643">
                  <c:v>45385</c:v>
                </c:pt>
                <c:pt idx="644">
                  <c:v>45386</c:v>
                </c:pt>
                <c:pt idx="645">
                  <c:v>45387</c:v>
                </c:pt>
                <c:pt idx="646">
                  <c:v>45390</c:v>
                </c:pt>
                <c:pt idx="647">
                  <c:v>45391</c:v>
                </c:pt>
                <c:pt idx="648">
                  <c:v>45392</c:v>
                </c:pt>
                <c:pt idx="649">
                  <c:v>45393</c:v>
                </c:pt>
                <c:pt idx="650">
                  <c:v>45394</c:v>
                </c:pt>
                <c:pt idx="651">
                  <c:v>45397</c:v>
                </c:pt>
                <c:pt idx="652">
                  <c:v>45398</c:v>
                </c:pt>
                <c:pt idx="653">
                  <c:v>45399</c:v>
                </c:pt>
                <c:pt idx="654">
                  <c:v>45400</c:v>
                </c:pt>
                <c:pt idx="655">
                  <c:v>45401</c:v>
                </c:pt>
                <c:pt idx="656">
                  <c:v>45404</c:v>
                </c:pt>
                <c:pt idx="657">
                  <c:v>45405</c:v>
                </c:pt>
                <c:pt idx="658">
                  <c:v>45406</c:v>
                </c:pt>
                <c:pt idx="659">
                  <c:v>45407</c:v>
                </c:pt>
                <c:pt idx="660">
                  <c:v>45408</c:v>
                </c:pt>
                <c:pt idx="661">
                  <c:v>45411</c:v>
                </c:pt>
                <c:pt idx="662">
                  <c:v>45412</c:v>
                </c:pt>
                <c:pt idx="663">
                  <c:v>45414</c:v>
                </c:pt>
                <c:pt idx="664">
                  <c:v>45415</c:v>
                </c:pt>
                <c:pt idx="665">
                  <c:v>45418</c:v>
                </c:pt>
                <c:pt idx="666">
                  <c:v>45419</c:v>
                </c:pt>
                <c:pt idx="667">
                  <c:v>45420</c:v>
                </c:pt>
                <c:pt idx="668">
                  <c:v>45421</c:v>
                </c:pt>
                <c:pt idx="669">
                  <c:v>45422</c:v>
                </c:pt>
                <c:pt idx="670">
                  <c:v>45425</c:v>
                </c:pt>
                <c:pt idx="671">
                  <c:v>45426</c:v>
                </c:pt>
                <c:pt idx="672">
                  <c:v>45427</c:v>
                </c:pt>
                <c:pt idx="673">
                  <c:v>45428</c:v>
                </c:pt>
                <c:pt idx="674">
                  <c:v>45429</c:v>
                </c:pt>
                <c:pt idx="675">
                  <c:v>45432</c:v>
                </c:pt>
                <c:pt idx="676">
                  <c:v>45433</c:v>
                </c:pt>
                <c:pt idx="677">
                  <c:v>45434</c:v>
                </c:pt>
                <c:pt idx="678">
                  <c:v>45435</c:v>
                </c:pt>
                <c:pt idx="679">
                  <c:v>45436</c:v>
                </c:pt>
                <c:pt idx="680">
                  <c:v>45439</c:v>
                </c:pt>
                <c:pt idx="681">
                  <c:v>45440</c:v>
                </c:pt>
                <c:pt idx="682">
                  <c:v>45441</c:v>
                </c:pt>
                <c:pt idx="683">
                  <c:v>45443</c:v>
                </c:pt>
                <c:pt idx="684">
                  <c:v>45446</c:v>
                </c:pt>
                <c:pt idx="685">
                  <c:v>45447</c:v>
                </c:pt>
                <c:pt idx="686">
                  <c:v>45448</c:v>
                </c:pt>
                <c:pt idx="687">
                  <c:v>45449</c:v>
                </c:pt>
                <c:pt idx="688">
                  <c:v>45450</c:v>
                </c:pt>
                <c:pt idx="689">
                  <c:v>45453</c:v>
                </c:pt>
                <c:pt idx="690">
                  <c:v>45454</c:v>
                </c:pt>
                <c:pt idx="691">
                  <c:v>45455</c:v>
                </c:pt>
                <c:pt idx="692">
                  <c:v>45456</c:v>
                </c:pt>
                <c:pt idx="693">
                  <c:v>45457</c:v>
                </c:pt>
                <c:pt idx="694">
                  <c:v>45460</c:v>
                </c:pt>
                <c:pt idx="695">
                  <c:v>45461</c:v>
                </c:pt>
                <c:pt idx="696">
                  <c:v>45462</c:v>
                </c:pt>
                <c:pt idx="697">
                  <c:v>45463</c:v>
                </c:pt>
                <c:pt idx="698">
                  <c:v>45464</c:v>
                </c:pt>
                <c:pt idx="699">
                  <c:v>45467</c:v>
                </c:pt>
                <c:pt idx="700">
                  <c:v>45468</c:v>
                </c:pt>
                <c:pt idx="701">
                  <c:v>45469</c:v>
                </c:pt>
                <c:pt idx="702">
                  <c:v>45470</c:v>
                </c:pt>
                <c:pt idx="703">
                  <c:v>45471</c:v>
                </c:pt>
                <c:pt idx="704">
                  <c:v>45474</c:v>
                </c:pt>
                <c:pt idx="705">
                  <c:v>45475</c:v>
                </c:pt>
                <c:pt idx="706">
                  <c:v>45476</c:v>
                </c:pt>
                <c:pt idx="707">
                  <c:v>45477</c:v>
                </c:pt>
                <c:pt idx="708">
                  <c:v>45478</c:v>
                </c:pt>
                <c:pt idx="709">
                  <c:v>45481</c:v>
                </c:pt>
                <c:pt idx="710">
                  <c:v>45482</c:v>
                </c:pt>
                <c:pt idx="711">
                  <c:v>45483</c:v>
                </c:pt>
                <c:pt idx="712">
                  <c:v>45484</c:v>
                </c:pt>
                <c:pt idx="713">
                  <c:v>45485</c:v>
                </c:pt>
                <c:pt idx="714">
                  <c:v>45488</c:v>
                </c:pt>
                <c:pt idx="715">
                  <c:v>45489</c:v>
                </c:pt>
                <c:pt idx="716">
                  <c:v>45490</c:v>
                </c:pt>
                <c:pt idx="717">
                  <c:v>45491</c:v>
                </c:pt>
                <c:pt idx="718">
                  <c:v>45492</c:v>
                </c:pt>
                <c:pt idx="719">
                  <c:v>45495</c:v>
                </c:pt>
                <c:pt idx="720">
                  <c:v>45496</c:v>
                </c:pt>
                <c:pt idx="721">
                  <c:v>45497</c:v>
                </c:pt>
                <c:pt idx="722">
                  <c:v>45498</c:v>
                </c:pt>
                <c:pt idx="723">
                  <c:v>45499</c:v>
                </c:pt>
                <c:pt idx="724">
                  <c:v>45502</c:v>
                </c:pt>
                <c:pt idx="725">
                  <c:v>45503</c:v>
                </c:pt>
                <c:pt idx="726">
                  <c:v>45504</c:v>
                </c:pt>
                <c:pt idx="727">
                  <c:v>45505</c:v>
                </c:pt>
                <c:pt idx="728">
                  <c:v>45506</c:v>
                </c:pt>
                <c:pt idx="729">
                  <c:v>45509</c:v>
                </c:pt>
                <c:pt idx="730">
                  <c:v>45510</c:v>
                </c:pt>
                <c:pt idx="731">
                  <c:v>45511</c:v>
                </c:pt>
                <c:pt idx="732">
                  <c:v>45512</c:v>
                </c:pt>
                <c:pt idx="733">
                  <c:v>45513</c:v>
                </c:pt>
                <c:pt idx="734">
                  <c:v>45516</c:v>
                </c:pt>
                <c:pt idx="735">
                  <c:v>45517</c:v>
                </c:pt>
                <c:pt idx="736">
                  <c:v>45518</c:v>
                </c:pt>
                <c:pt idx="737">
                  <c:v>45519</c:v>
                </c:pt>
                <c:pt idx="738">
                  <c:v>45520</c:v>
                </c:pt>
                <c:pt idx="739">
                  <c:v>45523</c:v>
                </c:pt>
                <c:pt idx="740">
                  <c:v>45524</c:v>
                </c:pt>
                <c:pt idx="741">
                  <c:v>45525</c:v>
                </c:pt>
                <c:pt idx="742">
                  <c:v>45526</c:v>
                </c:pt>
                <c:pt idx="743">
                  <c:v>45527</c:v>
                </c:pt>
                <c:pt idx="744">
                  <c:v>45530</c:v>
                </c:pt>
                <c:pt idx="745">
                  <c:v>45531</c:v>
                </c:pt>
                <c:pt idx="746">
                  <c:v>45532</c:v>
                </c:pt>
                <c:pt idx="747">
                  <c:v>45533</c:v>
                </c:pt>
                <c:pt idx="748">
                  <c:v>45534</c:v>
                </c:pt>
                <c:pt idx="749">
                  <c:v>45537</c:v>
                </c:pt>
                <c:pt idx="750">
                  <c:v>45538</c:v>
                </c:pt>
                <c:pt idx="751">
                  <c:v>45539</c:v>
                </c:pt>
                <c:pt idx="752">
                  <c:v>45540</c:v>
                </c:pt>
                <c:pt idx="753">
                  <c:v>45541</c:v>
                </c:pt>
                <c:pt idx="754">
                  <c:v>45544</c:v>
                </c:pt>
                <c:pt idx="755">
                  <c:v>45545</c:v>
                </c:pt>
                <c:pt idx="756">
                  <c:v>45546</c:v>
                </c:pt>
                <c:pt idx="757">
                  <c:v>45547</c:v>
                </c:pt>
                <c:pt idx="758">
                  <c:v>45548</c:v>
                </c:pt>
                <c:pt idx="759">
                  <c:v>45551</c:v>
                </c:pt>
                <c:pt idx="760">
                  <c:v>45552</c:v>
                </c:pt>
                <c:pt idx="761">
                  <c:v>45553</c:v>
                </c:pt>
                <c:pt idx="762">
                  <c:v>45554</c:v>
                </c:pt>
                <c:pt idx="763">
                  <c:v>45555</c:v>
                </c:pt>
                <c:pt idx="764">
                  <c:v>45558</c:v>
                </c:pt>
                <c:pt idx="765">
                  <c:v>45559</c:v>
                </c:pt>
                <c:pt idx="766">
                  <c:v>45560</c:v>
                </c:pt>
                <c:pt idx="767">
                  <c:v>45561</c:v>
                </c:pt>
                <c:pt idx="768">
                  <c:v>45562</c:v>
                </c:pt>
                <c:pt idx="769">
                  <c:v>45565</c:v>
                </c:pt>
                <c:pt idx="770">
                  <c:v>45566</c:v>
                </c:pt>
                <c:pt idx="771">
                  <c:v>45567</c:v>
                </c:pt>
                <c:pt idx="772">
                  <c:v>45568</c:v>
                </c:pt>
                <c:pt idx="773">
                  <c:v>45569</c:v>
                </c:pt>
                <c:pt idx="774">
                  <c:v>45572</c:v>
                </c:pt>
                <c:pt idx="775">
                  <c:v>45573</c:v>
                </c:pt>
                <c:pt idx="776">
                  <c:v>45574</c:v>
                </c:pt>
                <c:pt idx="777">
                  <c:v>45575</c:v>
                </c:pt>
                <c:pt idx="778">
                  <c:v>45576</c:v>
                </c:pt>
                <c:pt idx="779">
                  <c:v>45579</c:v>
                </c:pt>
                <c:pt idx="780">
                  <c:v>45580</c:v>
                </c:pt>
                <c:pt idx="781">
                  <c:v>45581</c:v>
                </c:pt>
                <c:pt idx="782">
                  <c:v>45582</c:v>
                </c:pt>
                <c:pt idx="783">
                  <c:v>45583</c:v>
                </c:pt>
                <c:pt idx="784">
                  <c:v>45586</c:v>
                </c:pt>
                <c:pt idx="785">
                  <c:v>45587</c:v>
                </c:pt>
                <c:pt idx="786">
                  <c:v>45588</c:v>
                </c:pt>
                <c:pt idx="787">
                  <c:v>45589</c:v>
                </c:pt>
                <c:pt idx="788">
                  <c:v>45590</c:v>
                </c:pt>
                <c:pt idx="789">
                  <c:v>45593</c:v>
                </c:pt>
                <c:pt idx="790">
                  <c:v>45594</c:v>
                </c:pt>
                <c:pt idx="791">
                  <c:v>45595</c:v>
                </c:pt>
                <c:pt idx="792">
                  <c:v>45596</c:v>
                </c:pt>
                <c:pt idx="793">
                  <c:v>45597</c:v>
                </c:pt>
                <c:pt idx="794">
                  <c:v>45600</c:v>
                </c:pt>
                <c:pt idx="795">
                  <c:v>45601</c:v>
                </c:pt>
                <c:pt idx="796">
                  <c:v>45602</c:v>
                </c:pt>
                <c:pt idx="797">
                  <c:v>45603</c:v>
                </c:pt>
                <c:pt idx="798">
                  <c:v>45604</c:v>
                </c:pt>
                <c:pt idx="799">
                  <c:v>45607</c:v>
                </c:pt>
                <c:pt idx="800">
                  <c:v>45608</c:v>
                </c:pt>
                <c:pt idx="801">
                  <c:v>45609</c:v>
                </c:pt>
                <c:pt idx="802">
                  <c:v>45610</c:v>
                </c:pt>
                <c:pt idx="803">
                  <c:v>45614</c:v>
                </c:pt>
                <c:pt idx="804">
                  <c:v>45615</c:v>
                </c:pt>
                <c:pt idx="805">
                  <c:v>45617</c:v>
                </c:pt>
                <c:pt idx="806">
                  <c:v>45618</c:v>
                </c:pt>
                <c:pt idx="807">
                  <c:v>45621</c:v>
                </c:pt>
                <c:pt idx="808">
                  <c:v>45622</c:v>
                </c:pt>
                <c:pt idx="809">
                  <c:v>45623</c:v>
                </c:pt>
                <c:pt idx="810">
                  <c:v>45624</c:v>
                </c:pt>
                <c:pt idx="811">
                  <c:v>45625</c:v>
                </c:pt>
                <c:pt idx="812">
                  <c:v>45628</c:v>
                </c:pt>
                <c:pt idx="813">
                  <c:v>45629</c:v>
                </c:pt>
                <c:pt idx="814">
                  <c:v>45630</c:v>
                </c:pt>
                <c:pt idx="815">
                  <c:v>45631</c:v>
                </c:pt>
                <c:pt idx="816">
                  <c:v>45632</c:v>
                </c:pt>
                <c:pt idx="817">
                  <c:v>45635</c:v>
                </c:pt>
                <c:pt idx="818">
                  <c:v>45636</c:v>
                </c:pt>
                <c:pt idx="819">
                  <c:v>45637</c:v>
                </c:pt>
                <c:pt idx="820">
                  <c:v>45638</c:v>
                </c:pt>
                <c:pt idx="821">
                  <c:v>45639</c:v>
                </c:pt>
                <c:pt idx="822">
                  <c:v>45642</c:v>
                </c:pt>
                <c:pt idx="823">
                  <c:v>45643</c:v>
                </c:pt>
                <c:pt idx="824">
                  <c:v>45644</c:v>
                </c:pt>
                <c:pt idx="825">
                  <c:v>45645</c:v>
                </c:pt>
                <c:pt idx="826">
                  <c:v>45646</c:v>
                </c:pt>
                <c:pt idx="827">
                  <c:v>45649</c:v>
                </c:pt>
                <c:pt idx="828">
                  <c:v>45652</c:v>
                </c:pt>
                <c:pt idx="829">
                  <c:v>45653</c:v>
                </c:pt>
                <c:pt idx="830">
                  <c:v>45656</c:v>
                </c:pt>
                <c:pt idx="831">
                  <c:v>45659</c:v>
                </c:pt>
                <c:pt idx="832">
                  <c:v>45660</c:v>
                </c:pt>
                <c:pt idx="833">
                  <c:v>45663</c:v>
                </c:pt>
                <c:pt idx="834">
                  <c:v>45664</c:v>
                </c:pt>
                <c:pt idx="835">
                  <c:v>45665</c:v>
                </c:pt>
                <c:pt idx="836">
                  <c:v>45666</c:v>
                </c:pt>
                <c:pt idx="837">
                  <c:v>45667</c:v>
                </c:pt>
                <c:pt idx="838">
                  <c:v>45670</c:v>
                </c:pt>
                <c:pt idx="839">
                  <c:v>45671</c:v>
                </c:pt>
                <c:pt idx="840">
                  <c:v>45672</c:v>
                </c:pt>
                <c:pt idx="841">
                  <c:v>45673</c:v>
                </c:pt>
                <c:pt idx="842">
                  <c:v>45674</c:v>
                </c:pt>
                <c:pt idx="843">
                  <c:v>45677</c:v>
                </c:pt>
                <c:pt idx="844">
                  <c:v>45678</c:v>
                </c:pt>
                <c:pt idx="845">
                  <c:v>45679</c:v>
                </c:pt>
                <c:pt idx="846">
                  <c:v>45680</c:v>
                </c:pt>
                <c:pt idx="847">
                  <c:v>45681</c:v>
                </c:pt>
                <c:pt idx="848">
                  <c:v>45684</c:v>
                </c:pt>
                <c:pt idx="849">
                  <c:v>45685</c:v>
                </c:pt>
                <c:pt idx="850">
                  <c:v>45686</c:v>
                </c:pt>
                <c:pt idx="851">
                  <c:v>45687</c:v>
                </c:pt>
                <c:pt idx="852">
                  <c:v>45688</c:v>
                </c:pt>
                <c:pt idx="853">
                  <c:v>45691</c:v>
                </c:pt>
                <c:pt idx="854">
                  <c:v>45692</c:v>
                </c:pt>
                <c:pt idx="855">
                  <c:v>45693</c:v>
                </c:pt>
                <c:pt idx="856">
                  <c:v>45694</c:v>
                </c:pt>
                <c:pt idx="857">
                  <c:v>45695</c:v>
                </c:pt>
                <c:pt idx="858">
                  <c:v>45698</c:v>
                </c:pt>
                <c:pt idx="859">
                  <c:v>45699</c:v>
                </c:pt>
                <c:pt idx="860">
                  <c:v>45700</c:v>
                </c:pt>
                <c:pt idx="861">
                  <c:v>45701</c:v>
                </c:pt>
                <c:pt idx="862">
                  <c:v>45702</c:v>
                </c:pt>
                <c:pt idx="863">
                  <c:v>45705</c:v>
                </c:pt>
                <c:pt idx="864">
                  <c:v>45706</c:v>
                </c:pt>
                <c:pt idx="865">
                  <c:v>45707</c:v>
                </c:pt>
                <c:pt idx="866">
                  <c:v>45708</c:v>
                </c:pt>
                <c:pt idx="867">
                  <c:v>45709</c:v>
                </c:pt>
                <c:pt idx="868">
                  <c:v>45712</c:v>
                </c:pt>
                <c:pt idx="869">
                  <c:v>45713</c:v>
                </c:pt>
                <c:pt idx="870">
                  <c:v>45714</c:v>
                </c:pt>
                <c:pt idx="871">
                  <c:v>45715</c:v>
                </c:pt>
                <c:pt idx="872">
                  <c:v>45716</c:v>
                </c:pt>
                <c:pt idx="873">
                  <c:v>45721</c:v>
                </c:pt>
                <c:pt idx="874">
                  <c:v>45722</c:v>
                </c:pt>
                <c:pt idx="875">
                  <c:v>45723</c:v>
                </c:pt>
                <c:pt idx="876">
                  <c:v>45726</c:v>
                </c:pt>
                <c:pt idx="877">
                  <c:v>45727</c:v>
                </c:pt>
                <c:pt idx="878">
                  <c:v>45728</c:v>
                </c:pt>
                <c:pt idx="879">
                  <c:v>45729</c:v>
                </c:pt>
                <c:pt idx="880">
                  <c:v>45730</c:v>
                </c:pt>
                <c:pt idx="881">
                  <c:v>45733</c:v>
                </c:pt>
                <c:pt idx="882">
                  <c:v>45734</c:v>
                </c:pt>
                <c:pt idx="883">
                  <c:v>45735</c:v>
                </c:pt>
                <c:pt idx="884">
                  <c:v>45736</c:v>
                </c:pt>
                <c:pt idx="885">
                  <c:v>45737</c:v>
                </c:pt>
                <c:pt idx="886">
                  <c:v>45740</c:v>
                </c:pt>
                <c:pt idx="887">
                  <c:v>45741</c:v>
                </c:pt>
                <c:pt idx="888">
                  <c:v>45742</c:v>
                </c:pt>
                <c:pt idx="889">
                  <c:v>45743</c:v>
                </c:pt>
                <c:pt idx="890">
                  <c:v>45744</c:v>
                </c:pt>
                <c:pt idx="891">
                  <c:v>45747</c:v>
                </c:pt>
                <c:pt idx="892">
                  <c:v>45748</c:v>
                </c:pt>
                <c:pt idx="893">
                  <c:v>45749</c:v>
                </c:pt>
                <c:pt idx="894">
                  <c:v>45750</c:v>
                </c:pt>
                <c:pt idx="895">
                  <c:v>45751</c:v>
                </c:pt>
                <c:pt idx="896">
                  <c:v>45754</c:v>
                </c:pt>
                <c:pt idx="897">
                  <c:v>45755</c:v>
                </c:pt>
                <c:pt idx="898">
                  <c:v>45756</c:v>
                </c:pt>
                <c:pt idx="899">
                  <c:v>45757</c:v>
                </c:pt>
                <c:pt idx="900">
                  <c:v>45758</c:v>
                </c:pt>
                <c:pt idx="901">
                  <c:v>45761</c:v>
                </c:pt>
                <c:pt idx="902">
                  <c:v>45762</c:v>
                </c:pt>
                <c:pt idx="903">
                  <c:v>45763</c:v>
                </c:pt>
                <c:pt idx="904">
                  <c:v>45764</c:v>
                </c:pt>
                <c:pt idx="905">
                  <c:v>45769</c:v>
                </c:pt>
                <c:pt idx="906">
                  <c:v>45770</c:v>
                </c:pt>
                <c:pt idx="907">
                  <c:v>45771</c:v>
                </c:pt>
                <c:pt idx="908">
                  <c:v>45772</c:v>
                </c:pt>
                <c:pt idx="909">
                  <c:v>45775</c:v>
                </c:pt>
                <c:pt idx="910">
                  <c:v>45776</c:v>
                </c:pt>
                <c:pt idx="911">
                  <c:v>45777</c:v>
                </c:pt>
                <c:pt idx="912">
                  <c:v>45779</c:v>
                </c:pt>
                <c:pt idx="913">
                  <c:v>45782</c:v>
                </c:pt>
                <c:pt idx="914">
                  <c:v>45783</c:v>
                </c:pt>
                <c:pt idx="915">
                  <c:v>45784</c:v>
                </c:pt>
                <c:pt idx="916">
                  <c:v>45785</c:v>
                </c:pt>
                <c:pt idx="917">
                  <c:v>45786</c:v>
                </c:pt>
                <c:pt idx="918">
                  <c:v>45789</c:v>
                </c:pt>
                <c:pt idx="919">
                  <c:v>45790</c:v>
                </c:pt>
                <c:pt idx="920">
                  <c:v>45791</c:v>
                </c:pt>
                <c:pt idx="921">
                  <c:v>45792</c:v>
                </c:pt>
                <c:pt idx="922">
                  <c:v>45793</c:v>
                </c:pt>
                <c:pt idx="923">
                  <c:v>45796</c:v>
                </c:pt>
                <c:pt idx="924">
                  <c:v>45797</c:v>
                </c:pt>
                <c:pt idx="925">
                  <c:v>45798</c:v>
                </c:pt>
                <c:pt idx="926">
                  <c:v>45799</c:v>
                </c:pt>
                <c:pt idx="927">
                  <c:v>45800</c:v>
                </c:pt>
                <c:pt idx="928">
                  <c:v>45803</c:v>
                </c:pt>
                <c:pt idx="929">
                  <c:v>45804</c:v>
                </c:pt>
                <c:pt idx="930">
                  <c:v>45805</c:v>
                </c:pt>
                <c:pt idx="931">
                  <c:v>45806</c:v>
                </c:pt>
                <c:pt idx="932">
                  <c:v>45807</c:v>
                </c:pt>
                <c:pt idx="933">
                  <c:v>45810</c:v>
                </c:pt>
                <c:pt idx="934">
                  <c:v>45811</c:v>
                </c:pt>
                <c:pt idx="935">
                  <c:v>45812</c:v>
                </c:pt>
                <c:pt idx="936">
                  <c:v>45813</c:v>
                </c:pt>
                <c:pt idx="937">
                  <c:v>45814</c:v>
                </c:pt>
                <c:pt idx="938">
                  <c:v>45817</c:v>
                </c:pt>
                <c:pt idx="939">
                  <c:v>45818</c:v>
                </c:pt>
                <c:pt idx="940">
                  <c:v>45819</c:v>
                </c:pt>
                <c:pt idx="941">
                  <c:v>45820</c:v>
                </c:pt>
                <c:pt idx="942">
                  <c:v>45821</c:v>
                </c:pt>
                <c:pt idx="943">
                  <c:v>45824</c:v>
                </c:pt>
                <c:pt idx="944">
                  <c:v>45825</c:v>
                </c:pt>
                <c:pt idx="945">
                  <c:v>45826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45982</c:v>
                </c:pt>
                <c:pt idx="1056">
                  <c:v>45985</c:v>
                </c:pt>
                <c:pt idx="1057">
                  <c:v>45986</c:v>
                </c:pt>
                <c:pt idx="1058">
                  <c:v>45987</c:v>
                </c:pt>
                <c:pt idx="1059">
                  <c:v>45988</c:v>
                </c:pt>
                <c:pt idx="1060">
                  <c:v>45989</c:v>
                </c:pt>
                <c:pt idx="1061">
                  <c:v>45992</c:v>
                </c:pt>
                <c:pt idx="1062">
                  <c:v>45993</c:v>
                </c:pt>
                <c:pt idx="1063">
                  <c:v>45994</c:v>
                </c:pt>
                <c:pt idx="1064">
                  <c:v>45995</c:v>
                </c:pt>
                <c:pt idx="1065">
                  <c:v>45996</c:v>
                </c:pt>
                <c:pt idx="1066">
                  <c:v>45999</c:v>
                </c:pt>
                <c:pt idx="1067">
                  <c:v>46000</c:v>
                </c:pt>
                <c:pt idx="1068">
                  <c:v>46001</c:v>
                </c:pt>
                <c:pt idx="1069">
                  <c:v>46002</c:v>
                </c:pt>
                <c:pt idx="1070">
                  <c:v>46003</c:v>
                </c:pt>
                <c:pt idx="1071">
                  <c:v>46006</c:v>
                </c:pt>
                <c:pt idx="1072">
                  <c:v>46007</c:v>
                </c:pt>
                <c:pt idx="1073">
                  <c:v>46008</c:v>
                </c:pt>
                <c:pt idx="1074">
                  <c:v>46009</c:v>
                </c:pt>
                <c:pt idx="1075">
                  <c:v>46010</c:v>
                </c:pt>
                <c:pt idx="1076">
                  <c:v>46013</c:v>
                </c:pt>
                <c:pt idx="1077">
                  <c:v>46014</c:v>
                </c:pt>
                <c:pt idx="1078">
                  <c:v>46017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46118</c:v>
                </c:pt>
                <c:pt idx="1145">
                  <c:v>46119</c:v>
                </c:pt>
                <c:pt idx="1146">
                  <c:v>46120</c:v>
                </c:pt>
                <c:pt idx="1147">
                  <c:v>46121</c:v>
                </c:pt>
                <c:pt idx="1148">
                  <c:v>46122</c:v>
                </c:pt>
                <c:pt idx="1149">
                  <c:v>46125</c:v>
                </c:pt>
                <c:pt idx="1150">
                  <c:v>46126</c:v>
                </c:pt>
                <c:pt idx="1151">
                  <c:v>46127</c:v>
                </c:pt>
                <c:pt idx="1152">
                  <c:v>46128</c:v>
                </c:pt>
                <c:pt idx="1153">
                  <c:v>46129</c:v>
                </c:pt>
                <c:pt idx="1154">
                  <c:v>46132</c:v>
                </c:pt>
                <c:pt idx="1155">
                  <c:v>46134</c:v>
                </c:pt>
                <c:pt idx="1156">
                  <c:v>46135</c:v>
                </c:pt>
                <c:pt idx="1157">
                  <c:v>46136</c:v>
                </c:pt>
                <c:pt idx="1158">
                  <c:v>46139</c:v>
                </c:pt>
                <c:pt idx="1159">
                  <c:v>46140</c:v>
                </c:pt>
                <c:pt idx="1160">
                  <c:v>46141</c:v>
                </c:pt>
                <c:pt idx="1161">
                  <c:v>46142</c:v>
                </c:pt>
                <c:pt idx="1162">
                  <c:v>46146</c:v>
                </c:pt>
                <c:pt idx="1163">
                  <c:v>46147</c:v>
                </c:pt>
                <c:pt idx="1164">
                  <c:v>46148</c:v>
                </c:pt>
                <c:pt idx="1165">
                  <c:v>46149</c:v>
                </c:pt>
                <c:pt idx="1166">
                  <c:v>46150</c:v>
                </c:pt>
                <c:pt idx="1167">
                  <c:v>46153</c:v>
                </c:pt>
                <c:pt idx="1168">
                  <c:v>46154</c:v>
                </c:pt>
                <c:pt idx="1169">
                  <c:v>46155</c:v>
                </c:pt>
                <c:pt idx="1170">
                  <c:v>46156</c:v>
                </c:pt>
                <c:pt idx="1171">
                  <c:v>46157</c:v>
                </c:pt>
                <c:pt idx="1172">
                  <c:v>46160</c:v>
                </c:pt>
                <c:pt idx="1173">
                  <c:v>46161</c:v>
                </c:pt>
                <c:pt idx="1174">
                  <c:v>46162</c:v>
                </c:pt>
                <c:pt idx="1175">
                  <c:v>46163</c:v>
                </c:pt>
                <c:pt idx="1176">
                  <c:v>46164</c:v>
                </c:pt>
                <c:pt idx="1177">
                  <c:v>46167</c:v>
                </c:pt>
                <c:pt idx="1178">
                  <c:v>46168</c:v>
                </c:pt>
                <c:pt idx="1179">
                  <c:v>46169</c:v>
                </c:pt>
                <c:pt idx="1180">
                  <c:v>46170</c:v>
                </c:pt>
                <c:pt idx="1181">
                  <c:v>46171</c:v>
                </c:pt>
                <c:pt idx="1182">
                  <c:v>46174</c:v>
                </c:pt>
                <c:pt idx="1183">
                  <c:v>46175</c:v>
                </c:pt>
                <c:pt idx="1184">
                  <c:v>46176</c:v>
                </c:pt>
                <c:pt idx="1185">
                  <c:v>46178</c:v>
                </c:pt>
                <c:pt idx="1186">
                  <c:v>46181</c:v>
                </c:pt>
                <c:pt idx="1187">
                  <c:v>46182</c:v>
                </c:pt>
                <c:pt idx="1188">
                  <c:v>46183</c:v>
                </c:pt>
                <c:pt idx="1189">
                  <c:v>46184</c:v>
                </c:pt>
                <c:pt idx="1190">
                  <c:v>46185</c:v>
                </c:pt>
                <c:pt idx="1191">
                  <c:v>46188</c:v>
                </c:pt>
                <c:pt idx="1192">
                  <c:v>46189</c:v>
                </c:pt>
                <c:pt idx="1193">
                  <c:v>46190</c:v>
                </c:pt>
                <c:pt idx="1194">
                  <c:v>46191</c:v>
                </c:pt>
                <c:pt idx="1195">
                  <c:v>46192</c:v>
                </c:pt>
                <c:pt idx="1196">
                  <c:v>46195</c:v>
                </c:pt>
                <c:pt idx="1197">
                  <c:v>46196</c:v>
                </c:pt>
                <c:pt idx="1198">
                  <c:v>46197</c:v>
                </c:pt>
                <c:pt idx="1199">
                  <c:v>46198</c:v>
                </c:pt>
                <c:pt idx="1200">
                  <c:v>46199</c:v>
                </c:pt>
                <c:pt idx="1201">
                  <c:v>46202</c:v>
                </c:pt>
                <c:pt idx="1202">
                  <c:v>46203</c:v>
                </c:pt>
                <c:pt idx="1203">
                  <c:v>46204</c:v>
                </c:pt>
                <c:pt idx="1204">
                  <c:v>46205</c:v>
                </c:pt>
                <c:pt idx="1205">
                  <c:v>46206</c:v>
                </c:pt>
                <c:pt idx="1206">
                  <c:v>46209</c:v>
                </c:pt>
                <c:pt idx="1207">
                  <c:v>46210</c:v>
                </c:pt>
                <c:pt idx="1208">
                  <c:v>46211</c:v>
                </c:pt>
                <c:pt idx="1209">
                  <c:v>46212</c:v>
                </c:pt>
                <c:pt idx="1210">
                  <c:v>46213</c:v>
                </c:pt>
                <c:pt idx="1211">
                  <c:v>46216</c:v>
                </c:pt>
                <c:pt idx="1212">
                  <c:v>46217</c:v>
                </c:pt>
                <c:pt idx="1213">
                  <c:v>46218</c:v>
                </c:pt>
                <c:pt idx="1214">
                  <c:v>46219</c:v>
                </c:pt>
                <c:pt idx="1215">
                  <c:v>46220</c:v>
                </c:pt>
                <c:pt idx="1216">
                  <c:v>46223</c:v>
                </c:pt>
                <c:pt idx="1217">
                  <c:v>46224</c:v>
                </c:pt>
                <c:pt idx="1218">
                  <c:v>46225</c:v>
                </c:pt>
                <c:pt idx="1219">
                  <c:v>46226</c:v>
                </c:pt>
                <c:pt idx="1220">
                  <c:v>46227</c:v>
                </c:pt>
                <c:pt idx="1221">
                  <c:v>46230</c:v>
                </c:pt>
                <c:pt idx="1222">
                  <c:v>46231</c:v>
                </c:pt>
                <c:pt idx="1223">
                  <c:v>46232</c:v>
                </c:pt>
                <c:pt idx="1224">
                  <c:v>46233</c:v>
                </c:pt>
                <c:pt idx="1225">
                  <c:v>46234</c:v>
                </c:pt>
                <c:pt idx="1226">
                  <c:v>46237</c:v>
                </c:pt>
                <c:pt idx="1227">
                  <c:v>46238</c:v>
                </c:pt>
                <c:pt idx="1228">
                  <c:v>46239</c:v>
                </c:pt>
                <c:pt idx="1229">
                  <c:v>46240</c:v>
                </c:pt>
                <c:pt idx="1230">
                  <c:v>46241</c:v>
                </c:pt>
                <c:pt idx="1231">
                  <c:v>46244</c:v>
                </c:pt>
                <c:pt idx="1232">
                  <c:v>46245</c:v>
                </c:pt>
                <c:pt idx="1233">
                  <c:v>46246</c:v>
                </c:pt>
                <c:pt idx="1234">
                  <c:v>46247</c:v>
                </c:pt>
                <c:pt idx="1235">
                  <c:v>46248</c:v>
                </c:pt>
                <c:pt idx="1236">
                  <c:v>46251</c:v>
                </c:pt>
                <c:pt idx="1237">
                  <c:v>46252</c:v>
                </c:pt>
                <c:pt idx="1238">
                  <c:v>46253</c:v>
                </c:pt>
                <c:pt idx="1239">
                  <c:v>46254</c:v>
                </c:pt>
                <c:pt idx="1240">
                  <c:v>46255</c:v>
                </c:pt>
                <c:pt idx="1241">
                  <c:v>46258</c:v>
                </c:pt>
                <c:pt idx="1242">
                  <c:v>46259</c:v>
                </c:pt>
                <c:pt idx="1243">
                  <c:v>46260</c:v>
                </c:pt>
                <c:pt idx="1244">
                  <c:v>46261</c:v>
                </c:pt>
                <c:pt idx="1245">
                  <c:v>46262</c:v>
                </c:pt>
                <c:pt idx="1246">
                  <c:v>46265</c:v>
                </c:pt>
              </c:numCache>
            </c:numRef>
          </c:cat>
          <c:val>
            <c:numRef>
              <c:f>Dados!$B$2:$B$1248</c:f>
              <c:numCache>
                <c:formatCode>General</c:formatCode>
                <c:ptCount val="1247"/>
                <c:pt idx="0">
                  <c:v>2386.8501000000001</c:v>
                </c:pt>
                <c:pt idx="1">
                  <c:v>2321.5500000000002</c:v>
                </c:pt>
                <c:pt idx="2">
                  <c:v>2326.8798999999999</c:v>
                </c:pt>
                <c:pt idx="3">
                  <c:v>2361.4699999999998</c:v>
                </c:pt>
                <c:pt idx="4">
                  <c:v>2264.7399999999998</c:v>
                </c:pt>
                <c:pt idx="5">
                  <c:v>2313.6100999999999</c:v>
                </c:pt>
                <c:pt idx="6">
                  <c:v>2287.3101000000001</c:v>
                </c:pt>
                <c:pt idx="7">
                  <c:v>2333.3899000000001</c:v>
                </c:pt>
                <c:pt idx="8">
                  <c:v>2330.3600999999999</c:v>
                </c:pt>
                <c:pt idx="9">
                  <c:v>2300.9499999999998</c:v>
                </c:pt>
                <c:pt idx="10">
                  <c:v>2291.9099000000001</c:v>
                </c:pt>
                <c:pt idx="11">
                  <c:v>2251.8701000000001</c:v>
                </c:pt>
                <c:pt idx="12">
                  <c:v>2201.9499999999998</c:v>
                </c:pt>
                <c:pt idx="13">
                  <c:v>2229.4699999999998</c:v>
                </c:pt>
                <c:pt idx="14">
                  <c:v>2262.5100000000002</c:v>
                </c:pt>
                <c:pt idx="15">
                  <c:v>2295.4899999999998</c:v>
                </c:pt>
                <c:pt idx="16">
                  <c:v>2279.6999999999998</c:v>
                </c:pt>
                <c:pt idx="17">
                  <c:v>2282.0601000000001</c:v>
                </c:pt>
                <c:pt idx="18">
                  <c:v>2216.2800000000002</c:v>
                </c:pt>
                <c:pt idx="19">
                  <c:v>2226.6698999999999</c:v>
                </c:pt>
                <c:pt idx="20">
                  <c:v>2213.4499999999998</c:v>
                </c:pt>
                <c:pt idx="21">
                  <c:v>2255.96</c:v>
                </c:pt>
                <c:pt idx="22">
                  <c:v>2192.9198999999999</c:v>
                </c:pt>
                <c:pt idx="23">
                  <c:v>2197.8000000000002</c:v>
                </c:pt>
                <c:pt idx="24">
                  <c:v>2200.3301000000001</c:v>
                </c:pt>
                <c:pt idx="25">
                  <c:v>2191.1898999999999</c:v>
                </c:pt>
                <c:pt idx="26">
                  <c:v>2242.48</c:v>
                </c:pt>
                <c:pt idx="27">
                  <c:v>2209.8899000000001</c:v>
                </c:pt>
                <c:pt idx="28">
                  <c:v>2256.79</c:v>
                </c:pt>
                <c:pt idx="29">
                  <c:v>2248.75</c:v>
                </c:pt>
                <c:pt idx="30">
                  <c:v>2285.0801000000001</c:v>
                </c:pt>
                <c:pt idx="31">
                  <c:v>2286.5601000000001</c:v>
                </c:pt>
                <c:pt idx="32">
                  <c:v>2206.6999999999998</c:v>
                </c:pt>
                <c:pt idx="33">
                  <c:v>2228.3998999999999</c:v>
                </c:pt>
                <c:pt idx="34">
                  <c:v>2155.8798999999999</c:v>
                </c:pt>
                <c:pt idx="35">
                  <c:v>2110.8600999999999</c:v>
                </c:pt>
                <c:pt idx="36">
                  <c:v>2153.1898999999999</c:v>
                </c:pt>
                <c:pt idx="37">
                  <c:v>2101.1298999999999</c:v>
                </c:pt>
                <c:pt idx="38">
                  <c:v>2110.0601000000001</c:v>
                </c:pt>
                <c:pt idx="39">
                  <c:v>2097.1599000000001</c:v>
                </c:pt>
                <c:pt idx="40">
                  <c:v>2069.0601000000001</c:v>
                </c:pt>
                <c:pt idx="41">
                  <c:v>2116.0100000000002</c:v>
                </c:pt>
                <c:pt idx="42">
                  <c:v>2152.8301000000001</c:v>
                </c:pt>
                <c:pt idx="43">
                  <c:v>2105.1799000000001</c:v>
                </c:pt>
                <c:pt idx="44">
                  <c:v>2149.3000000000002</c:v>
                </c:pt>
                <c:pt idx="45">
                  <c:v>2123.98</c:v>
                </c:pt>
                <c:pt idx="46">
                  <c:v>2148.52</c:v>
                </c:pt>
                <c:pt idx="47">
                  <c:v>2171.98</c:v>
                </c:pt>
                <c:pt idx="48">
                  <c:v>2198.1599000000001</c:v>
                </c:pt>
                <c:pt idx="49">
                  <c:v>2161.1999999999998</c:v>
                </c:pt>
                <c:pt idx="50">
                  <c:v>2122.2600000000002</c:v>
                </c:pt>
                <c:pt idx="51">
                  <c:v>2097.1799000000001</c:v>
                </c:pt>
                <c:pt idx="52">
                  <c:v>2094.46</c:v>
                </c:pt>
                <c:pt idx="53">
                  <c:v>2104.6201000000001</c:v>
                </c:pt>
                <c:pt idx="54">
                  <c:v>2060.71</c:v>
                </c:pt>
                <c:pt idx="55">
                  <c:v>2083.3101000000001</c:v>
                </c:pt>
                <c:pt idx="56">
                  <c:v>2097.6999999999998</c:v>
                </c:pt>
                <c:pt idx="57">
                  <c:v>2128.0801000000001</c:v>
                </c:pt>
                <c:pt idx="58">
                  <c:v>2058.9899999999998</c:v>
                </c:pt>
                <c:pt idx="59">
                  <c:v>2059.6599000000001</c:v>
                </c:pt>
                <c:pt idx="60">
                  <c:v>2039.39</c:v>
                </c:pt>
                <c:pt idx="61">
                  <c:v>2007.29</c:v>
                </c:pt>
                <c:pt idx="62">
                  <c:v>2064.73</c:v>
                </c:pt>
                <c:pt idx="63">
                  <c:v>2082.9099000000001</c:v>
                </c:pt>
                <c:pt idx="64">
                  <c:v>2104.8101000000001</c:v>
                </c:pt>
                <c:pt idx="65">
                  <c:v>2116.4398999999999</c:v>
                </c:pt>
                <c:pt idx="66">
                  <c:v>2132.1898999999999</c:v>
                </c:pt>
                <c:pt idx="67">
                  <c:v>2084.0100000000002</c:v>
                </c:pt>
                <c:pt idx="68">
                  <c:v>2115.4099000000001</c:v>
                </c:pt>
                <c:pt idx="69">
                  <c:v>2094.0300000000002</c:v>
                </c:pt>
                <c:pt idx="70">
                  <c:v>2086.3501000000001</c:v>
                </c:pt>
                <c:pt idx="71">
                  <c:v>2106.4699999999998</c:v>
                </c:pt>
                <c:pt idx="72">
                  <c:v>2111.73</c:v>
                </c:pt>
                <c:pt idx="73">
                  <c:v>2095.48</c:v>
                </c:pt>
                <c:pt idx="74">
                  <c:v>2050.9299000000001</c:v>
                </c:pt>
                <c:pt idx="75">
                  <c:v>2044.0600999999999</c:v>
                </c:pt>
                <c:pt idx="76">
                  <c:v>2041.54</c:v>
                </c:pt>
                <c:pt idx="77">
                  <c:v>2039.0600999999999</c:v>
                </c:pt>
                <c:pt idx="78">
                  <c:v>2051.3701000000001</c:v>
                </c:pt>
                <c:pt idx="79">
                  <c:v>2044.53</c:v>
                </c:pt>
                <c:pt idx="80">
                  <c:v>2026.41</c:v>
                </c:pt>
                <c:pt idx="81">
                  <c:v>2038.58</c:v>
                </c:pt>
                <c:pt idx="82">
                  <c:v>2012.41</c:v>
                </c:pt>
                <c:pt idx="83">
                  <c:v>2004.51</c:v>
                </c:pt>
                <c:pt idx="84">
                  <c:v>1950.48</c:v>
                </c:pt>
                <c:pt idx="85">
                  <c:v>1953.21</c:v>
                </c:pt>
                <c:pt idx="86">
                  <c:v>1958.46</c:v>
                </c:pt>
                <c:pt idx="87">
                  <c:v>1945.05</c:v>
                </c:pt>
                <c:pt idx="88">
                  <c:v>1974.24</c:v>
                </c:pt>
                <c:pt idx="89">
                  <c:v>2012.4</c:v>
                </c:pt>
                <c:pt idx="90">
                  <c:v>2008.16</c:v>
                </c:pt>
                <c:pt idx="91">
                  <c:v>2036.13</c:v>
                </c:pt>
                <c:pt idx="92">
                  <c:v>2023.4399000000001</c:v>
                </c:pt>
                <c:pt idx="93">
                  <c:v>2017.77</c:v>
                </c:pt>
                <c:pt idx="94">
                  <c:v>2041.5</c:v>
                </c:pt>
                <c:pt idx="95">
                  <c:v>2079.3301000000001</c:v>
                </c:pt>
                <c:pt idx="96">
                  <c:v>2085.5700999999999</c:v>
                </c:pt>
                <c:pt idx="97">
                  <c:v>2067.8600999999999</c:v>
                </c:pt>
                <c:pt idx="98">
                  <c:v>2117.71</c:v>
                </c:pt>
                <c:pt idx="99">
                  <c:v>2136.7800000000002</c:v>
                </c:pt>
                <c:pt idx="100">
                  <c:v>2171.77</c:v>
                </c:pt>
                <c:pt idx="101">
                  <c:v>2165.8899000000001</c:v>
                </c:pt>
                <c:pt idx="102">
                  <c:v>2188.3899000000001</c:v>
                </c:pt>
                <c:pt idx="103">
                  <c:v>2187.1399000000001</c:v>
                </c:pt>
                <c:pt idx="104">
                  <c:v>2151.71</c:v>
                </c:pt>
                <c:pt idx="105">
                  <c:v>2148.73</c:v>
                </c:pt>
                <c:pt idx="106">
                  <c:v>2139.6999999999998</c:v>
                </c:pt>
                <c:pt idx="107">
                  <c:v>2122.3501000000001</c:v>
                </c:pt>
                <c:pt idx="108">
                  <c:v>2128.3600999999999</c:v>
                </c:pt>
                <c:pt idx="109">
                  <c:v>2131.6298999999999</c:v>
                </c:pt>
                <c:pt idx="110">
                  <c:v>2139.5801000000001</c:v>
                </c:pt>
                <c:pt idx="111">
                  <c:v>2143.0500000000002</c:v>
                </c:pt>
                <c:pt idx="112">
                  <c:v>2155.6001000000001</c:v>
                </c:pt>
                <c:pt idx="113">
                  <c:v>2195.3899000000001</c:v>
                </c:pt>
                <c:pt idx="114">
                  <c:v>2198.6599000000001</c:v>
                </c:pt>
                <c:pt idx="115">
                  <c:v>2175.0801000000001</c:v>
                </c:pt>
                <c:pt idx="116">
                  <c:v>2158.71</c:v>
                </c:pt>
                <c:pt idx="117">
                  <c:v>2122.1698999999999</c:v>
                </c:pt>
                <c:pt idx="118">
                  <c:v>2139.79</c:v>
                </c:pt>
                <c:pt idx="119">
                  <c:v>2123.3200999999999</c:v>
                </c:pt>
                <c:pt idx="120">
                  <c:v>2117.5601000000001</c:v>
                </c:pt>
                <c:pt idx="121">
                  <c:v>2126.1100999999999</c:v>
                </c:pt>
                <c:pt idx="122">
                  <c:v>2123.3701000000001</c:v>
                </c:pt>
                <c:pt idx="123">
                  <c:v>2130.1298999999999</c:v>
                </c:pt>
                <c:pt idx="124">
                  <c:v>2101.5700999999999</c:v>
                </c:pt>
                <c:pt idx="125">
                  <c:v>2025.86</c:v>
                </c:pt>
                <c:pt idx="126">
                  <c:v>2037.91</c:v>
                </c:pt>
                <c:pt idx="127">
                  <c:v>2121.3798999999999</c:v>
                </c:pt>
                <c:pt idx="128">
                  <c:v>2091.3899000000001</c:v>
                </c:pt>
                <c:pt idx="129">
                  <c:v>2054.4198999999999</c:v>
                </c:pt>
                <c:pt idx="130">
                  <c:v>2041.55</c:v>
                </c:pt>
                <c:pt idx="131">
                  <c:v>2034.22</c:v>
                </c:pt>
                <c:pt idx="132">
                  <c:v>2078.2600000000002</c:v>
                </c:pt>
                <c:pt idx="133">
                  <c:v>2119.0100000000002</c:v>
                </c:pt>
                <c:pt idx="134">
                  <c:v>2158.6498999999999</c:v>
                </c:pt>
                <c:pt idx="135">
                  <c:v>2159.9699999999998</c:v>
                </c:pt>
                <c:pt idx="136">
                  <c:v>2198.3000000000002</c:v>
                </c:pt>
                <c:pt idx="137">
                  <c:v>2198.6799000000001</c:v>
                </c:pt>
                <c:pt idx="138">
                  <c:v>2245.1001000000001</c:v>
                </c:pt>
                <c:pt idx="139">
                  <c:v>2252.96</c:v>
                </c:pt>
                <c:pt idx="140">
                  <c:v>2250.4198999999999</c:v>
                </c:pt>
                <c:pt idx="141">
                  <c:v>2280.9198999999999</c:v>
                </c:pt>
                <c:pt idx="142">
                  <c:v>2274.3899000000001</c:v>
                </c:pt>
                <c:pt idx="143">
                  <c:v>2268.8798999999999</c:v>
                </c:pt>
                <c:pt idx="144">
                  <c:v>2299.9699999999998</c:v>
                </c:pt>
                <c:pt idx="145">
                  <c:v>2287.5500000000002</c:v>
                </c:pt>
                <c:pt idx="146">
                  <c:v>2243.8501000000001</c:v>
                </c:pt>
                <c:pt idx="147">
                  <c:v>2225.1999999999998</c:v>
                </c:pt>
                <c:pt idx="148">
                  <c:v>2232.27</c:v>
                </c:pt>
                <c:pt idx="149">
                  <c:v>2228.0700999999999</c:v>
                </c:pt>
                <c:pt idx="150">
                  <c:v>2203.0300000000002</c:v>
                </c:pt>
                <c:pt idx="151">
                  <c:v>2183.71</c:v>
                </c:pt>
                <c:pt idx="152">
                  <c:v>2197.1599000000001</c:v>
                </c:pt>
                <c:pt idx="153">
                  <c:v>2192.8600999999999</c:v>
                </c:pt>
                <c:pt idx="154">
                  <c:v>2195.4899999999998</c:v>
                </c:pt>
                <c:pt idx="155">
                  <c:v>2186.4699999999998</c:v>
                </c:pt>
                <c:pt idx="156">
                  <c:v>2177.27</c:v>
                </c:pt>
                <c:pt idx="157">
                  <c:v>2133.79</c:v>
                </c:pt>
                <c:pt idx="158">
                  <c:v>2133.04</c:v>
                </c:pt>
                <c:pt idx="159">
                  <c:v>2076.5</c:v>
                </c:pt>
                <c:pt idx="160">
                  <c:v>2086.0900999999999</c:v>
                </c:pt>
                <c:pt idx="161">
                  <c:v>2090.1999999999998</c:v>
                </c:pt>
                <c:pt idx="162">
                  <c:v>2042.79</c:v>
                </c:pt>
                <c:pt idx="163">
                  <c:v>2014.98</c:v>
                </c:pt>
                <c:pt idx="164">
                  <c:v>2009.0699</c:v>
                </c:pt>
                <c:pt idx="165">
                  <c:v>2045.73</c:v>
                </c:pt>
                <c:pt idx="166">
                  <c:v>1981.65</c:v>
                </c:pt>
                <c:pt idx="167">
                  <c:v>1971.33</c:v>
                </c:pt>
                <c:pt idx="168">
                  <c:v>1949.98</c:v>
                </c:pt>
                <c:pt idx="169">
                  <c:v>1952.24</c:v>
                </c:pt>
                <c:pt idx="170">
                  <c:v>1964.05</c:v>
                </c:pt>
                <c:pt idx="171">
                  <c:v>2002.87</c:v>
                </c:pt>
                <c:pt idx="172">
                  <c:v>2028.9</c:v>
                </c:pt>
                <c:pt idx="173">
                  <c:v>2049.23</c:v>
                </c:pt>
                <c:pt idx="174">
                  <c:v>2077.5900999999999</c:v>
                </c:pt>
                <c:pt idx="175">
                  <c:v>2025.01</c:v>
                </c:pt>
                <c:pt idx="176">
                  <c:v>2028.4399000000001</c:v>
                </c:pt>
                <c:pt idx="177">
                  <c:v>2053.6001000000001</c:v>
                </c:pt>
                <c:pt idx="178">
                  <c:v>2083.3101000000001</c:v>
                </c:pt>
                <c:pt idx="179">
                  <c:v>2086.27</c:v>
                </c:pt>
                <c:pt idx="180">
                  <c:v>2079.9899999999998</c:v>
                </c:pt>
                <c:pt idx="181">
                  <c:v>2110.0100000000002</c:v>
                </c:pt>
                <c:pt idx="182">
                  <c:v>2115.9099000000001</c:v>
                </c:pt>
                <c:pt idx="183">
                  <c:v>2092.6298999999999</c:v>
                </c:pt>
                <c:pt idx="184">
                  <c:v>2104.1599000000001</c:v>
                </c:pt>
                <c:pt idx="185">
                  <c:v>2093.4499999999998</c:v>
                </c:pt>
                <c:pt idx="186">
                  <c:v>2113.1898999999999</c:v>
                </c:pt>
                <c:pt idx="187">
                  <c:v>2084.6001000000001</c:v>
                </c:pt>
                <c:pt idx="188">
                  <c:v>2062.8400999999999</c:v>
                </c:pt>
                <c:pt idx="189">
                  <c:v>2045.09</c:v>
                </c:pt>
                <c:pt idx="190">
                  <c:v>2013.96</c:v>
                </c:pt>
                <c:pt idx="191">
                  <c:v>2002.36</c:v>
                </c:pt>
                <c:pt idx="192">
                  <c:v>1964.41</c:v>
                </c:pt>
                <c:pt idx="193">
                  <c:v>1911.37</c:v>
                </c:pt>
                <c:pt idx="194">
                  <c:v>1895.5699</c:v>
                </c:pt>
                <c:pt idx="195">
                  <c:v>1915.12</c:v>
                </c:pt>
                <c:pt idx="196">
                  <c:v>1875.9399000000001</c:v>
                </c:pt>
                <c:pt idx="197">
                  <c:v>1887.86</c:v>
                </c:pt>
                <c:pt idx="198">
                  <c:v>1886.5</c:v>
                </c:pt>
                <c:pt idx="199">
                  <c:v>1893.4301</c:v>
                </c:pt>
                <c:pt idx="200">
                  <c:v>1876.84</c:v>
                </c:pt>
                <c:pt idx="201">
                  <c:v>1882.3</c:v>
                </c:pt>
                <c:pt idx="202">
                  <c:v>1903.98</c:v>
                </c:pt>
                <c:pt idx="203">
                  <c:v>1892.05</c:v>
                </c:pt>
                <c:pt idx="204">
                  <c:v>1871.74</c:v>
                </c:pt>
                <c:pt idx="205">
                  <c:v>1858.49</c:v>
                </c:pt>
                <c:pt idx="206">
                  <c:v>1873.5600999999999</c:v>
                </c:pt>
                <c:pt idx="207">
                  <c:v>1858.52</c:v>
                </c:pt>
                <c:pt idx="208">
                  <c:v>1860.48</c:v>
                </c:pt>
                <c:pt idx="209">
                  <c:v>1868.6899000000001</c:v>
                </c:pt>
                <c:pt idx="210">
                  <c:v>1899.73</c:v>
                </c:pt>
                <c:pt idx="211">
                  <c:v>1896.3</c:v>
                </c:pt>
                <c:pt idx="212">
                  <c:v>1855.6801</c:v>
                </c:pt>
                <c:pt idx="213">
                  <c:v>1859.99</c:v>
                </c:pt>
                <c:pt idx="214">
                  <c:v>1855.11</c:v>
                </c:pt>
                <c:pt idx="215">
                  <c:v>1844.67</c:v>
                </c:pt>
                <c:pt idx="216">
                  <c:v>1848.88</c:v>
                </c:pt>
                <c:pt idx="217">
                  <c:v>1851.6899000000001</c:v>
                </c:pt>
                <c:pt idx="218">
                  <c:v>1882.35</c:v>
                </c:pt>
                <c:pt idx="219">
                  <c:v>1887.14</c:v>
                </c:pt>
                <c:pt idx="220">
                  <c:v>1899.0699</c:v>
                </c:pt>
                <c:pt idx="221">
                  <c:v>1890.95</c:v>
                </c:pt>
                <c:pt idx="222">
                  <c:v>1908.02</c:v>
                </c:pt>
                <c:pt idx="223">
                  <c:v>1893.27</c:v>
                </c:pt>
                <c:pt idx="224">
                  <c:v>1928.9301</c:v>
                </c:pt>
                <c:pt idx="225">
                  <c:v>1949.88</c:v>
                </c:pt>
                <c:pt idx="226">
                  <c:v>1951.83</c:v>
                </c:pt>
                <c:pt idx="227">
                  <c:v>1942.4</c:v>
                </c:pt>
                <c:pt idx="228">
                  <c:v>1956.26</c:v>
                </c:pt>
                <c:pt idx="229">
                  <c:v>1982.8199</c:v>
                </c:pt>
                <c:pt idx="230">
                  <c:v>2038.8</c:v>
                </c:pt>
                <c:pt idx="231">
                  <c:v>2045.4</c:v>
                </c:pt>
                <c:pt idx="232">
                  <c:v>2077.0900999999999</c:v>
                </c:pt>
                <c:pt idx="233">
                  <c:v>2073.7600000000002</c:v>
                </c:pt>
                <c:pt idx="234">
                  <c:v>2114.5</c:v>
                </c:pt>
                <c:pt idx="235">
                  <c:v>2096.7800000000002</c:v>
                </c:pt>
                <c:pt idx="236">
                  <c:v>2150.8000000000002</c:v>
                </c:pt>
                <c:pt idx="237">
                  <c:v>2163.5300000000002</c:v>
                </c:pt>
                <c:pt idx="238">
                  <c:v>2171.1001000000001</c:v>
                </c:pt>
                <c:pt idx="239">
                  <c:v>2181.1898999999999</c:v>
                </c:pt>
                <c:pt idx="240">
                  <c:v>2179.4099000000001</c:v>
                </c:pt>
                <c:pt idx="241">
                  <c:v>2137.0300000000002</c:v>
                </c:pt>
                <c:pt idx="242">
                  <c:v>2116.7800000000002</c:v>
                </c:pt>
                <c:pt idx="243">
                  <c:v>2142.5500000000002</c:v>
                </c:pt>
                <c:pt idx="244">
                  <c:v>2153.1298999999999</c:v>
                </c:pt>
                <c:pt idx="245">
                  <c:v>2163.98</c:v>
                </c:pt>
                <c:pt idx="246">
                  <c:v>2136.73</c:v>
                </c:pt>
                <c:pt idx="247">
                  <c:v>2141.46</c:v>
                </c:pt>
                <c:pt idx="248">
                  <c:v>2118.5601000000001</c:v>
                </c:pt>
                <c:pt idx="249">
                  <c:v>2089.29</c:v>
                </c:pt>
                <c:pt idx="250">
                  <c:v>2107.8501000000001</c:v>
                </c:pt>
                <c:pt idx="251">
                  <c:v>2128.8501000000001</c:v>
                </c:pt>
                <c:pt idx="252">
                  <c:v>2147.0500000000002</c:v>
                </c:pt>
                <c:pt idx="253">
                  <c:v>2102.5900999999999</c:v>
                </c:pt>
                <c:pt idx="254">
                  <c:v>2103.6201000000001</c:v>
                </c:pt>
                <c:pt idx="255">
                  <c:v>2130.3101000000001</c:v>
                </c:pt>
                <c:pt idx="256">
                  <c:v>2158.8600999999999</c:v>
                </c:pt>
                <c:pt idx="257">
                  <c:v>2112.4099000000001</c:v>
                </c:pt>
                <c:pt idx="258">
                  <c:v>2107.4398999999999</c:v>
                </c:pt>
                <c:pt idx="259">
                  <c:v>2087.8101000000001</c:v>
                </c:pt>
                <c:pt idx="260">
                  <c:v>2074.75</c:v>
                </c:pt>
                <c:pt idx="261">
                  <c:v>2117.3301000000001</c:v>
                </c:pt>
                <c:pt idx="262">
                  <c:v>2139.6999999999998</c:v>
                </c:pt>
                <c:pt idx="263">
                  <c:v>2127.2199999999998</c:v>
                </c:pt>
                <c:pt idx="264">
                  <c:v>2163.8899000000001</c:v>
                </c:pt>
                <c:pt idx="265">
                  <c:v>2126.8701000000001</c:v>
                </c:pt>
                <c:pt idx="266">
                  <c:v>2067.9299000000001</c:v>
                </c:pt>
                <c:pt idx="267">
                  <c:v>2048.8301000000001</c:v>
                </c:pt>
                <c:pt idx="268">
                  <c:v>2048.6100999999999</c:v>
                </c:pt>
                <c:pt idx="269">
                  <c:v>2028.53</c:v>
                </c:pt>
                <c:pt idx="270">
                  <c:v>2061.29</c:v>
                </c:pt>
                <c:pt idx="271">
                  <c:v>2181.4899999999998</c:v>
                </c:pt>
                <c:pt idx="272">
                  <c:v>2172.9398999999999</c:v>
                </c:pt>
                <c:pt idx="273">
                  <c:v>2177.98</c:v>
                </c:pt>
                <c:pt idx="274">
                  <c:v>2191.4299000000001</c:v>
                </c:pt>
                <c:pt idx="275">
                  <c:v>2162.6001000000001</c:v>
                </c:pt>
                <c:pt idx="276">
                  <c:v>2161.73</c:v>
                </c:pt>
                <c:pt idx="277">
                  <c:v>2137.5500000000002</c:v>
                </c:pt>
                <c:pt idx="278">
                  <c:v>2124.3600999999999</c:v>
                </c:pt>
                <c:pt idx="279">
                  <c:v>2088.54</c:v>
                </c:pt>
                <c:pt idx="280">
                  <c:v>2121.3899000000001</c:v>
                </c:pt>
                <c:pt idx="281">
                  <c:v>2162.5</c:v>
                </c:pt>
                <c:pt idx="282">
                  <c:v>2172.9198999999999</c:v>
                </c:pt>
                <c:pt idx="283">
                  <c:v>2185.6599000000001</c:v>
                </c:pt>
                <c:pt idx="284">
                  <c:v>2234.54</c:v>
                </c:pt>
                <c:pt idx="285">
                  <c:v>2173.1898999999999</c:v>
                </c:pt>
                <c:pt idx="286">
                  <c:v>2144.73</c:v>
                </c:pt>
                <c:pt idx="287">
                  <c:v>2092.3501000000001</c:v>
                </c:pt>
                <c:pt idx="288">
                  <c:v>2151.6201000000001</c:v>
                </c:pt>
                <c:pt idx="289">
                  <c:v>2171.7399999999998</c:v>
                </c:pt>
                <c:pt idx="290">
                  <c:v>2219.0500000000002</c:v>
                </c:pt>
                <c:pt idx="291">
                  <c:v>2230.3200999999999</c:v>
                </c:pt>
                <c:pt idx="292">
                  <c:v>2244.6898999999999</c:v>
                </c:pt>
                <c:pt idx="293">
                  <c:v>2257.0300000000002</c:v>
                </c:pt>
                <c:pt idx="294">
                  <c:v>2196.8400999999999</c:v>
                </c:pt>
                <c:pt idx="295">
                  <c:v>2200.5100000000002</c:v>
                </c:pt>
                <c:pt idx="296">
                  <c:v>2138.1799000000001</c:v>
                </c:pt>
                <c:pt idx="297">
                  <c:v>2041.76</c:v>
                </c:pt>
                <c:pt idx="298">
                  <c:v>2051.1698999999999</c:v>
                </c:pt>
                <c:pt idx="299">
                  <c:v>2057.2399999999998</c:v>
                </c:pt>
                <c:pt idx="300">
                  <c:v>2000.14</c:v>
                </c:pt>
                <c:pt idx="301">
                  <c:v>1986.39</c:v>
                </c:pt>
                <c:pt idx="302">
                  <c:v>1982.9</c:v>
                </c:pt>
                <c:pt idx="303">
                  <c:v>2011.9301</c:v>
                </c:pt>
                <c:pt idx="304">
                  <c:v>1993.4</c:v>
                </c:pt>
                <c:pt idx="305">
                  <c:v>1982.62</c:v>
                </c:pt>
                <c:pt idx="306">
                  <c:v>2044.84</c:v>
                </c:pt>
                <c:pt idx="307">
                  <c:v>1985.95</c:v>
                </c:pt>
                <c:pt idx="308">
                  <c:v>1976.5699</c:v>
                </c:pt>
                <c:pt idx="309">
                  <c:v>2002</c:v>
                </c:pt>
                <c:pt idx="310">
                  <c:v>2023.03</c:v>
                </c:pt>
                <c:pt idx="311">
                  <c:v>1987.76</c:v>
                </c:pt>
                <c:pt idx="312">
                  <c:v>2003.13</c:v>
                </c:pt>
                <c:pt idx="313">
                  <c:v>1943.89</c:v>
                </c:pt>
                <c:pt idx="314">
                  <c:v>1962.01</c:v>
                </c:pt>
                <c:pt idx="315">
                  <c:v>1958.53</c:v>
                </c:pt>
                <c:pt idx="316">
                  <c:v>1908.34</c:v>
                </c:pt>
                <c:pt idx="317">
                  <c:v>1897.16</c:v>
                </c:pt>
                <c:pt idx="318">
                  <c:v>1863.53</c:v>
                </c:pt>
                <c:pt idx="319">
                  <c:v>1820.63</c:v>
                </c:pt>
                <c:pt idx="320">
                  <c:v>1829.88</c:v>
                </c:pt>
                <c:pt idx="321">
                  <c:v>1824.77</c:v>
                </c:pt>
                <c:pt idx="322">
                  <c:v>1813.02</c:v>
                </c:pt>
                <c:pt idx="323">
                  <c:v>1859.41</c:v>
                </c:pt>
                <c:pt idx="324">
                  <c:v>1902.5699</c:v>
                </c:pt>
                <c:pt idx="325">
                  <c:v>1906.1899000000001</c:v>
                </c:pt>
                <c:pt idx="326">
                  <c:v>1912.96</c:v>
                </c:pt>
                <c:pt idx="327">
                  <c:v>1956.6899000000001</c:v>
                </c:pt>
                <c:pt idx="328">
                  <c:v>1928.98</c:v>
                </c:pt>
                <c:pt idx="329">
                  <c:v>1909.04</c:v>
                </c:pt>
                <c:pt idx="330">
                  <c:v>1952.0600999999999</c:v>
                </c:pt>
                <c:pt idx="331">
                  <c:v>1946.08</c:v>
                </c:pt>
                <c:pt idx="332">
                  <c:v>1877.7</c:v>
                </c:pt>
                <c:pt idx="333">
                  <c:v>1831.1</c:v>
                </c:pt>
                <c:pt idx="334">
                  <c:v>1855.63</c:v>
                </c:pt>
                <c:pt idx="335">
                  <c:v>1894.54</c:v>
                </c:pt>
                <c:pt idx="336">
                  <c:v>1921.65</c:v>
                </c:pt>
                <c:pt idx="337">
                  <c:v>1925.55</c:v>
                </c:pt>
                <c:pt idx="338">
                  <c:v>1961.52</c:v>
                </c:pt>
                <c:pt idx="339">
                  <c:v>1996.37</c:v>
                </c:pt>
                <c:pt idx="340">
                  <c:v>1969.97</c:v>
                </c:pt>
                <c:pt idx="341">
                  <c:v>1948.64</c:v>
                </c:pt>
                <c:pt idx="342">
                  <c:v>1920.6899000000001</c:v>
                </c:pt>
                <c:pt idx="343">
                  <c:v>1961.95</c:v>
                </c:pt>
                <c:pt idx="344">
                  <c:v>1975.12</c:v>
                </c:pt>
                <c:pt idx="345">
                  <c:v>1980.54</c:v>
                </c:pt>
                <c:pt idx="346">
                  <c:v>1956.11</c:v>
                </c:pt>
                <c:pt idx="347">
                  <c:v>1946.3100999999999</c:v>
                </c:pt>
                <c:pt idx="348">
                  <c:v>1974.97</c:v>
                </c:pt>
                <c:pt idx="349">
                  <c:v>1996.0699</c:v>
                </c:pt>
                <c:pt idx="350">
                  <c:v>1990.83</c:v>
                </c:pt>
                <c:pt idx="351">
                  <c:v>1963.05</c:v>
                </c:pt>
                <c:pt idx="352">
                  <c:v>1961.01</c:v>
                </c:pt>
                <c:pt idx="353">
                  <c:v>1985.6801</c:v>
                </c:pt>
                <c:pt idx="354">
                  <c:v>1963.66</c:v>
                </c:pt>
                <c:pt idx="355">
                  <c:v>1948.4301</c:v>
                </c:pt>
                <c:pt idx="356">
                  <c:v>1909.83</c:v>
                </c:pt>
                <c:pt idx="357">
                  <c:v>1911.35</c:v>
                </c:pt>
                <c:pt idx="358">
                  <c:v>1886.89</c:v>
                </c:pt>
                <c:pt idx="359">
                  <c:v>1930.8100999999999</c:v>
                </c:pt>
                <c:pt idx="360">
                  <c:v>1889.63</c:v>
                </c:pt>
                <c:pt idx="361">
                  <c:v>1890.74</c:v>
                </c:pt>
                <c:pt idx="362">
                  <c:v>1909.59</c:v>
                </c:pt>
                <c:pt idx="363">
                  <c:v>1884.58</c:v>
                </c:pt>
                <c:pt idx="364">
                  <c:v>1915.8199</c:v>
                </c:pt>
                <c:pt idx="365">
                  <c:v>1920.59</c:v>
                </c:pt>
                <c:pt idx="366">
                  <c:v>1914.77</c:v>
                </c:pt>
                <c:pt idx="367">
                  <c:v>1877.39</c:v>
                </c:pt>
                <c:pt idx="368">
                  <c:v>1885.4301</c:v>
                </c:pt>
                <c:pt idx="369">
                  <c:v>1856.85</c:v>
                </c:pt>
                <c:pt idx="370">
                  <c:v>1854.5</c:v>
                </c:pt>
                <c:pt idx="371">
                  <c:v>1847.6899000000001</c:v>
                </c:pt>
                <c:pt idx="372">
                  <c:v>1826.0600999999999</c:v>
                </c:pt>
                <c:pt idx="373">
                  <c:v>1805.78</c:v>
                </c:pt>
                <c:pt idx="374">
                  <c:v>1809.42</c:v>
                </c:pt>
                <c:pt idx="375">
                  <c:v>1842.59</c:v>
                </c:pt>
                <c:pt idx="376">
                  <c:v>1843.4</c:v>
                </c:pt>
                <c:pt idx="377">
                  <c:v>1891.58</c:v>
                </c:pt>
                <c:pt idx="378">
                  <c:v>1871.97</c:v>
                </c:pt>
                <c:pt idx="379">
                  <c:v>1838</c:v>
                </c:pt>
                <c:pt idx="380">
                  <c:v>1834.39</c:v>
                </c:pt>
                <c:pt idx="381">
                  <c:v>1828.35</c:v>
                </c:pt>
                <c:pt idx="382">
                  <c:v>1839.99</c:v>
                </c:pt>
                <c:pt idx="383">
                  <c:v>1858.16</c:v>
                </c:pt>
                <c:pt idx="384">
                  <c:v>1821.22</c:v>
                </c:pt>
                <c:pt idx="385">
                  <c:v>1795.65</c:v>
                </c:pt>
                <c:pt idx="386">
                  <c:v>1796.55</c:v>
                </c:pt>
                <c:pt idx="387">
                  <c:v>1785.11</c:v>
                </c:pt>
                <c:pt idx="388">
                  <c:v>1745.16</c:v>
                </c:pt>
                <c:pt idx="389">
                  <c:v>1769.33</c:v>
                </c:pt>
                <c:pt idx="390">
                  <c:v>1785.62</c:v>
                </c:pt>
                <c:pt idx="391">
                  <c:v>1812.4301</c:v>
                </c:pt>
                <c:pt idx="392">
                  <c:v>1817.28</c:v>
                </c:pt>
                <c:pt idx="393">
                  <c:v>1855.22</c:v>
                </c:pt>
                <c:pt idx="394">
                  <c:v>1825.01</c:v>
                </c:pt>
                <c:pt idx="395">
                  <c:v>1806.71</c:v>
                </c:pt>
                <c:pt idx="396">
                  <c:v>1825.38</c:v>
                </c:pt>
                <c:pt idx="397">
                  <c:v>1812.16</c:v>
                </c:pt>
                <c:pt idx="398">
                  <c:v>1807.46</c:v>
                </c:pt>
                <c:pt idx="399">
                  <c:v>1820.59</c:v>
                </c:pt>
                <c:pt idx="400">
                  <c:v>1896.2</c:v>
                </c:pt>
                <c:pt idx="401">
                  <c:v>1920.4301</c:v>
                </c:pt>
                <c:pt idx="402">
                  <c:v>1911.61</c:v>
                </c:pt>
                <c:pt idx="403">
                  <c:v>1908.99</c:v>
                </c:pt>
                <c:pt idx="404">
                  <c:v>1908.72</c:v>
                </c:pt>
                <c:pt idx="405">
                  <c:v>1903.89</c:v>
                </c:pt>
                <c:pt idx="406">
                  <c:v>1866.92</c:v>
                </c:pt>
                <c:pt idx="407">
                  <c:v>1882.51</c:v>
                </c:pt>
                <c:pt idx="408">
                  <c:v>1881.64</c:v>
                </c:pt>
                <c:pt idx="409">
                  <c:v>1874.83</c:v>
                </c:pt>
                <c:pt idx="410">
                  <c:v>1856.76</c:v>
                </c:pt>
                <c:pt idx="411">
                  <c:v>1870.23</c:v>
                </c:pt>
                <c:pt idx="412">
                  <c:v>1898.23</c:v>
                </c:pt>
                <c:pt idx="413">
                  <c:v>1860.98</c:v>
                </c:pt>
                <c:pt idx="414">
                  <c:v>1863.36</c:v>
                </c:pt>
                <c:pt idx="415">
                  <c:v>1884.91</c:v>
                </c:pt>
                <c:pt idx="416">
                  <c:v>1935.4399000000001</c:v>
                </c:pt>
                <c:pt idx="417">
                  <c:v>1947.88</c:v>
                </c:pt>
                <c:pt idx="418">
                  <c:v>1971.27</c:v>
                </c:pt>
                <c:pt idx="419">
                  <c:v>1988.62</c:v>
                </c:pt>
                <c:pt idx="420">
                  <c:v>2012.42</c:v>
                </c:pt>
                <c:pt idx="421">
                  <c:v>2005.28</c:v>
                </c:pt>
                <c:pt idx="422">
                  <c:v>2019.88</c:v>
                </c:pt>
                <c:pt idx="423">
                  <c:v>1997.4</c:v>
                </c:pt>
                <c:pt idx="424">
                  <c:v>2019.21</c:v>
                </c:pt>
                <c:pt idx="425">
                  <c:v>2036.54</c:v>
                </c:pt>
                <c:pt idx="426">
                  <c:v>2058.5700999999999</c:v>
                </c:pt>
                <c:pt idx="427">
                  <c:v>2055.54</c:v>
                </c:pt>
                <c:pt idx="428">
                  <c:v>2052.3101000000001</c:v>
                </c:pt>
                <c:pt idx="429">
                  <c:v>2031.0600999999999</c:v>
                </c:pt>
                <c:pt idx="430">
                  <c:v>2063.0700999999999</c:v>
                </c:pt>
                <c:pt idx="431">
                  <c:v>2073.0300000000002</c:v>
                </c:pt>
                <c:pt idx="432">
                  <c:v>2064.5100000000002</c:v>
                </c:pt>
                <c:pt idx="433">
                  <c:v>2042.48</c:v>
                </c:pt>
                <c:pt idx="434">
                  <c:v>2034.09</c:v>
                </c:pt>
                <c:pt idx="435">
                  <c:v>2077.6100999999999</c:v>
                </c:pt>
                <c:pt idx="436">
                  <c:v>2101.9099000000001</c:v>
                </c:pt>
                <c:pt idx="437">
                  <c:v>2107.8501000000001</c:v>
                </c:pt>
                <c:pt idx="438">
                  <c:v>2150.0601000000001</c:v>
                </c:pt>
                <c:pt idx="439">
                  <c:v>2160.7399999999998</c:v>
                </c:pt>
                <c:pt idx="440">
                  <c:v>2190.1201000000001</c:v>
                </c:pt>
                <c:pt idx="441">
                  <c:v>2204.6498999999999</c:v>
                </c:pt>
                <c:pt idx="442">
                  <c:v>2183.79</c:v>
                </c:pt>
                <c:pt idx="443">
                  <c:v>2223.8200999999999</c:v>
                </c:pt>
                <c:pt idx="444">
                  <c:v>2227.8400999999999</c:v>
                </c:pt>
                <c:pt idx="445">
                  <c:v>2212.5500000000002</c:v>
                </c:pt>
                <c:pt idx="446">
                  <c:v>2236.6698999999999</c:v>
                </c:pt>
                <c:pt idx="447">
                  <c:v>2243.8600999999999</c:v>
                </c:pt>
                <c:pt idx="448">
                  <c:v>2256.9398999999999</c:v>
                </c:pt>
                <c:pt idx="449">
                  <c:v>2225.6498999999999</c:v>
                </c:pt>
                <c:pt idx="450">
                  <c:v>2233.6799000000001</c:v>
                </c:pt>
                <c:pt idx="451">
                  <c:v>2211.1201000000001</c:v>
                </c:pt>
                <c:pt idx="452">
                  <c:v>2191.4198999999999</c:v>
                </c:pt>
                <c:pt idx="453">
                  <c:v>2179.8798999999999</c:v>
                </c:pt>
                <c:pt idx="454">
                  <c:v>2219.2800000000002</c:v>
                </c:pt>
                <c:pt idx="455">
                  <c:v>2226.5900999999999</c:v>
                </c:pt>
                <c:pt idx="456">
                  <c:v>2247.4699999999998</c:v>
                </c:pt>
                <c:pt idx="457">
                  <c:v>2234.2600000000002</c:v>
                </c:pt>
                <c:pt idx="458">
                  <c:v>2248.8501000000001</c:v>
                </c:pt>
                <c:pt idx="459">
                  <c:v>2202.5700999999999</c:v>
                </c:pt>
                <c:pt idx="460">
                  <c:v>2233.9499999999998</c:v>
                </c:pt>
                <c:pt idx="461">
                  <c:v>2216.02</c:v>
                </c:pt>
                <c:pt idx="462">
                  <c:v>2192.9398999999999</c:v>
                </c:pt>
                <c:pt idx="463">
                  <c:v>2193.02</c:v>
                </c:pt>
                <c:pt idx="464">
                  <c:v>2217.29</c:v>
                </c:pt>
                <c:pt idx="465">
                  <c:v>2184.3501000000001</c:v>
                </c:pt>
                <c:pt idx="466">
                  <c:v>2200.6399000000001</c:v>
                </c:pt>
                <c:pt idx="467">
                  <c:v>2194.6999999999998</c:v>
                </c:pt>
                <c:pt idx="468">
                  <c:v>2187.6999999999998</c:v>
                </c:pt>
                <c:pt idx="469">
                  <c:v>2199.02</c:v>
                </c:pt>
                <c:pt idx="470">
                  <c:v>2244.1898999999999</c:v>
                </c:pt>
                <c:pt idx="471">
                  <c:v>2252</c:v>
                </c:pt>
                <c:pt idx="472">
                  <c:v>2249.73</c:v>
                </c:pt>
                <c:pt idx="473">
                  <c:v>2261.5601000000001</c:v>
                </c:pt>
                <c:pt idx="474">
                  <c:v>2221.1799000000001</c:v>
                </c:pt>
                <c:pt idx="475">
                  <c:v>2240.6001000000001</c:v>
                </c:pt>
                <c:pt idx="476">
                  <c:v>2263.96</c:v>
                </c:pt>
                <c:pt idx="477">
                  <c:v>2258.1898999999999</c:v>
                </c:pt>
                <c:pt idx="478">
                  <c:v>2258.79</c:v>
                </c:pt>
                <c:pt idx="479">
                  <c:v>2245.0700999999999</c:v>
                </c:pt>
                <c:pt idx="480">
                  <c:v>2227.29</c:v>
                </c:pt>
                <c:pt idx="481">
                  <c:v>2219.5900999999999</c:v>
                </c:pt>
                <c:pt idx="482">
                  <c:v>2215.3798999999999</c:v>
                </c:pt>
                <c:pt idx="483">
                  <c:v>2199.9899999999998</c:v>
                </c:pt>
                <c:pt idx="484">
                  <c:v>2202.5</c:v>
                </c:pt>
                <c:pt idx="485">
                  <c:v>2199.3501000000001</c:v>
                </c:pt>
                <c:pt idx="486">
                  <c:v>2174.6399000000001</c:v>
                </c:pt>
                <c:pt idx="487">
                  <c:v>2170.1898999999999</c:v>
                </c:pt>
                <c:pt idx="488">
                  <c:v>2155.9699999999998</c:v>
                </c:pt>
                <c:pt idx="489">
                  <c:v>2136.54</c:v>
                </c:pt>
                <c:pt idx="490">
                  <c:v>2148.5900999999999</c:v>
                </c:pt>
                <c:pt idx="491">
                  <c:v>2127.6498999999999</c:v>
                </c:pt>
                <c:pt idx="492">
                  <c:v>2160.29</c:v>
                </c:pt>
                <c:pt idx="493">
                  <c:v>2189.8998999999999</c:v>
                </c:pt>
                <c:pt idx="494">
                  <c:v>2166.5</c:v>
                </c:pt>
                <c:pt idx="495">
                  <c:v>2137.75</c:v>
                </c:pt>
                <c:pt idx="496">
                  <c:v>2161.0300000000002</c:v>
                </c:pt>
                <c:pt idx="497">
                  <c:v>2177.6001000000001</c:v>
                </c:pt>
                <c:pt idx="498">
                  <c:v>2155.8998999999999</c:v>
                </c:pt>
                <c:pt idx="499">
                  <c:v>2116.5500000000002</c:v>
                </c:pt>
                <c:pt idx="500">
                  <c:v>2139.2800000000002</c:v>
                </c:pt>
                <c:pt idx="501">
                  <c:v>2134.6100999999999</c:v>
                </c:pt>
                <c:pt idx="502">
                  <c:v>2118.5300000000002</c:v>
                </c:pt>
                <c:pt idx="503">
                  <c:v>2095.3101000000001</c:v>
                </c:pt>
                <c:pt idx="504">
                  <c:v>2086.3101000000001</c:v>
                </c:pt>
                <c:pt idx="505">
                  <c:v>2116.1100999999999</c:v>
                </c:pt>
                <c:pt idx="506">
                  <c:v>2140.0601000000001</c:v>
                </c:pt>
                <c:pt idx="507">
                  <c:v>2148.9299000000001</c:v>
                </c:pt>
                <c:pt idx="508">
                  <c:v>2152.4699999999998</c:v>
                </c:pt>
                <c:pt idx="509">
                  <c:v>2138.9299000000001</c:v>
                </c:pt>
                <c:pt idx="510">
                  <c:v>2135.27</c:v>
                </c:pt>
                <c:pt idx="511">
                  <c:v>2121.5</c:v>
                </c:pt>
                <c:pt idx="512">
                  <c:v>2136.71</c:v>
                </c:pt>
                <c:pt idx="513">
                  <c:v>2092.4398999999999</c:v>
                </c:pt>
                <c:pt idx="514">
                  <c:v>2084.1698999999999</c:v>
                </c:pt>
                <c:pt idx="515">
                  <c:v>2086.4699999999998</c:v>
                </c:pt>
                <c:pt idx="516">
                  <c:v>2057.1898999999999</c:v>
                </c:pt>
                <c:pt idx="517">
                  <c:v>2050.8101000000001</c:v>
                </c:pt>
                <c:pt idx="518">
                  <c:v>2081.1999999999998</c:v>
                </c:pt>
                <c:pt idx="519">
                  <c:v>2092.75</c:v>
                </c:pt>
                <c:pt idx="520">
                  <c:v>2067.3301000000001</c:v>
                </c:pt>
                <c:pt idx="521">
                  <c:v>2032.76</c:v>
                </c:pt>
                <c:pt idx="522">
                  <c:v>2052.4499999999998</c:v>
                </c:pt>
                <c:pt idx="523">
                  <c:v>2045.54</c:v>
                </c:pt>
                <c:pt idx="524">
                  <c:v>2054.5700999999999</c:v>
                </c:pt>
                <c:pt idx="525">
                  <c:v>2067.1399000000001</c:v>
                </c:pt>
                <c:pt idx="526">
                  <c:v>2101.6001000000001</c:v>
                </c:pt>
                <c:pt idx="527">
                  <c:v>2106.6298999999999</c:v>
                </c:pt>
                <c:pt idx="528">
                  <c:v>2069.5</c:v>
                </c:pt>
                <c:pt idx="529">
                  <c:v>2081.1399000000001</c:v>
                </c:pt>
                <c:pt idx="530">
                  <c:v>2055.9398999999999</c:v>
                </c:pt>
                <c:pt idx="531">
                  <c:v>2021.26</c:v>
                </c:pt>
                <c:pt idx="532">
                  <c:v>2025.65</c:v>
                </c:pt>
                <c:pt idx="533">
                  <c:v>2019.65</c:v>
                </c:pt>
                <c:pt idx="534">
                  <c:v>2026.3199</c:v>
                </c:pt>
                <c:pt idx="535">
                  <c:v>2038.38</c:v>
                </c:pt>
                <c:pt idx="536">
                  <c:v>2016.9399000000001</c:v>
                </c:pt>
                <c:pt idx="537">
                  <c:v>2057.3798999999999</c:v>
                </c:pt>
                <c:pt idx="538">
                  <c:v>2010.22</c:v>
                </c:pt>
                <c:pt idx="539">
                  <c:v>1992.5600999999999</c:v>
                </c:pt>
                <c:pt idx="540">
                  <c:v>2002.74</c:v>
                </c:pt>
                <c:pt idx="541">
                  <c:v>2036.09</c:v>
                </c:pt>
                <c:pt idx="542">
                  <c:v>2103.52</c:v>
                </c:pt>
                <c:pt idx="543">
                  <c:v>2110.0801000000001</c:v>
                </c:pt>
                <c:pt idx="544">
                  <c:v>2146.1599000000001</c:v>
                </c:pt>
                <c:pt idx="545">
                  <c:v>2150.6799000000001</c:v>
                </c:pt>
                <c:pt idx="546">
                  <c:v>2139.9699999999998</c:v>
                </c:pt>
                <c:pt idx="547">
                  <c:v>2170.8301000000001</c:v>
                </c:pt>
                <c:pt idx="548">
                  <c:v>2163.3798999999999</c:v>
                </c:pt>
                <c:pt idx="549">
                  <c:v>2209.8501000000001</c:v>
                </c:pt>
                <c:pt idx="550">
                  <c:v>2252.98</c:v>
                </c:pt>
                <c:pt idx="551">
                  <c:v>2244.1100999999999</c:v>
                </c:pt>
                <c:pt idx="552">
                  <c:v>2260.8101000000001</c:v>
                </c:pt>
                <c:pt idx="553">
                  <c:v>2240.3101000000001</c:v>
                </c:pt>
                <c:pt idx="554">
                  <c:v>2257.4299000000001</c:v>
                </c:pt>
                <c:pt idx="555">
                  <c:v>2272.6399000000001</c:v>
                </c:pt>
                <c:pt idx="556">
                  <c:v>2250.25</c:v>
                </c:pt>
                <c:pt idx="557">
                  <c:v>2263.1399000000001</c:v>
                </c:pt>
                <c:pt idx="558">
                  <c:v>2281.0300000000002</c:v>
                </c:pt>
                <c:pt idx="559">
                  <c:v>2278.54</c:v>
                </c:pt>
                <c:pt idx="560">
                  <c:v>2300.75</c:v>
                </c:pt>
                <c:pt idx="561">
                  <c:v>2320.0100000000002</c:v>
                </c:pt>
                <c:pt idx="562">
                  <c:v>2304.7399999999998</c:v>
                </c:pt>
                <c:pt idx="563">
                  <c:v>2312.5</c:v>
                </c:pt>
                <c:pt idx="564">
                  <c:v>2295.8000000000002</c:v>
                </c:pt>
                <c:pt idx="565">
                  <c:v>2302.0801000000001</c:v>
                </c:pt>
                <c:pt idx="566">
                  <c:v>2317.0700999999999</c:v>
                </c:pt>
                <c:pt idx="567">
                  <c:v>2313.8899000000001</c:v>
                </c:pt>
                <c:pt idx="568">
                  <c:v>2302.3000000000002</c:v>
                </c:pt>
                <c:pt idx="569">
                  <c:v>2370.8600999999999</c:v>
                </c:pt>
                <c:pt idx="570">
                  <c:v>2391.2399999999998</c:v>
                </c:pt>
                <c:pt idx="571">
                  <c:v>2376.1498999999999</c:v>
                </c:pt>
                <c:pt idx="572">
                  <c:v>2389.71</c:v>
                </c:pt>
                <c:pt idx="573">
                  <c:v>2402.4099000000001</c:v>
                </c:pt>
                <c:pt idx="574">
                  <c:v>2379.2199999999998</c:v>
                </c:pt>
                <c:pt idx="575">
                  <c:v>2396.5300000000002</c:v>
                </c:pt>
                <c:pt idx="576">
                  <c:v>2410.8998999999999</c:v>
                </c:pt>
                <c:pt idx="577">
                  <c:v>2423.27</c:v>
                </c:pt>
                <c:pt idx="578">
                  <c:v>2435.1201000000001</c:v>
                </c:pt>
                <c:pt idx="579">
                  <c:v>2434.3000000000002</c:v>
                </c:pt>
                <c:pt idx="580">
                  <c:v>2399.8600999999999</c:v>
                </c:pt>
                <c:pt idx="581">
                  <c:v>2395.29</c:v>
                </c:pt>
                <c:pt idx="582">
                  <c:v>2363.27</c:v>
                </c:pt>
                <c:pt idx="583">
                  <c:v>2387.6698999999999</c:v>
                </c:pt>
                <c:pt idx="584">
                  <c:v>2405.0801000000001</c:v>
                </c:pt>
                <c:pt idx="585">
                  <c:v>2390.5300000000002</c:v>
                </c:pt>
                <c:pt idx="586">
                  <c:v>2386.5</c:v>
                </c:pt>
                <c:pt idx="587">
                  <c:v>2374.2800000000002</c:v>
                </c:pt>
                <c:pt idx="588">
                  <c:v>2389.0500000000002</c:v>
                </c:pt>
                <c:pt idx="589">
                  <c:v>2396.54</c:v>
                </c:pt>
                <c:pt idx="590">
                  <c:v>2351.5801000000001</c:v>
                </c:pt>
                <c:pt idx="591">
                  <c:v>2344.7399999999998</c:v>
                </c:pt>
                <c:pt idx="592">
                  <c:v>2319.3998999999999</c:v>
                </c:pt>
                <c:pt idx="593">
                  <c:v>2335.54</c:v>
                </c:pt>
                <c:pt idx="594">
                  <c:v>2311.8998999999999</c:v>
                </c:pt>
                <c:pt idx="595">
                  <c:v>2340</c:v>
                </c:pt>
                <c:pt idx="596">
                  <c:v>2325.1698999999999</c:v>
                </c:pt>
                <c:pt idx="597">
                  <c:v>2331.8400999999999</c:v>
                </c:pt>
                <c:pt idx="598">
                  <c:v>2336.6898999999999</c:v>
                </c:pt>
                <c:pt idx="599">
                  <c:v>2324.7199999999998</c:v>
                </c:pt>
                <c:pt idx="600">
                  <c:v>2302.9499999999998</c:v>
                </c:pt>
                <c:pt idx="601">
                  <c:v>2315.9398999999999</c:v>
                </c:pt>
                <c:pt idx="602">
                  <c:v>2329.9499999999998</c:v>
                </c:pt>
                <c:pt idx="603">
                  <c:v>2310.0100000000002</c:v>
                </c:pt>
                <c:pt idx="604">
                  <c:v>2318.9499999999998</c:v>
                </c:pt>
                <c:pt idx="605">
                  <c:v>2369.02</c:v>
                </c:pt>
                <c:pt idx="606">
                  <c:v>2369.3701000000001</c:v>
                </c:pt>
                <c:pt idx="607">
                  <c:v>2336.27</c:v>
                </c:pt>
                <c:pt idx="608">
                  <c:v>2340.25</c:v>
                </c:pt>
                <c:pt idx="609">
                  <c:v>2320.0900999999999</c:v>
                </c:pt>
                <c:pt idx="610">
                  <c:v>2328.0601000000001</c:v>
                </c:pt>
                <c:pt idx="611">
                  <c:v>2331.52</c:v>
                </c:pt>
                <c:pt idx="612">
                  <c:v>2337.5801000000001</c:v>
                </c:pt>
                <c:pt idx="613">
                  <c:v>2369.9699999999998</c:v>
                </c:pt>
                <c:pt idx="614">
                  <c:v>2372.1001000000001</c:v>
                </c:pt>
                <c:pt idx="615">
                  <c:v>2376.23</c:v>
                </c:pt>
                <c:pt idx="616">
                  <c:v>2358.3101000000001</c:v>
                </c:pt>
                <c:pt idx="617">
                  <c:v>2369.4699999999998</c:v>
                </c:pt>
                <c:pt idx="618">
                  <c:v>2411.8200999999999</c:v>
                </c:pt>
                <c:pt idx="619">
                  <c:v>2394.5300000000002</c:v>
                </c:pt>
                <c:pt idx="620">
                  <c:v>2369.9099000000001</c:v>
                </c:pt>
                <c:pt idx="621">
                  <c:v>2376.9099000000001</c:v>
                </c:pt>
                <c:pt idx="622">
                  <c:v>2359.04</c:v>
                </c:pt>
                <c:pt idx="623">
                  <c:v>2359.21</c:v>
                </c:pt>
                <c:pt idx="624">
                  <c:v>2366.5601000000001</c:v>
                </c:pt>
                <c:pt idx="625">
                  <c:v>2359.9499999999998</c:v>
                </c:pt>
                <c:pt idx="626">
                  <c:v>2355.6001000000001</c:v>
                </c:pt>
                <c:pt idx="627">
                  <c:v>2348.8200999999999</c:v>
                </c:pt>
                <c:pt idx="628">
                  <c:v>2378.79</c:v>
                </c:pt>
                <c:pt idx="629">
                  <c:v>2387.27</c:v>
                </c:pt>
                <c:pt idx="630">
                  <c:v>2387</c:v>
                </c:pt>
                <c:pt idx="631">
                  <c:v>2363.5601000000001</c:v>
                </c:pt>
                <c:pt idx="632">
                  <c:v>2363.1698999999999</c:v>
                </c:pt>
                <c:pt idx="633">
                  <c:v>2373.98</c:v>
                </c:pt>
                <c:pt idx="634">
                  <c:v>2408.2600000000002</c:v>
                </c:pt>
                <c:pt idx="635">
                  <c:v>2391.6999999999998</c:v>
                </c:pt>
                <c:pt idx="636">
                  <c:v>2366.6001000000001</c:v>
                </c:pt>
                <c:pt idx="637">
                  <c:v>2359.96</c:v>
                </c:pt>
                <c:pt idx="638">
                  <c:v>2360.5300000000002</c:v>
                </c:pt>
                <c:pt idx="639">
                  <c:v>2374.8301000000001</c:v>
                </c:pt>
                <c:pt idx="640">
                  <c:v>2378.6898999999999</c:v>
                </c:pt>
                <c:pt idx="641">
                  <c:v>2347.3899000000001</c:v>
                </c:pt>
                <c:pt idx="642">
                  <c:v>2350.4899999999998</c:v>
                </c:pt>
                <c:pt idx="643">
                  <c:v>2347.48</c:v>
                </c:pt>
                <c:pt idx="644">
                  <c:v>2355.8000000000002</c:v>
                </c:pt>
                <c:pt idx="645">
                  <c:v>2342.3600999999999</c:v>
                </c:pt>
                <c:pt idx="646">
                  <c:v>2371.8200999999999</c:v>
                </c:pt>
                <c:pt idx="647">
                  <c:v>2397.54</c:v>
                </c:pt>
                <c:pt idx="648">
                  <c:v>2352.46</c:v>
                </c:pt>
                <c:pt idx="649">
                  <c:v>2338.6001000000001</c:v>
                </c:pt>
                <c:pt idx="650">
                  <c:v>2302.6001000000001</c:v>
                </c:pt>
                <c:pt idx="651">
                  <c:v>2285.3101000000001</c:v>
                </c:pt>
                <c:pt idx="652">
                  <c:v>2266.21</c:v>
                </c:pt>
                <c:pt idx="653">
                  <c:v>2255.4899999999998</c:v>
                </c:pt>
                <c:pt idx="654">
                  <c:v>2253.02</c:v>
                </c:pt>
                <c:pt idx="655">
                  <c:v>2262.6799000000001</c:v>
                </c:pt>
                <c:pt idx="656">
                  <c:v>2268.21</c:v>
                </c:pt>
                <c:pt idx="657">
                  <c:v>2259.46</c:v>
                </c:pt>
                <c:pt idx="658">
                  <c:v>2247.5900999999999</c:v>
                </c:pt>
                <c:pt idx="659">
                  <c:v>2247.1298999999999</c:v>
                </c:pt>
                <c:pt idx="660">
                  <c:v>2286.8899000000001</c:v>
                </c:pt>
                <c:pt idx="661">
                  <c:v>2296.1001000000001</c:v>
                </c:pt>
                <c:pt idx="662">
                  <c:v>2268.1001000000001</c:v>
                </c:pt>
                <c:pt idx="663">
                  <c:v>2294.77</c:v>
                </c:pt>
                <c:pt idx="664">
                  <c:v>2333.7199999999998</c:v>
                </c:pt>
                <c:pt idx="665">
                  <c:v>2326.4398999999999</c:v>
                </c:pt>
                <c:pt idx="666">
                  <c:v>2337.2800000000002</c:v>
                </c:pt>
                <c:pt idx="667">
                  <c:v>2345.8899000000001</c:v>
                </c:pt>
                <c:pt idx="668">
                  <c:v>2306.6599000000001</c:v>
                </c:pt>
                <c:pt idx="669">
                  <c:v>2289.8301000000001</c:v>
                </c:pt>
                <c:pt idx="670">
                  <c:v>2300.1201000000001</c:v>
                </c:pt>
                <c:pt idx="671">
                  <c:v>2313.8101000000001</c:v>
                </c:pt>
                <c:pt idx="672">
                  <c:v>2321.4198999999999</c:v>
                </c:pt>
                <c:pt idx="673">
                  <c:v>2328.6399000000001</c:v>
                </c:pt>
                <c:pt idx="674">
                  <c:v>2319.8200999999999</c:v>
                </c:pt>
                <c:pt idx="675">
                  <c:v>2312.73</c:v>
                </c:pt>
                <c:pt idx="676">
                  <c:v>2311.6498999999999</c:v>
                </c:pt>
                <c:pt idx="677">
                  <c:v>2272.2600000000002</c:v>
                </c:pt>
                <c:pt idx="678">
                  <c:v>2254.5900999999999</c:v>
                </c:pt>
                <c:pt idx="679">
                  <c:v>2241.6298999999999</c:v>
                </c:pt>
                <c:pt idx="680">
                  <c:v>2241.8101000000001</c:v>
                </c:pt>
                <c:pt idx="681">
                  <c:v>2230.5500000000002</c:v>
                </c:pt>
                <c:pt idx="682">
                  <c:v>2210.0900999999999</c:v>
                </c:pt>
                <c:pt idx="683">
                  <c:v>2191.0900999999999</c:v>
                </c:pt>
                <c:pt idx="684">
                  <c:v>2201.8600999999999</c:v>
                </c:pt>
                <c:pt idx="685">
                  <c:v>2199.3600999999999</c:v>
                </c:pt>
                <c:pt idx="686">
                  <c:v>2194.04</c:v>
                </c:pt>
                <c:pt idx="687">
                  <c:v>2224.52</c:v>
                </c:pt>
                <c:pt idx="688">
                  <c:v>2187.7199999999998</c:v>
                </c:pt>
                <c:pt idx="689">
                  <c:v>2176.3400999999999</c:v>
                </c:pt>
                <c:pt idx="690">
                  <c:v>2196.4499999999998</c:v>
                </c:pt>
                <c:pt idx="691">
                  <c:v>2166.5801000000001</c:v>
                </c:pt>
                <c:pt idx="692">
                  <c:v>2155.3701000000001</c:v>
                </c:pt>
                <c:pt idx="693">
                  <c:v>2162.4198999999999</c:v>
                </c:pt>
                <c:pt idx="694">
                  <c:v>2150.1898999999999</c:v>
                </c:pt>
                <c:pt idx="695">
                  <c:v>2155.7399999999998</c:v>
                </c:pt>
                <c:pt idx="696">
                  <c:v>2171.6001000000001</c:v>
                </c:pt>
                <c:pt idx="697">
                  <c:v>2169.9198999999999</c:v>
                </c:pt>
                <c:pt idx="698">
                  <c:v>2194.0100000000002</c:v>
                </c:pt>
                <c:pt idx="699">
                  <c:v>2220.3000000000002</c:v>
                </c:pt>
                <c:pt idx="700">
                  <c:v>2216.1298999999999</c:v>
                </c:pt>
                <c:pt idx="701">
                  <c:v>2215.6201000000001</c:v>
                </c:pt>
                <c:pt idx="702">
                  <c:v>2251.5500000000002</c:v>
                </c:pt>
                <c:pt idx="703">
                  <c:v>2231.3000000000002</c:v>
                </c:pt>
                <c:pt idx="704">
                  <c:v>2236.6999999999998</c:v>
                </c:pt>
                <c:pt idx="705">
                  <c:v>2238.25</c:v>
                </c:pt>
                <c:pt idx="706">
                  <c:v>2254.9198999999999</c:v>
                </c:pt>
                <c:pt idx="707">
                  <c:v>2274.9299000000001</c:v>
                </c:pt>
                <c:pt idx="708">
                  <c:v>2276.2399999999998</c:v>
                </c:pt>
                <c:pt idx="709">
                  <c:v>2283.3600999999999</c:v>
                </c:pt>
                <c:pt idx="710">
                  <c:v>2295.9398999999999</c:v>
                </c:pt>
                <c:pt idx="711">
                  <c:v>2304.8701000000001</c:v>
                </c:pt>
                <c:pt idx="712">
                  <c:v>2333.3301000000001</c:v>
                </c:pt>
                <c:pt idx="713">
                  <c:v>2343.5900999999999</c:v>
                </c:pt>
                <c:pt idx="714">
                  <c:v>2351.3400999999999</c:v>
                </c:pt>
                <c:pt idx="715">
                  <c:v>2350.48</c:v>
                </c:pt>
                <c:pt idx="716">
                  <c:v>2361.4099000000001</c:v>
                </c:pt>
                <c:pt idx="717">
                  <c:v>2321.1999999999998</c:v>
                </c:pt>
                <c:pt idx="718">
                  <c:v>2319.1201000000001</c:v>
                </c:pt>
                <c:pt idx="719">
                  <c:v>2329.1898999999999</c:v>
                </c:pt>
                <c:pt idx="720">
                  <c:v>2307.5100000000002</c:v>
                </c:pt>
                <c:pt idx="721">
                  <c:v>2291.98</c:v>
                </c:pt>
                <c:pt idx="722">
                  <c:v>2280.0700999999999</c:v>
                </c:pt>
                <c:pt idx="723">
                  <c:v>2309.4198999999999</c:v>
                </c:pt>
                <c:pt idx="724">
                  <c:v>2298.9198999999999</c:v>
                </c:pt>
                <c:pt idx="725">
                  <c:v>2288.79</c:v>
                </c:pt>
                <c:pt idx="726">
                  <c:v>2309.5300000000002</c:v>
                </c:pt>
                <c:pt idx="727">
                  <c:v>2315.7800000000002</c:v>
                </c:pt>
                <c:pt idx="728">
                  <c:v>2297.8200999999999</c:v>
                </c:pt>
                <c:pt idx="729">
                  <c:v>2285.5100000000002</c:v>
                </c:pt>
                <c:pt idx="730">
                  <c:v>2303.1999999999998</c:v>
                </c:pt>
                <c:pt idx="731">
                  <c:v>2334.3501000000001</c:v>
                </c:pt>
                <c:pt idx="732">
                  <c:v>2355.48</c:v>
                </c:pt>
                <c:pt idx="733">
                  <c:v>2398.3798999999999</c:v>
                </c:pt>
                <c:pt idx="734">
                  <c:v>2406.79</c:v>
                </c:pt>
                <c:pt idx="735">
                  <c:v>2436.9198999999999</c:v>
                </c:pt>
                <c:pt idx="736">
                  <c:v>2455.29</c:v>
                </c:pt>
                <c:pt idx="737">
                  <c:v>2469.7199999999998</c:v>
                </c:pt>
                <c:pt idx="738">
                  <c:v>2466.2399999999998</c:v>
                </c:pt>
                <c:pt idx="739">
                  <c:v>2509.1399000000001</c:v>
                </c:pt>
                <c:pt idx="740">
                  <c:v>2511.6599000000001</c:v>
                </c:pt>
                <c:pt idx="741">
                  <c:v>2516.2800000000002</c:v>
                </c:pt>
                <c:pt idx="742">
                  <c:v>2485.0801000000001</c:v>
                </c:pt>
                <c:pt idx="743">
                  <c:v>2506.6298999999999</c:v>
                </c:pt>
                <c:pt idx="744">
                  <c:v>2516.6399000000001</c:v>
                </c:pt>
                <c:pt idx="745">
                  <c:v>2507.3101000000001</c:v>
                </c:pt>
                <c:pt idx="746">
                  <c:v>2518.5500000000002</c:v>
                </c:pt>
                <c:pt idx="747">
                  <c:v>2490.8301000000001</c:v>
                </c:pt>
                <c:pt idx="748">
                  <c:v>2488.3600999999999</c:v>
                </c:pt>
                <c:pt idx="749">
                  <c:v>2464.27</c:v>
                </c:pt>
                <c:pt idx="750">
                  <c:v>2469.1001000000001</c:v>
                </c:pt>
                <c:pt idx="751">
                  <c:v>2511.7600000000002</c:v>
                </c:pt>
                <c:pt idx="752">
                  <c:v>2521.9198999999999</c:v>
                </c:pt>
                <c:pt idx="753">
                  <c:v>2484.8000000000002</c:v>
                </c:pt>
                <c:pt idx="754">
                  <c:v>2486.98</c:v>
                </c:pt>
                <c:pt idx="755">
                  <c:v>2483.5900999999999</c:v>
                </c:pt>
                <c:pt idx="756">
                  <c:v>2486.1298999999999</c:v>
                </c:pt>
                <c:pt idx="757">
                  <c:v>2473.3301000000001</c:v>
                </c:pt>
                <c:pt idx="758">
                  <c:v>2493.7600000000002</c:v>
                </c:pt>
                <c:pt idx="759">
                  <c:v>2494.1100999999999</c:v>
                </c:pt>
                <c:pt idx="760">
                  <c:v>2494.8200999999999</c:v>
                </c:pt>
                <c:pt idx="761">
                  <c:v>2475.1498999999999</c:v>
                </c:pt>
                <c:pt idx="762">
                  <c:v>2457.3501000000001</c:v>
                </c:pt>
                <c:pt idx="763">
                  <c:v>2413.29</c:v>
                </c:pt>
                <c:pt idx="764">
                  <c:v>2398.6698999999999</c:v>
                </c:pt>
                <c:pt idx="765">
                  <c:v>2416.4099000000001</c:v>
                </c:pt>
                <c:pt idx="766">
                  <c:v>2402.2399999999998</c:v>
                </c:pt>
                <c:pt idx="767">
                  <c:v>2419.96</c:v>
                </c:pt>
                <c:pt idx="768">
                  <c:v>2415.96</c:v>
                </c:pt>
                <c:pt idx="769">
                  <c:v>2397.29</c:v>
                </c:pt>
                <c:pt idx="770">
                  <c:v>2402.5300000000002</c:v>
                </c:pt>
                <c:pt idx="771">
                  <c:v>2419.4499999999998</c:v>
                </c:pt>
                <c:pt idx="772">
                  <c:v>2380.6001000000001</c:v>
                </c:pt>
                <c:pt idx="773">
                  <c:v>2387.1999999999998</c:v>
                </c:pt>
                <c:pt idx="774">
                  <c:v>2382.0700999999999</c:v>
                </c:pt>
                <c:pt idx="775">
                  <c:v>2391.3200999999999</c:v>
                </c:pt>
                <c:pt idx="776">
                  <c:v>2357.8200999999999</c:v>
                </c:pt>
                <c:pt idx="777">
                  <c:v>2362.5100000000002</c:v>
                </c:pt>
                <c:pt idx="778">
                  <c:v>2350.1100999999999</c:v>
                </c:pt>
                <c:pt idx="779">
                  <c:v>2374.9099000000001</c:v>
                </c:pt>
                <c:pt idx="780">
                  <c:v>2382.6698999999999</c:v>
                </c:pt>
                <c:pt idx="781">
                  <c:v>2396.6898999999999</c:v>
                </c:pt>
                <c:pt idx="782">
                  <c:v>2381.0100000000002</c:v>
                </c:pt>
                <c:pt idx="783">
                  <c:v>2378.1100999999999</c:v>
                </c:pt>
                <c:pt idx="784">
                  <c:v>2381.6999999999998</c:v>
                </c:pt>
                <c:pt idx="785">
                  <c:v>2369.3899000000001</c:v>
                </c:pt>
                <c:pt idx="786">
                  <c:v>2366.8200999999999</c:v>
                </c:pt>
                <c:pt idx="787">
                  <c:v>2385.0801000000001</c:v>
                </c:pt>
                <c:pt idx="788">
                  <c:v>2365.5300000000002</c:v>
                </c:pt>
                <c:pt idx="789">
                  <c:v>2391.5300000000002</c:v>
                </c:pt>
                <c:pt idx="790">
                  <c:v>2381.6201000000001</c:v>
                </c:pt>
                <c:pt idx="791">
                  <c:v>2381.23</c:v>
                </c:pt>
                <c:pt idx="792">
                  <c:v>2365.4198999999999</c:v>
                </c:pt>
                <c:pt idx="793">
                  <c:v>2337.9499999999998</c:v>
                </c:pt>
                <c:pt idx="794">
                  <c:v>2393.98</c:v>
                </c:pt>
                <c:pt idx="795">
                  <c:v>2402.6999999999998</c:v>
                </c:pt>
                <c:pt idx="796">
                  <c:v>2401.46</c:v>
                </c:pt>
                <c:pt idx="797">
                  <c:v>2369.1898999999999</c:v>
                </c:pt>
                <c:pt idx="798">
                  <c:v>2341.3200999999999</c:v>
                </c:pt>
                <c:pt idx="799">
                  <c:v>2355.4299000000001</c:v>
                </c:pt>
                <c:pt idx="800">
                  <c:v>2351</c:v>
                </c:pt>
                <c:pt idx="801">
                  <c:v>2354.6201000000001</c:v>
                </c:pt>
                <c:pt idx="802">
                  <c:v>2349.46</c:v>
                </c:pt>
                <c:pt idx="803">
                  <c:v>2335.0700999999999</c:v>
                </c:pt>
                <c:pt idx="804">
                  <c:v>2346.5900999999999</c:v>
                </c:pt>
                <c:pt idx="805">
                  <c:v>2316.5900999999999</c:v>
                </c:pt>
                <c:pt idx="806">
                  <c:v>2353.8798999999999</c:v>
                </c:pt>
                <c:pt idx="807">
                  <c:v>2356.5601000000001</c:v>
                </c:pt>
                <c:pt idx="808">
                  <c:v>2385.5601000000001</c:v>
                </c:pt>
                <c:pt idx="809">
                  <c:v>2328.0300000000002</c:v>
                </c:pt>
                <c:pt idx="810">
                  <c:v>2259.2600000000002</c:v>
                </c:pt>
                <c:pt idx="811">
                  <c:v>2276.1999999999998</c:v>
                </c:pt>
                <c:pt idx="812">
                  <c:v>2264.75</c:v>
                </c:pt>
                <c:pt idx="813">
                  <c:v>2284.1399000000001</c:v>
                </c:pt>
                <c:pt idx="814">
                  <c:v>2294.8798999999999</c:v>
                </c:pt>
                <c:pt idx="815">
                  <c:v>2327.5</c:v>
                </c:pt>
                <c:pt idx="816">
                  <c:v>2293.7199999999998</c:v>
                </c:pt>
                <c:pt idx="817">
                  <c:v>2296.73</c:v>
                </c:pt>
                <c:pt idx="818">
                  <c:v>2318.9099000000001</c:v>
                </c:pt>
                <c:pt idx="819">
                  <c:v>2357.1599000000001</c:v>
                </c:pt>
                <c:pt idx="820">
                  <c:v>2286.71</c:v>
                </c:pt>
                <c:pt idx="821">
                  <c:v>2259.25</c:v>
                </c:pt>
                <c:pt idx="822">
                  <c:v>2234.7399999999998</c:v>
                </c:pt>
                <c:pt idx="823">
                  <c:v>2253.1999999999998</c:v>
                </c:pt>
                <c:pt idx="824">
                  <c:v>2177.4398999999999</c:v>
                </c:pt>
                <c:pt idx="825">
                  <c:v>2197.6399000000001</c:v>
                </c:pt>
                <c:pt idx="826">
                  <c:v>2216.52</c:v>
                </c:pt>
                <c:pt idx="827">
                  <c:v>2182.3899000000001</c:v>
                </c:pt>
                <c:pt idx="828">
                  <c:v>2183.4899999999998</c:v>
                </c:pt>
                <c:pt idx="829">
                  <c:v>2167.4198999999999</c:v>
                </c:pt>
                <c:pt idx="830">
                  <c:v>2164.54</c:v>
                </c:pt>
                <c:pt idx="831">
                  <c:v>2158.4198999999999</c:v>
                </c:pt>
                <c:pt idx="832">
                  <c:v>2128.0700999999999</c:v>
                </c:pt>
                <c:pt idx="833">
                  <c:v>2179.1698999999999</c:v>
                </c:pt>
                <c:pt idx="834">
                  <c:v>2198.77</c:v>
                </c:pt>
                <c:pt idx="835">
                  <c:v>2164.8600999999999</c:v>
                </c:pt>
                <c:pt idx="836">
                  <c:v>2166.4899999999998</c:v>
                </c:pt>
                <c:pt idx="837">
                  <c:v>2131.5300000000002</c:v>
                </c:pt>
                <c:pt idx="838">
                  <c:v>2125.6898999999999</c:v>
                </c:pt>
                <c:pt idx="839">
                  <c:v>2138.7199999999998</c:v>
                </c:pt>
                <c:pt idx="840">
                  <c:v>2219.2600000000002</c:v>
                </c:pt>
                <c:pt idx="841">
                  <c:v>2179.5</c:v>
                </c:pt>
                <c:pt idx="842">
                  <c:v>2188.3998999999999</c:v>
                </c:pt>
                <c:pt idx="843">
                  <c:v>2200.5100000000002</c:v>
                </c:pt>
                <c:pt idx="844">
                  <c:v>2215.6898999999999</c:v>
                </c:pt>
                <c:pt idx="845">
                  <c:v>2230.1001000000001</c:v>
                </c:pt>
                <c:pt idx="846">
                  <c:v>2219.3000000000002</c:v>
                </c:pt>
                <c:pt idx="847">
                  <c:v>2216.6898999999999</c:v>
                </c:pt>
                <c:pt idx="848">
                  <c:v>2275.4099000000001</c:v>
                </c:pt>
                <c:pt idx="849">
                  <c:v>2260.8400999999999</c:v>
                </c:pt>
                <c:pt idx="850">
                  <c:v>2254</c:v>
                </c:pt>
                <c:pt idx="851">
                  <c:v>2328.8400999999999</c:v>
                </c:pt>
                <c:pt idx="852">
                  <c:v>2312.8101000000001</c:v>
                </c:pt>
                <c:pt idx="853">
                  <c:v>2308.4099000000001</c:v>
                </c:pt>
                <c:pt idx="854">
                  <c:v>2295.7800000000002</c:v>
                </c:pt>
                <c:pt idx="855">
                  <c:v>2299.1201000000001</c:v>
                </c:pt>
                <c:pt idx="856">
                  <c:v>2317.6399000000001</c:v>
                </c:pt>
                <c:pt idx="857">
                  <c:v>2283</c:v>
                </c:pt>
                <c:pt idx="858">
                  <c:v>2300.8899000000001</c:v>
                </c:pt>
                <c:pt idx="859">
                  <c:v>2335.8301000000001</c:v>
                </c:pt>
                <c:pt idx="860">
                  <c:v>2298.79</c:v>
                </c:pt>
                <c:pt idx="861">
                  <c:v>2309.3998999999999</c:v>
                </c:pt>
                <c:pt idx="862">
                  <c:v>2379.3101000000001</c:v>
                </c:pt>
                <c:pt idx="863">
                  <c:v>2399.5801000000001</c:v>
                </c:pt>
                <c:pt idx="864">
                  <c:v>2386.8600999999999</c:v>
                </c:pt>
                <c:pt idx="865">
                  <c:v>2345.7399999999998</c:v>
                </c:pt>
                <c:pt idx="866">
                  <c:v>2341.9699999999998</c:v>
                </c:pt>
                <c:pt idx="867">
                  <c:v>2320.9099000000001</c:v>
                </c:pt>
                <c:pt idx="868">
                  <c:v>2276.8899000000001</c:v>
                </c:pt>
                <c:pt idx="869">
                  <c:v>2297.5900999999999</c:v>
                </c:pt>
                <c:pt idx="870">
                  <c:v>2262.5300000000002</c:v>
                </c:pt>
                <c:pt idx="871">
                  <c:v>2279.7199999999998</c:v>
                </c:pt>
                <c:pt idx="872">
                  <c:v>2227.21</c:v>
                </c:pt>
                <c:pt idx="873">
                  <c:v>2248.29</c:v>
                </c:pt>
                <c:pt idx="874">
                  <c:v>2259.0300000000002</c:v>
                </c:pt>
                <c:pt idx="875">
                  <c:v>2291.8200999999999</c:v>
                </c:pt>
                <c:pt idx="876">
                  <c:v>2278.6498999999999</c:v>
                </c:pt>
                <c:pt idx="877">
                  <c:v>2258.2800000000002</c:v>
                </c:pt>
                <c:pt idx="878">
                  <c:v>2276.2600000000002</c:v>
                </c:pt>
                <c:pt idx="879">
                  <c:v>2322.7199999999998</c:v>
                </c:pt>
                <c:pt idx="880">
                  <c:v>2394.6298999999999</c:v>
                </c:pt>
                <c:pt idx="881">
                  <c:v>2418.5500000000002</c:v>
                </c:pt>
                <c:pt idx="882">
                  <c:v>2409.8701000000001</c:v>
                </c:pt>
                <c:pt idx="883">
                  <c:v>2438.8200999999999</c:v>
                </c:pt>
                <c:pt idx="884">
                  <c:v>2420.1799000000001</c:v>
                </c:pt>
                <c:pt idx="885">
                  <c:v>2434.29</c:v>
                </c:pt>
                <c:pt idx="886">
                  <c:v>2412.52</c:v>
                </c:pt>
                <c:pt idx="887">
                  <c:v>2429.8200999999999</c:v>
                </c:pt>
                <c:pt idx="888">
                  <c:v>2443.7199999999998</c:v>
                </c:pt>
                <c:pt idx="889">
                  <c:v>2452.9299000000001</c:v>
                </c:pt>
                <c:pt idx="890">
                  <c:v>2432.0900999999999</c:v>
                </c:pt>
                <c:pt idx="891">
                  <c:v>2401.8000000000002</c:v>
                </c:pt>
                <c:pt idx="892">
                  <c:v>2424.1298999999999</c:v>
                </c:pt>
                <c:pt idx="893">
                  <c:v>2445.21</c:v>
                </c:pt>
                <c:pt idx="894">
                  <c:v>2488.6298999999999</c:v>
                </c:pt>
                <c:pt idx="895">
                  <c:v>2414.5801000000001</c:v>
                </c:pt>
                <c:pt idx="896">
                  <c:v>2385.8798999999999</c:v>
                </c:pt>
                <c:pt idx="897">
                  <c:v>2369.6898999999999</c:v>
                </c:pt>
                <c:pt idx="898">
                  <c:v>2443.6001000000001</c:v>
                </c:pt>
                <c:pt idx="899">
                  <c:v>2420.0500000000002</c:v>
                </c:pt>
                <c:pt idx="900">
                  <c:v>2447.6201000000001</c:v>
                </c:pt>
                <c:pt idx="901">
                  <c:v>2483.4099000000001</c:v>
                </c:pt>
                <c:pt idx="902">
                  <c:v>2499.6799000000001</c:v>
                </c:pt>
                <c:pt idx="903">
                  <c:v>2482.7600000000002</c:v>
                </c:pt>
                <c:pt idx="904">
                  <c:v>2503.5801000000001</c:v>
                </c:pt>
                <c:pt idx="905">
                  <c:v>2521.0500000000002</c:v>
                </c:pt>
                <c:pt idx="906">
                  <c:v>2556.96</c:v>
                </c:pt>
                <c:pt idx="907">
                  <c:v>2625.99</c:v>
                </c:pt>
                <c:pt idx="908">
                  <c:v>2642.1898999999999</c:v>
                </c:pt>
                <c:pt idx="909">
                  <c:v>2648.78</c:v>
                </c:pt>
                <c:pt idx="910">
                  <c:v>2646.4398999999999</c:v>
                </c:pt>
                <c:pt idx="911">
                  <c:v>2670.02</c:v>
                </c:pt>
                <c:pt idx="912">
                  <c:v>2662.49</c:v>
                </c:pt>
                <c:pt idx="913">
                  <c:v>2638.21</c:v>
                </c:pt>
                <c:pt idx="914">
                  <c:v>2624.95</c:v>
                </c:pt>
                <c:pt idx="915">
                  <c:v>2601</c:v>
                </c:pt>
                <c:pt idx="916">
                  <c:v>2691.47</c:v>
                </c:pt>
                <c:pt idx="917">
                  <c:v>2698.8899000000001</c:v>
                </c:pt>
                <c:pt idx="918">
                  <c:v>2683.04</c:v>
                </c:pt>
                <c:pt idx="919">
                  <c:v>2742.8998999999999</c:v>
                </c:pt>
                <c:pt idx="920">
                  <c:v>2730.97</c:v>
                </c:pt>
                <c:pt idx="921">
                  <c:v>2761.72</c:v>
                </c:pt>
                <c:pt idx="922">
                  <c:v>2759.95</c:v>
                </c:pt>
                <c:pt idx="923">
                  <c:v>2768.6001000000001</c:v>
                </c:pt>
                <c:pt idx="924">
                  <c:v>2780.51</c:v>
                </c:pt>
                <c:pt idx="925">
                  <c:v>2719.3400999999999</c:v>
                </c:pt>
                <c:pt idx="926">
                  <c:v>2715.8400999999999</c:v>
                </c:pt>
                <c:pt idx="927">
                  <c:v>2727.6498999999999</c:v>
                </c:pt>
                <c:pt idx="928">
                  <c:v>2740.8501000000001</c:v>
                </c:pt>
                <c:pt idx="929">
                  <c:v>2779.26</c:v>
                </c:pt>
                <c:pt idx="930">
                  <c:v>2775.1698999999999</c:v>
                </c:pt>
                <c:pt idx="931">
                  <c:v>2762.0601000000001</c:v>
                </c:pt>
                <c:pt idx="932">
                  <c:v>2750.96</c:v>
                </c:pt>
                <c:pt idx="933">
                  <c:v>2738.77</c:v>
                </c:pt>
                <c:pt idx="934">
                  <c:v>2772.1201000000001</c:v>
                </c:pt>
                <c:pt idx="935">
                  <c:v>2762.1898999999999</c:v>
                </c:pt>
                <c:pt idx="936">
                  <c:v>2733.3798999999999</c:v>
                </c:pt>
                <c:pt idx="937">
                  <c:v>2716.6100999999999</c:v>
                </c:pt>
                <c:pt idx="938">
                  <c:v>2701.8301000000001</c:v>
                </c:pt>
                <c:pt idx="939">
                  <c:v>2711.76</c:v>
                </c:pt>
                <c:pt idx="940">
                  <c:v>2727.46</c:v>
                </c:pt>
                <c:pt idx="941">
                  <c:v>2732.1100999999999</c:v>
                </c:pt>
                <c:pt idx="942">
                  <c:v>2710.79</c:v>
                </c:pt>
                <c:pt idx="943">
                  <c:v>2766.8899000000001</c:v>
                </c:pt>
                <c:pt idx="944">
                  <c:v>2768.1599000000001</c:v>
                </c:pt>
                <c:pt idx="945">
                  <c:v>2775.4099000000001</c:v>
                </c:pt>
                <c:pt idx="946">
                  <c:v>2739.4398999999999</c:v>
                </c:pt>
                <c:pt idx="947">
                  <c:v>2734.27</c:v>
                </c:pt>
                <c:pt idx="948">
                  <c:v>2768.54</c:v>
                </c:pt>
                <c:pt idx="949">
                  <c:v>2745.5700999999999</c:v>
                </c:pt>
                <c:pt idx="950">
                  <c:v>2775.96</c:v>
                </c:pt>
                <c:pt idx="951">
                  <c:v>2766.46</c:v>
                </c:pt>
                <c:pt idx="952">
                  <c:v>2820.8</c:v>
                </c:pt>
                <c:pt idx="953">
                  <c:v>2826.3600999999999</c:v>
                </c:pt>
                <c:pt idx="954">
                  <c:v>2783.0801000000001</c:v>
                </c:pt>
                <c:pt idx="955">
                  <c:v>2831.3200999999999</c:v>
                </c:pt>
                <c:pt idx="956">
                  <c:v>2841.8899000000001</c:v>
                </c:pt>
                <c:pt idx="957">
                  <c:v>2811.0700999999999</c:v>
                </c:pt>
                <c:pt idx="958">
                  <c:v>2796.4398999999999</c:v>
                </c:pt>
                <c:pt idx="959">
                  <c:v>2756.24</c:v>
                </c:pt>
                <c:pt idx="960">
                  <c:v>2728.48</c:v>
                </c:pt>
                <c:pt idx="961">
                  <c:v>2689.0801000000001</c:v>
                </c:pt>
                <c:pt idx="962">
                  <c:v>2668.3798999999999</c:v>
                </c:pt>
                <c:pt idx="963">
                  <c:v>2689.27</c:v>
                </c:pt>
                <c:pt idx="964">
                  <c:v>2686.6698999999999</c:v>
                </c:pt>
                <c:pt idx="965">
                  <c:v>2689.6799000000001</c:v>
                </c:pt>
                <c:pt idx="966">
                  <c:v>2615.5500000000002</c:v>
                </c:pt>
                <c:pt idx="967">
                  <c:v>2623.8798999999999</c:v>
                </c:pt>
                <c:pt idx="968">
                  <c:v>2607.3400999999999</c:v>
                </c:pt>
                <c:pt idx="969">
                  <c:v>2645.8301000000001</c:v>
                </c:pt>
                <c:pt idx="970">
                  <c:v>2614.23</c:v>
                </c:pt>
                <c:pt idx="971">
                  <c:v>2614.04</c:v>
                </c:pt>
                <c:pt idx="972">
                  <c:v>2577.1599000000001</c:v>
                </c:pt>
                <c:pt idx="973">
                  <c:v>2587.0700999999999</c:v>
                </c:pt>
                <c:pt idx="974">
                  <c:v>2622.5</c:v>
                </c:pt>
                <c:pt idx="975">
                  <c:v>2597.3899000000001</c:v>
                </c:pt>
                <c:pt idx="976">
                  <c:v>2592.75</c:v>
                </c:pt>
                <c:pt idx="977">
                  <c:v>2614.1599000000001</c:v>
                </c:pt>
                <c:pt idx="978">
                  <c:v>2615.4499999999998</c:v>
                </c:pt>
                <c:pt idx="979">
                  <c:v>2668.27</c:v>
                </c:pt>
                <c:pt idx="980">
                  <c:v>2692.25</c:v>
                </c:pt>
                <c:pt idx="981">
                  <c:v>2683.6799000000001</c:v>
                </c:pt>
                <c:pt idx="982">
                  <c:v>2671.3899000000001</c:v>
                </c:pt>
                <c:pt idx="983">
                  <c:v>2696.6100999999999</c:v>
                </c:pt>
                <c:pt idx="984">
                  <c:v>2672.8200999999999</c:v>
                </c:pt>
                <c:pt idx="985">
                  <c:v>2676.8101000000001</c:v>
                </c:pt>
                <c:pt idx="986">
                  <c:v>2693.1498999999999</c:v>
                </c:pt>
                <c:pt idx="987">
                  <c:v>2716.48</c:v>
                </c:pt>
                <c:pt idx="988">
                  <c:v>2644.2</c:v>
                </c:pt>
                <c:pt idx="989">
                  <c:v>2646.5900999999999</c:v>
                </c:pt>
                <c:pt idx="990">
                  <c:v>2635.5601000000001</c:v>
                </c:pt>
                <c:pt idx="991">
                  <c:v>2709.55</c:v>
                </c:pt>
                <c:pt idx="992">
                  <c:v>2704.1399000000001</c:v>
                </c:pt>
                <c:pt idx="993">
                  <c:v>2702.3600999999999</c:v>
                </c:pt>
                <c:pt idx="994">
                  <c:v>2740.4299000000001</c:v>
                </c:pt>
                <c:pt idx="995">
                  <c:v>2793.1799000000001</c:v>
                </c:pt>
                <c:pt idx="996">
                  <c:v>2792.0700999999999</c:v>
                </c:pt>
                <c:pt idx="997">
                  <c:v>2789.5700999999999</c:v>
                </c:pt>
                <c:pt idx="998">
                  <c:v>2755.51</c:v>
                </c:pt>
                <c:pt idx="999">
                  <c:v>2757.5601000000001</c:v>
                </c:pt>
                <c:pt idx="1000">
                  <c:v>2786.0700999999999</c:v>
                </c:pt>
                <c:pt idx="1001">
                  <c:v>2835.29</c:v>
                </c:pt>
                <c:pt idx="1002">
                  <c:v>2798.03</c:v>
                </c:pt>
                <c:pt idx="1003">
                  <c:v>2792.79</c:v>
                </c:pt>
                <c:pt idx="1004">
                  <c:v>2807.1100999999999</c:v>
                </c:pt>
                <c:pt idx="1005">
                  <c:v>2831.3600999999999</c:v>
                </c:pt>
                <c:pt idx="1006">
                  <c:v>2818.1898999999999</c:v>
                </c:pt>
                <c:pt idx="1007">
                  <c:v>2840.6698999999999</c:v>
                </c:pt>
                <c:pt idx="1008">
                  <c:v>2858.55</c:v>
                </c:pt>
                <c:pt idx="1009">
                  <c:v>2897.96</c:v>
                </c:pt>
                <c:pt idx="1010">
                  <c:v>2896.1599000000001</c:v>
                </c:pt>
                <c:pt idx="1011">
                  <c:v>2889.1399000000001</c:v>
                </c:pt>
                <c:pt idx="1012">
                  <c:v>2851.29</c:v>
                </c:pt>
                <c:pt idx="1013">
                  <c:v>2869.8899000000001</c:v>
                </c:pt>
                <c:pt idx="1014">
                  <c:v>2861.3701000000001</c:v>
                </c:pt>
                <c:pt idx="1015">
                  <c:v>2823.55</c:v>
                </c:pt>
                <c:pt idx="1016">
                  <c:v>2845.53</c:v>
                </c:pt>
                <c:pt idx="1017">
                  <c:v>2868.05</c:v>
                </c:pt>
                <c:pt idx="1018">
                  <c:v>2863.8301000000001</c:v>
                </c:pt>
                <c:pt idx="1019">
                  <c:v>2831.52</c:v>
                </c:pt>
                <c:pt idx="1020">
                  <c:v>2788.6001000000001</c:v>
                </c:pt>
                <c:pt idx="1021">
                  <c:v>2794</c:v>
                </c:pt>
                <c:pt idx="1022">
                  <c:v>2765.6498999999999</c:v>
                </c:pt>
                <c:pt idx="1023">
                  <c:v>2705.8200999999999</c:v>
                </c:pt>
                <c:pt idx="1024">
                  <c:v>2729.53</c:v>
                </c:pt>
                <c:pt idx="1025">
                  <c:v>2728.1001000000001</c:v>
                </c:pt>
                <c:pt idx="1026">
                  <c:v>2705.04</c:v>
                </c:pt>
                <c:pt idx="1027">
                  <c:v>2718.46</c:v>
                </c:pt>
                <c:pt idx="1028">
                  <c:v>2714.25</c:v>
                </c:pt>
                <c:pt idx="1029">
                  <c:v>2736.71</c:v>
                </c:pt>
                <c:pt idx="1030">
                  <c:v>2731.1599000000001</c:v>
                </c:pt>
                <c:pt idx="1031">
                  <c:v>2752.3200999999999</c:v>
                </c:pt>
                <c:pt idx="1032">
                  <c:v>2773.1498999999999</c:v>
                </c:pt>
                <c:pt idx="1033">
                  <c:v>2764.72</c:v>
                </c:pt>
                <c:pt idx="1034">
                  <c:v>2773.1698999999999</c:v>
                </c:pt>
                <c:pt idx="1035">
                  <c:v>2793.9099000000001</c:v>
                </c:pt>
                <c:pt idx="1036">
                  <c:v>2806.23</c:v>
                </c:pt>
                <c:pt idx="1037">
                  <c:v>2831.3400999999999</c:v>
                </c:pt>
                <c:pt idx="1038">
                  <c:v>2837.48</c:v>
                </c:pt>
                <c:pt idx="1039">
                  <c:v>2847.23</c:v>
                </c:pt>
                <c:pt idx="1040">
                  <c:v>2857.3200999999999</c:v>
                </c:pt>
                <c:pt idx="1041">
                  <c:v>2873.1201000000001</c:v>
                </c:pt>
                <c:pt idx="1042">
                  <c:v>2885.1799000000001</c:v>
                </c:pt>
                <c:pt idx="1043">
                  <c:v>2895.29</c:v>
                </c:pt>
                <c:pt idx="1044">
                  <c:v>2954.8400999999999</c:v>
                </c:pt>
                <c:pt idx="1045">
                  <c:v>2949.53</c:v>
                </c:pt>
                <c:pt idx="1046">
                  <c:v>2957.5700999999999</c:v>
                </c:pt>
                <c:pt idx="1047">
                  <c:v>2986.8798999999999</c:v>
                </c:pt>
                <c:pt idx="1048">
                  <c:v>3046.3501000000001</c:v>
                </c:pt>
                <c:pt idx="1049">
                  <c:v>3053.3501000000001</c:v>
                </c:pt>
                <c:pt idx="1050">
                  <c:v>3052.8200999999999</c:v>
                </c:pt>
                <c:pt idx="1051">
                  <c:v>3073.74</c:v>
                </c:pt>
                <c:pt idx="1052">
                  <c:v>3052.6599000000001</c:v>
                </c:pt>
                <c:pt idx="1053">
                  <c:v>3049.45</c:v>
                </c:pt>
                <c:pt idx="1054">
                  <c:v>3010.1399000000001</c:v>
                </c:pt>
                <c:pt idx="1055">
                  <c:v>2999.79</c:v>
                </c:pt>
                <c:pt idx="1056">
                  <c:v>3022.8</c:v>
                </c:pt>
                <c:pt idx="1057">
                  <c:v>3039.5801000000001</c:v>
                </c:pt>
                <c:pt idx="1058">
                  <c:v>3101.0601000000001</c:v>
                </c:pt>
                <c:pt idx="1059">
                  <c:v>3105.1498999999999</c:v>
                </c:pt>
                <c:pt idx="1060">
                  <c:v>3133.4198999999999</c:v>
                </c:pt>
                <c:pt idx="1061">
                  <c:v>3110.25</c:v>
                </c:pt>
                <c:pt idx="1062">
                  <c:v>3162.99</c:v>
                </c:pt>
                <c:pt idx="1063">
                  <c:v>3148.79</c:v>
                </c:pt>
                <c:pt idx="1064">
                  <c:v>3198.3899000000001</c:v>
                </c:pt>
                <c:pt idx="1065">
                  <c:v>3022.0700999999999</c:v>
                </c:pt>
                <c:pt idx="1066">
                  <c:v>3051.8701000000001</c:v>
                </c:pt>
                <c:pt idx="1067">
                  <c:v>3031.5</c:v>
                </c:pt>
                <c:pt idx="1068">
                  <c:v>3047.8101000000001</c:v>
                </c:pt>
                <c:pt idx="1069">
                  <c:v>3060.6898999999999</c:v>
                </c:pt>
                <c:pt idx="1070">
                  <c:v>3090.55</c:v>
                </c:pt>
                <c:pt idx="1071">
                  <c:v>3119.3200999999999</c:v>
                </c:pt>
                <c:pt idx="1072">
                  <c:v>3024.0601000000001</c:v>
                </c:pt>
                <c:pt idx="1073">
                  <c:v>2972.96</c:v>
                </c:pt>
                <c:pt idx="1074">
                  <c:v>2977.0700999999999</c:v>
                </c:pt>
                <c:pt idx="1075">
                  <c:v>2982.5900999999999</c:v>
                </c:pt>
                <c:pt idx="1076">
                  <c:v>2957.3701000000001</c:v>
                </c:pt>
                <c:pt idx="1077">
                  <c:v>3012.47</c:v>
                </c:pt>
                <c:pt idx="1078">
                  <c:v>3030.04</c:v>
                </c:pt>
                <c:pt idx="1079">
                  <c:v>3023.4299000000001</c:v>
                </c:pt>
                <c:pt idx="1080">
                  <c:v>3043.2</c:v>
                </c:pt>
                <c:pt idx="1081">
                  <c:v>3029.3899000000001</c:v>
                </c:pt>
                <c:pt idx="1082">
                  <c:v>3073</c:v>
                </c:pt>
                <c:pt idx="1083">
                  <c:v>3119.1298999999999</c:v>
                </c:pt>
                <c:pt idx="1084">
                  <c:v>3079.4198999999999</c:v>
                </c:pt>
                <c:pt idx="1085">
                  <c:v>3091.04</c:v>
                </c:pt>
                <c:pt idx="1086">
                  <c:v>3103.8200999999999</c:v>
                </c:pt>
                <c:pt idx="1087">
                  <c:v>3110.79</c:v>
                </c:pt>
                <c:pt idx="1088">
                  <c:v>3065.98</c:v>
                </c:pt>
                <c:pt idx="1089">
                  <c:v>3113.74</c:v>
                </c:pt>
                <c:pt idx="1090">
                  <c:v>3138.5900999999999</c:v>
                </c:pt>
                <c:pt idx="1091">
                  <c:v>3126.6698999999999</c:v>
                </c:pt>
                <c:pt idx="1092">
                  <c:v>3115.8200999999999</c:v>
                </c:pt>
                <c:pt idx="1093">
                  <c:v>3132.79</c:v>
                </c:pt>
                <c:pt idx="1094">
                  <c:v>3244.53</c:v>
                </c:pt>
                <c:pt idx="1095">
                  <c:v>3319.78</c:v>
                </c:pt>
                <c:pt idx="1096">
                  <c:v>3372.4398999999999</c:v>
                </c:pt>
                <c:pt idx="1097">
                  <c:v>3376.4099000000001</c:v>
                </c:pt>
                <c:pt idx="1098">
                  <c:v>3437.46</c:v>
                </c:pt>
                <c:pt idx="1099">
                  <c:v>3478.8998999999999</c:v>
                </c:pt>
                <c:pt idx="1100">
                  <c:v>3445.6399000000001</c:v>
                </c:pt>
                <c:pt idx="1101">
                  <c:v>3414.74</c:v>
                </c:pt>
                <c:pt idx="1102">
                  <c:v>3454.79</c:v>
                </c:pt>
                <c:pt idx="1103">
                  <c:v>3494.4299000000001</c:v>
                </c:pt>
                <c:pt idx="1104">
                  <c:v>3389.21</c:v>
                </c:pt>
                <c:pt idx="1105">
                  <c:v>3421.3501000000001</c:v>
                </c:pt>
                <c:pt idx="1106">
                  <c:v>3463.3798999999999</c:v>
                </c:pt>
                <c:pt idx="1107">
                  <c:v>3522.21</c:v>
                </c:pt>
                <c:pt idx="1108">
                  <c:v>3515.8</c:v>
                </c:pt>
                <c:pt idx="1109">
                  <c:v>3554.72</c:v>
                </c:pt>
                <c:pt idx="1110">
                  <c:v>3537.2</c:v>
                </c:pt>
                <c:pt idx="1111">
                  <c:v>3513.23</c:v>
                </c:pt>
                <c:pt idx="1112">
                  <c:v>3522.0801000000001</c:v>
                </c:pt>
                <c:pt idx="1113">
                  <c:v>3561.79</c:v>
                </c:pt>
                <c:pt idx="1114">
                  <c:v>3601.53</c:v>
                </c:pt>
                <c:pt idx="1115">
                  <c:v>3552.6698999999999</c:v>
                </c:pt>
                <c:pt idx="1116">
                  <c:v>3612.23</c:v>
                </c:pt>
                <c:pt idx="1117">
                  <c:v>3576.77</c:v>
                </c:pt>
                <c:pt idx="1118">
                  <c:v>3574.24</c:v>
                </c:pt>
                <c:pt idx="1119">
                  <c:v>3527.23</c:v>
                </c:pt>
                <c:pt idx="1120">
                  <c:v>3526.6001000000001</c:v>
                </c:pt>
                <c:pt idx="1121">
                  <c:v>3402.6001000000001</c:v>
                </c:pt>
                <c:pt idx="1122">
                  <c:v>3470.5700999999999</c:v>
                </c:pt>
                <c:pt idx="1123">
                  <c:v>3369.28</c:v>
                </c:pt>
                <c:pt idx="1124">
                  <c:v>3331.8101000000001</c:v>
                </c:pt>
                <c:pt idx="1125">
                  <c:v>3348.45</c:v>
                </c:pt>
                <c:pt idx="1126">
                  <c:v>3418.24</c:v>
                </c:pt>
                <c:pt idx="1127">
                  <c:v>3405.4198999999999</c:v>
                </c:pt>
                <c:pt idx="1128">
                  <c:v>3279.0700999999999</c:v>
                </c:pt>
                <c:pt idx="1129">
                  <c:v>3247.6298999999999</c:v>
                </c:pt>
                <c:pt idx="1130">
                  <c:v>3287.0601000000001</c:v>
                </c:pt>
                <c:pt idx="1131">
                  <c:v>3296.6698999999999</c:v>
                </c:pt>
                <c:pt idx="1132">
                  <c:v>3255.97</c:v>
                </c:pt>
                <c:pt idx="1133">
                  <c:v>3265.74</c:v>
                </c:pt>
                <c:pt idx="1134">
                  <c:v>3172.74</c:v>
                </c:pt>
                <c:pt idx="1135">
                  <c:v>3321.48</c:v>
                </c:pt>
                <c:pt idx="1136">
                  <c:v>3320.78</c:v>
                </c:pt>
                <c:pt idx="1137">
                  <c:v>3388.8899000000001</c:v>
                </c:pt>
                <c:pt idx="1138">
                  <c:v>3326.6599000000001</c:v>
                </c:pt>
                <c:pt idx="1139">
                  <c:v>3277.1001000000001</c:v>
                </c:pt>
                <c:pt idx="1140">
                  <c:v>3281.02</c:v>
                </c:pt>
                <c:pt idx="1141">
                  <c:v>3413.3701000000001</c:v>
                </c:pt>
                <c:pt idx="1142">
                  <c:v>3441.1298999999999</c:v>
                </c:pt>
                <c:pt idx="1143">
                  <c:v>3425.8899000000001</c:v>
                </c:pt>
                <c:pt idx="1144">
                  <c:v>3415.3301000000001</c:v>
                </c:pt>
                <c:pt idx="1145">
                  <c:v>3409.47</c:v>
                </c:pt>
                <c:pt idx="1146">
                  <c:v>3512.29</c:v>
                </c:pt>
                <c:pt idx="1147">
                  <c:v>3567.1100999999999</c:v>
                </c:pt>
                <c:pt idx="1148">
                  <c:v>3598.55</c:v>
                </c:pt>
                <c:pt idx="1149">
                  <c:v>3598.74</c:v>
                </c:pt>
                <c:pt idx="1150">
                  <c:v>3638.3899000000001</c:v>
                </c:pt>
                <c:pt idx="1151">
                  <c:v>3633.8301000000001</c:v>
                </c:pt>
                <c:pt idx="1152">
                  <c:v>3589.3</c:v>
                </c:pt>
                <c:pt idx="1153">
                  <c:v>3589.3701000000001</c:v>
                </c:pt>
                <c:pt idx="1154">
                  <c:v>3584.4198999999999</c:v>
                </c:pt>
                <c:pt idx="1155">
                  <c:v>3499.5</c:v>
                </c:pt>
                <c:pt idx="1156">
                  <c:v>3458.52</c:v>
                </c:pt>
                <c:pt idx="1157">
                  <c:v>3449.8501000000001</c:v>
                </c:pt>
                <c:pt idx="1158">
                  <c:v>3412.3899000000001</c:v>
                </c:pt>
                <c:pt idx="1159">
                  <c:v>3388.05</c:v>
                </c:pt>
                <c:pt idx="1160">
                  <c:v>3297.96</c:v>
                </c:pt>
                <c:pt idx="1161">
                  <c:v>3349.1698999999999</c:v>
                </c:pt>
                <c:pt idx="1162">
                  <c:v>3322.48</c:v>
                </c:pt>
                <c:pt idx="1163">
                  <c:v>3357.0700999999999</c:v>
                </c:pt>
                <c:pt idx="1164">
                  <c:v>3391.73</c:v>
                </c:pt>
                <c:pt idx="1165">
                  <c:v>3322.1698999999999</c:v>
                </c:pt>
                <c:pt idx="1166">
                  <c:v>3331.99</c:v>
                </c:pt>
                <c:pt idx="1167">
                  <c:v>3256.77</c:v>
                </c:pt>
                <c:pt idx="1168">
                  <c:v>3229.25</c:v>
                </c:pt>
                <c:pt idx="1169">
                  <c:v>3142.6399000000001</c:v>
                </c:pt>
                <c:pt idx="1170">
                  <c:v>3175.45</c:v>
                </c:pt>
                <c:pt idx="1171">
                  <c:v>3144.27</c:v>
                </c:pt>
                <c:pt idx="1172">
                  <c:v>3134.1298999999999</c:v>
                </c:pt>
                <c:pt idx="1173">
                  <c:v>3064.24</c:v>
                </c:pt>
                <c:pt idx="1174">
                  <c:v>3168.5</c:v>
                </c:pt>
                <c:pt idx="1175">
                  <c:v>3172.77</c:v>
                </c:pt>
                <c:pt idx="1176">
                  <c:v>3131.0801000000001</c:v>
                </c:pt>
                <c:pt idx="1177">
                  <c:v>3190.96</c:v>
                </c:pt>
                <c:pt idx="1178">
                  <c:v>3152.73</c:v>
                </c:pt>
                <c:pt idx="1179">
                  <c:v>3132.3899000000001</c:v>
                </c:pt>
                <c:pt idx="1180">
                  <c:v>3120.5</c:v>
                </c:pt>
                <c:pt idx="1181">
                  <c:v>3095.6898999999999</c:v>
                </c:pt>
                <c:pt idx="1182">
                  <c:v>3064.3701000000001</c:v>
                </c:pt>
                <c:pt idx="1183">
                  <c:v>3087.1399000000001</c:v>
                </c:pt>
                <c:pt idx="1184">
                  <c:v>3006.96</c:v>
                </c:pt>
                <c:pt idx="1185">
                  <c:v>2994.1100999999999</c:v>
                </c:pt>
                <c:pt idx="1186">
                  <c:v>2980.49</c:v>
                </c:pt>
                <c:pt idx="1187">
                  <c:v>3007.55</c:v>
                </c:pt>
                <c:pt idx="1188">
                  <c:v>2966.9398999999999</c:v>
                </c:pt>
                <c:pt idx="1189">
                  <c:v>3025.8701000000001</c:v>
                </c:pt>
                <c:pt idx="1190">
                  <c:v>3017.6898999999999</c:v>
                </c:pt>
                <c:pt idx="1191">
                  <c:v>3008.1799000000001</c:v>
                </c:pt>
                <c:pt idx="1192">
                  <c:v>2988.6498999999999</c:v>
                </c:pt>
                <c:pt idx="1193">
                  <c:v>2959.79</c:v>
                </c:pt>
                <c:pt idx="1194">
                  <c:v>2944.8</c:v>
                </c:pt>
                <c:pt idx="1195">
                  <c:v>2947.6898999999999</c:v>
                </c:pt>
                <c:pt idx="1196">
                  <c:v>2991.1001000000001</c:v>
                </c:pt>
                <c:pt idx="1197">
                  <c:v>3017.3998999999999</c:v>
                </c:pt>
                <c:pt idx="1198">
                  <c:v>3022.74</c:v>
                </c:pt>
                <c:pt idx="1199">
                  <c:v>3040.9198999999999</c:v>
                </c:pt>
                <c:pt idx="1200">
                  <c:v>3087.71</c:v>
                </c:pt>
                <c:pt idx="1201">
                  <c:v>3084.72</c:v>
                </c:pt>
                <c:pt idx="1202">
                  <c:v>3065.05</c:v>
                </c:pt>
                <c:pt idx="1203">
                  <c:v>3050.76</c:v>
                </c:pt>
                <c:pt idx="1204">
                  <c:v>3075.51</c:v>
                </c:pt>
                <c:pt idx="1205">
                  <c:v>3101.54</c:v>
                </c:pt>
                <c:pt idx="1206">
                  <c:v>3072.25</c:v>
                </c:pt>
                <c:pt idx="1207">
                  <c:v>3058.47</c:v>
                </c:pt>
                <c:pt idx="1208">
                  <c:v>3035.4398999999999</c:v>
                </c:pt>
                <c:pt idx="1209">
                  <c:v>3104.79</c:v>
                </c:pt>
                <c:pt idx="1210">
                  <c:v>3207.46</c:v>
                </c:pt>
                <c:pt idx="1211">
                  <c:v>3151.8101000000001</c:v>
                </c:pt>
                <c:pt idx="1212">
                  <c:v>3173.53</c:v>
                </c:pt>
                <c:pt idx="1213">
                  <c:v>3174.8600999999999</c:v>
                </c:pt>
                <c:pt idx="1214">
                  <c:v>3151.9099000000001</c:v>
                </c:pt>
                <c:pt idx="1215">
                  <c:v>3133.4198999999999</c:v>
                </c:pt>
                <c:pt idx="1216">
                  <c:v>3122.48</c:v>
                </c:pt>
                <c:pt idx="1217">
                  <c:v>3113.0801000000001</c:v>
                </c:pt>
                <c:pt idx="1218">
                  <c:v>3178.71</c:v>
                </c:pt>
                <c:pt idx="1219">
                  <c:v>3143.9198999999999</c:v>
                </c:pt>
                <c:pt idx="1220">
                  <c:v>3102.8101000000001</c:v>
                </c:pt>
                <c:pt idx="1221">
                  <c:v>3150.3200999999999</c:v>
                </c:pt>
                <c:pt idx="1222">
                  <c:v>3174.02</c:v>
                </c:pt>
                <c:pt idx="1223">
                  <c:v>3097.73</c:v>
                </c:pt>
                <c:pt idx="1224">
                  <c:v>3157.71</c:v>
                </c:pt>
                <c:pt idx="1225">
                  <c:v>3174.6799000000001</c:v>
                </c:pt>
                <c:pt idx="1226">
                  <c:v>3188.1001000000001</c:v>
                </c:pt>
                <c:pt idx="1227">
                  <c:v>3178.5</c:v>
                </c:pt>
                <c:pt idx="1228">
                  <c:v>3180.54</c:v>
                </c:pt>
                <c:pt idx="1229">
                  <c:v>3140.5801000000001</c:v>
                </c:pt>
                <c:pt idx="1230">
                  <c:v>3094.29</c:v>
                </c:pt>
                <c:pt idx="1231">
                  <c:v>3054.9398999999999</c:v>
                </c:pt>
                <c:pt idx="1232">
                  <c:v>2983.8998999999999</c:v>
                </c:pt>
                <c:pt idx="1233">
                  <c:v>2969.71</c:v>
                </c:pt>
                <c:pt idx="1234">
                  <c:v>2985.45</c:v>
                </c:pt>
                <c:pt idx="1235">
                  <c:v>2973.4299000000001</c:v>
                </c:pt>
                <c:pt idx="1236">
                  <c:v>2959.5601000000001</c:v>
                </c:pt>
                <c:pt idx="1237">
                  <c:v>2944</c:v>
                </c:pt>
                <c:pt idx="1238">
                  <c:v>2977.49</c:v>
                </c:pt>
                <c:pt idx="1239">
                  <c:v>2954.46</c:v>
                </c:pt>
                <c:pt idx="1240">
                  <c:v>3033.6698999999999</c:v>
                </c:pt>
                <c:pt idx="1241">
                  <c:v>3047.46</c:v>
                </c:pt>
                <c:pt idx="1242">
                  <c:v>3116.23</c:v>
                </c:pt>
                <c:pt idx="1243">
                  <c:v>3111.6100999999999</c:v>
                </c:pt>
                <c:pt idx="1244">
                  <c:v>3109.3200999999999</c:v>
                </c:pt>
                <c:pt idx="1245">
                  <c:v>3117.2</c:v>
                </c:pt>
                <c:pt idx="1246">
                  <c:v>3164.1001000000001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D-4418-8705-8E0557C71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598297"/>
        <c:axId val="46273770"/>
      </c:lineChart>
      <c:dateAx>
        <c:axId val="835982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/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273770"/>
        <c:crosses val="autoZero"/>
        <c:auto val="1"/>
        <c:lblOffset val="100"/>
        <c:baseTimeUnit val="days"/>
        <c:majorUnit val="6"/>
        <c:majorTimeUnit val="months"/>
      </c:dateAx>
      <c:valAx>
        <c:axId val="46273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598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Ibovespa — Fechamento diário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Ibovespa_Fechamento</c:v>
                </c:pt>
              </c:strCache>
            </c:strRef>
          </c:tx>
          <c:spPr>
            <a:ln w="9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Dados!$A$2:$A$1248</c:f>
              <c:numCache>
                <c:formatCode>m/d/yy</c:formatCode>
                <c:ptCount val="1247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44445</c:v>
                </c:pt>
                <c:pt idx="4">
                  <c:v>44447</c:v>
                </c:pt>
                <c:pt idx="5">
                  <c:v>44448</c:v>
                </c:pt>
                <c:pt idx="6">
                  <c:v>44449</c:v>
                </c:pt>
                <c:pt idx="7">
                  <c:v>44452</c:v>
                </c:pt>
                <c:pt idx="8">
                  <c:v>44453</c:v>
                </c:pt>
                <c:pt idx="9">
                  <c:v>44454</c:v>
                </c:pt>
                <c:pt idx="10">
                  <c:v>44455</c:v>
                </c:pt>
                <c:pt idx="11">
                  <c:v>44456</c:v>
                </c:pt>
                <c:pt idx="12">
                  <c:v>44459</c:v>
                </c:pt>
                <c:pt idx="13">
                  <c:v>44460</c:v>
                </c:pt>
                <c:pt idx="14">
                  <c:v>44461</c:v>
                </c:pt>
                <c:pt idx="15">
                  <c:v>44462</c:v>
                </c:pt>
                <c:pt idx="16">
                  <c:v>44463</c:v>
                </c:pt>
                <c:pt idx="17">
                  <c:v>44466</c:v>
                </c:pt>
                <c:pt idx="18">
                  <c:v>44467</c:v>
                </c:pt>
                <c:pt idx="19">
                  <c:v>44468</c:v>
                </c:pt>
                <c:pt idx="20">
                  <c:v>44469</c:v>
                </c:pt>
                <c:pt idx="21">
                  <c:v>44470</c:v>
                </c:pt>
                <c:pt idx="22">
                  <c:v>44473</c:v>
                </c:pt>
                <c:pt idx="23">
                  <c:v>44474</c:v>
                </c:pt>
                <c:pt idx="24">
                  <c:v>44475</c:v>
                </c:pt>
                <c:pt idx="25">
                  <c:v>44476</c:v>
                </c:pt>
                <c:pt idx="26">
                  <c:v>44477</c:v>
                </c:pt>
                <c:pt idx="27">
                  <c:v>44480</c:v>
                </c:pt>
                <c:pt idx="28">
                  <c:v>44482</c:v>
                </c:pt>
                <c:pt idx="29">
                  <c:v>44483</c:v>
                </c:pt>
                <c:pt idx="30">
                  <c:v>44484</c:v>
                </c:pt>
                <c:pt idx="31">
                  <c:v>44487</c:v>
                </c:pt>
                <c:pt idx="32">
                  <c:v>44488</c:v>
                </c:pt>
                <c:pt idx="33">
                  <c:v>44489</c:v>
                </c:pt>
                <c:pt idx="34">
                  <c:v>44490</c:v>
                </c:pt>
                <c:pt idx="35">
                  <c:v>44491</c:v>
                </c:pt>
                <c:pt idx="36">
                  <c:v>44494</c:v>
                </c:pt>
                <c:pt idx="37">
                  <c:v>44495</c:v>
                </c:pt>
                <c:pt idx="38">
                  <c:v>44496</c:v>
                </c:pt>
                <c:pt idx="39">
                  <c:v>44497</c:v>
                </c:pt>
                <c:pt idx="40">
                  <c:v>44498</c:v>
                </c:pt>
                <c:pt idx="41">
                  <c:v>44501</c:v>
                </c:pt>
                <c:pt idx="42">
                  <c:v>44503</c:v>
                </c:pt>
                <c:pt idx="43">
                  <c:v>44504</c:v>
                </c:pt>
                <c:pt idx="44">
                  <c:v>44505</c:v>
                </c:pt>
                <c:pt idx="45">
                  <c:v>44508</c:v>
                </c:pt>
                <c:pt idx="46">
                  <c:v>44509</c:v>
                </c:pt>
                <c:pt idx="47">
                  <c:v>44510</c:v>
                </c:pt>
                <c:pt idx="48">
                  <c:v>44511</c:v>
                </c:pt>
                <c:pt idx="49">
                  <c:v>44512</c:v>
                </c:pt>
                <c:pt idx="50">
                  <c:v>44516</c:v>
                </c:pt>
                <c:pt idx="51">
                  <c:v>44517</c:v>
                </c:pt>
                <c:pt idx="52">
                  <c:v>44518</c:v>
                </c:pt>
                <c:pt idx="53">
                  <c:v>44519</c:v>
                </c:pt>
                <c:pt idx="54">
                  <c:v>44522</c:v>
                </c:pt>
                <c:pt idx="55">
                  <c:v>44523</c:v>
                </c:pt>
                <c:pt idx="56">
                  <c:v>44524</c:v>
                </c:pt>
                <c:pt idx="57">
                  <c:v>44525</c:v>
                </c:pt>
                <c:pt idx="58">
                  <c:v>44526</c:v>
                </c:pt>
                <c:pt idx="59">
                  <c:v>44529</c:v>
                </c:pt>
                <c:pt idx="60">
                  <c:v>44530</c:v>
                </c:pt>
                <c:pt idx="61">
                  <c:v>44531</c:v>
                </c:pt>
                <c:pt idx="62">
                  <c:v>44532</c:v>
                </c:pt>
                <c:pt idx="63">
                  <c:v>44533</c:v>
                </c:pt>
                <c:pt idx="64">
                  <c:v>44536</c:v>
                </c:pt>
                <c:pt idx="65">
                  <c:v>44537</c:v>
                </c:pt>
                <c:pt idx="66">
                  <c:v>44538</c:v>
                </c:pt>
                <c:pt idx="67">
                  <c:v>44539</c:v>
                </c:pt>
                <c:pt idx="68">
                  <c:v>44540</c:v>
                </c:pt>
                <c:pt idx="69">
                  <c:v>44543</c:v>
                </c:pt>
                <c:pt idx="70">
                  <c:v>44544</c:v>
                </c:pt>
                <c:pt idx="71">
                  <c:v>44545</c:v>
                </c:pt>
                <c:pt idx="72">
                  <c:v>44546</c:v>
                </c:pt>
                <c:pt idx="73">
                  <c:v>44547</c:v>
                </c:pt>
                <c:pt idx="74">
                  <c:v>44550</c:v>
                </c:pt>
                <c:pt idx="75">
                  <c:v>44551</c:v>
                </c:pt>
                <c:pt idx="76">
                  <c:v>44552</c:v>
                </c:pt>
                <c:pt idx="77">
                  <c:v>44553</c:v>
                </c:pt>
                <c:pt idx="78">
                  <c:v>44557</c:v>
                </c:pt>
                <c:pt idx="79">
                  <c:v>44558</c:v>
                </c:pt>
                <c:pt idx="80">
                  <c:v>44559</c:v>
                </c:pt>
                <c:pt idx="81">
                  <c:v>44560</c:v>
                </c:pt>
                <c:pt idx="82">
                  <c:v>44564</c:v>
                </c:pt>
                <c:pt idx="83">
                  <c:v>44565</c:v>
                </c:pt>
                <c:pt idx="84">
                  <c:v>44566</c:v>
                </c:pt>
                <c:pt idx="85">
                  <c:v>44567</c:v>
                </c:pt>
                <c:pt idx="86">
                  <c:v>44568</c:v>
                </c:pt>
                <c:pt idx="87">
                  <c:v>44571</c:v>
                </c:pt>
                <c:pt idx="88">
                  <c:v>44572</c:v>
                </c:pt>
                <c:pt idx="89">
                  <c:v>44573</c:v>
                </c:pt>
                <c:pt idx="90">
                  <c:v>44574</c:v>
                </c:pt>
                <c:pt idx="91">
                  <c:v>44575</c:v>
                </c:pt>
                <c:pt idx="92">
                  <c:v>44578</c:v>
                </c:pt>
                <c:pt idx="93">
                  <c:v>44579</c:v>
                </c:pt>
                <c:pt idx="94">
                  <c:v>44580</c:v>
                </c:pt>
                <c:pt idx="95">
                  <c:v>44581</c:v>
                </c:pt>
                <c:pt idx="96">
                  <c:v>44582</c:v>
                </c:pt>
                <c:pt idx="97">
                  <c:v>44585</c:v>
                </c:pt>
                <c:pt idx="98">
                  <c:v>44586</c:v>
                </c:pt>
                <c:pt idx="99">
                  <c:v>44587</c:v>
                </c:pt>
                <c:pt idx="100">
                  <c:v>44588</c:v>
                </c:pt>
                <c:pt idx="101">
                  <c:v>44589</c:v>
                </c:pt>
                <c:pt idx="102">
                  <c:v>44592</c:v>
                </c:pt>
                <c:pt idx="103">
                  <c:v>44593</c:v>
                </c:pt>
                <c:pt idx="104">
                  <c:v>44594</c:v>
                </c:pt>
                <c:pt idx="105">
                  <c:v>44595</c:v>
                </c:pt>
                <c:pt idx="106">
                  <c:v>44596</c:v>
                </c:pt>
                <c:pt idx="107">
                  <c:v>44599</c:v>
                </c:pt>
                <c:pt idx="108">
                  <c:v>44600</c:v>
                </c:pt>
                <c:pt idx="109">
                  <c:v>44601</c:v>
                </c:pt>
                <c:pt idx="110">
                  <c:v>44602</c:v>
                </c:pt>
                <c:pt idx="111">
                  <c:v>44603</c:v>
                </c:pt>
                <c:pt idx="112">
                  <c:v>44606</c:v>
                </c:pt>
                <c:pt idx="113">
                  <c:v>44607</c:v>
                </c:pt>
                <c:pt idx="114">
                  <c:v>44608</c:v>
                </c:pt>
                <c:pt idx="115">
                  <c:v>44609</c:v>
                </c:pt>
                <c:pt idx="116">
                  <c:v>44610</c:v>
                </c:pt>
                <c:pt idx="117">
                  <c:v>44613</c:v>
                </c:pt>
                <c:pt idx="118">
                  <c:v>44614</c:v>
                </c:pt>
                <c:pt idx="119">
                  <c:v>44615</c:v>
                </c:pt>
                <c:pt idx="120">
                  <c:v>44616</c:v>
                </c:pt>
                <c:pt idx="121">
                  <c:v>44617</c:v>
                </c:pt>
                <c:pt idx="122">
                  <c:v>44622</c:v>
                </c:pt>
                <c:pt idx="123">
                  <c:v>44623</c:v>
                </c:pt>
                <c:pt idx="124">
                  <c:v>44624</c:v>
                </c:pt>
                <c:pt idx="125">
                  <c:v>44627</c:v>
                </c:pt>
                <c:pt idx="126">
                  <c:v>44628</c:v>
                </c:pt>
                <c:pt idx="127">
                  <c:v>44629</c:v>
                </c:pt>
                <c:pt idx="128">
                  <c:v>44630</c:v>
                </c:pt>
                <c:pt idx="129">
                  <c:v>44631</c:v>
                </c:pt>
                <c:pt idx="130">
                  <c:v>44634</c:v>
                </c:pt>
                <c:pt idx="131">
                  <c:v>44635</c:v>
                </c:pt>
                <c:pt idx="132">
                  <c:v>44636</c:v>
                </c:pt>
                <c:pt idx="133">
                  <c:v>44637</c:v>
                </c:pt>
                <c:pt idx="134">
                  <c:v>44638</c:v>
                </c:pt>
                <c:pt idx="135">
                  <c:v>44641</c:v>
                </c:pt>
                <c:pt idx="136">
                  <c:v>44642</c:v>
                </c:pt>
                <c:pt idx="137">
                  <c:v>44643</c:v>
                </c:pt>
                <c:pt idx="138">
                  <c:v>44644</c:v>
                </c:pt>
                <c:pt idx="139">
                  <c:v>44645</c:v>
                </c:pt>
                <c:pt idx="140">
                  <c:v>44648</c:v>
                </c:pt>
                <c:pt idx="141">
                  <c:v>44649</c:v>
                </c:pt>
                <c:pt idx="142">
                  <c:v>44650</c:v>
                </c:pt>
                <c:pt idx="143">
                  <c:v>44651</c:v>
                </c:pt>
                <c:pt idx="144">
                  <c:v>44652</c:v>
                </c:pt>
                <c:pt idx="145">
                  <c:v>44655</c:v>
                </c:pt>
                <c:pt idx="146">
                  <c:v>44656</c:v>
                </c:pt>
                <c:pt idx="147">
                  <c:v>44657</c:v>
                </c:pt>
                <c:pt idx="148">
                  <c:v>44658</c:v>
                </c:pt>
                <c:pt idx="149">
                  <c:v>44659</c:v>
                </c:pt>
                <c:pt idx="150">
                  <c:v>44662</c:v>
                </c:pt>
                <c:pt idx="151">
                  <c:v>44663</c:v>
                </c:pt>
                <c:pt idx="152">
                  <c:v>44664</c:v>
                </c:pt>
                <c:pt idx="153">
                  <c:v>44665</c:v>
                </c:pt>
                <c:pt idx="154">
                  <c:v>44669</c:v>
                </c:pt>
                <c:pt idx="155">
                  <c:v>44670</c:v>
                </c:pt>
                <c:pt idx="156">
                  <c:v>44671</c:v>
                </c:pt>
                <c:pt idx="157">
                  <c:v>44673</c:v>
                </c:pt>
                <c:pt idx="158">
                  <c:v>44676</c:v>
                </c:pt>
                <c:pt idx="159">
                  <c:v>44677</c:v>
                </c:pt>
                <c:pt idx="160">
                  <c:v>44678</c:v>
                </c:pt>
                <c:pt idx="161">
                  <c:v>44679</c:v>
                </c:pt>
                <c:pt idx="162">
                  <c:v>44680</c:v>
                </c:pt>
                <c:pt idx="163">
                  <c:v>44683</c:v>
                </c:pt>
                <c:pt idx="164">
                  <c:v>44684</c:v>
                </c:pt>
                <c:pt idx="165">
                  <c:v>44685</c:v>
                </c:pt>
                <c:pt idx="166">
                  <c:v>44686</c:v>
                </c:pt>
                <c:pt idx="167">
                  <c:v>44687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44697</c:v>
                </c:pt>
                <c:pt idx="174">
                  <c:v>44698</c:v>
                </c:pt>
                <c:pt idx="175">
                  <c:v>44699</c:v>
                </c:pt>
                <c:pt idx="176">
                  <c:v>44700</c:v>
                </c:pt>
                <c:pt idx="177">
                  <c:v>44701</c:v>
                </c:pt>
                <c:pt idx="178">
                  <c:v>44704</c:v>
                </c:pt>
                <c:pt idx="179">
                  <c:v>44705</c:v>
                </c:pt>
                <c:pt idx="180">
                  <c:v>44706</c:v>
                </c:pt>
                <c:pt idx="181">
                  <c:v>44707</c:v>
                </c:pt>
                <c:pt idx="182">
                  <c:v>44708</c:v>
                </c:pt>
                <c:pt idx="183">
                  <c:v>44711</c:v>
                </c:pt>
                <c:pt idx="184">
                  <c:v>44712</c:v>
                </c:pt>
                <c:pt idx="185">
                  <c:v>44713</c:v>
                </c:pt>
                <c:pt idx="186">
                  <c:v>44714</c:v>
                </c:pt>
                <c:pt idx="187">
                  <c:v>44715</c:v>
                </c:pt>
                <c:pt idx="188">
                  <c:v>44718</c:v>
                </c:pt>
                <c:pt idx="189">
                  <c:v>44719</c:v>
                </c:pt>
                <c:pt idx="190">
                  <c:v>44720</c:v>
                </c:pt>
                <c:pt idx="191">
                  <c:v>44721</c:v>
                </c:pt>
                <c:pt idx="192">
                  <c:v>44722</c:v>
                </c:pt>
                <c:pt idx="193">
                  <c:v>44725</c:v>
                </c:pt>
                <c:pt idx="194">
                  <c:v>44726</c:v>
                </c:pt>
                <c:pt idx="195">
                  <c:v>44727</c:v>
                </c:pt>
                <c:pt idx="196">
                  <c:v>44729</c:v>
                </c:pt>
                <c:pt idx="197">
                  <c:v>44732</c:v>
                </c:pt>
                <c:pt idx="198">
                  <c:v>44733</c:v>
                </c:pt>
                <c:pt idx="199">
                  <c:v>44734</c:v>
                </c:pt>
                <c:pt idx="200">
                  <c:v>44735</c:v>
                </c:pt>
                <c:pt idx="201">
                  <c:v>44736</c:v>
                </c:pt>
                <c:pt idx="202">
                  <c:v>44739</c:v>
                </c:pt>
                <c:pt idx="203">
                  <c:v>44740</c:v>
                </c:pt>
                <c:pt idx="204">
                  <c:v>44741</c:v>
                </c:pt>
                <c:pt idx="205">
                  <c:v>44742</c:v>
                </c:pt>
                <c:pt idx="206">
                  <c:v>44743</c:v>
                </c:pt>
                <c:pt idx="207">
                  <c:v>44746</c:v>
                </c:pt>
                <c:pt idx="208">
                  <c:v>44747</c:v>
                </c:pt>
                <c:pt idx="209">
                  <c:v>44748</c:v>
                </c:pt>
                <c:pt idx="210">
                  <c:v>44749</c:v>
                </c:pt>
                <c:pt idx="211">
                  <c:v>44750</c:v>
                </c:pt>
                <c:pt idx="212">
                  <c:v>44753</c:v>
                </c:pt>
                <c:pt idx="213">
                  <c:v>44754</c:v>
                </c:pt>
                <c:pt idx="214">
                  <c:v>44755</c:v>
                </c:pt>
                <c:pt idx="215">
                  <c:v>44756</c:v>
                </c:pt>
                <c:pt idx="216">
                  <c:v>44757</c:v>
                </c:pt>
                <c:pt idx="217">
                  <c:v>44760</c:v>
                </c:pt>
                <c:pt idx="218">
                  <c:v>44761</c:v>
                </c:pt>
                <c:pt idx="219">
                  <c:v>44762</c:v>
                </c:pt>
                <c:pt idx="220">
                  <c:v>44763</c:v>
                </c:pt>
                <c:pt idx="221">
                  <c:v>44764</c:v>
                </c:pt>
                <c:pt idx="222">
                  <c:v>44767</c:v>
                </c:pt>
                <c:pt idx="223">
                  <c:v>44768</c:v>
                </c:pt>
                <c:pt idx="224">
                  <c:v>44769</c:v>
                </c:pt>
                <c:pt idx="225">
                  <c:v>44770</c:v>
                </c:pt>
                <c:pt idx="226">
                  <c:v>44771</c:v>
                </c:pt>
                <c:pt idx="227">
                  <c:v>44774</c:v>
                </c:pt>
                <c:pt idx="228">
                  <c:v>44775</c:v>
                </c:pt>
                <c:pt idx="229">
                  <c:v>44776</c:v>
                </c:pt>
                <c:pt idx="230">
                  <c:v>44777</c:v>
                </c:pt>
                <c:pt idx="231">
                  <c:v>44778</c:v>
                </c:pt>
                <c:pt idx="232">
                  <c:v>44781</c:v>
                </c:pt>
                <c:pt idx="233">
                  <c:v>44782</c:v>
                </c:pt>
                <c:pt idx="234">
                  <c:v>44783</c:v>
                </c:pt>
                <c:pt idx="235">
                  <c:v>44784</c:v>
                </c:pt>
                <c:pt idx="236">
                  <c:v>44785</c:v>
                </c:pt>
                <c:pt idx="237">
                  <c:v>44788</c:v>
                </c:pt>
                <c:pt idx="238">
                  <c:v>44789</c:v>
                </c:pt>
                <c:pt idx="239">
                  <c:v>44790</c:v>
                </c:pt>
                <c:pt idx="240">
                  <c:v>44791</c:v>
                </c:pt>
                <c:pt idx="241">
                  <c:v>44792</c:v>
                </c:pt>
                <c:pt idx="242">
                  <c:v>44795</c:v>
                </c:pt>
                <c:pt idx="243">
                  <c:v>44796</c:v>
                </c:pt>
                <c:pt idx="244">
                  <c:v>44797</c:v>
                </c:pt>
                <c:pt idx="245">
                  <c:v>44798</c:v>
                </c:pt>
                <c:pt idx="246">
                  <c:v>44799</c:v>
                </c:pt>
                <c:pt idx="247">
                  <c:v>44802</c:v>
                </c:pt>
                <c:pt idx="248">
                  <c:v>44803</c:v>
                </c:pt>
                <c:pt idx="249">
                  <c:v>44804</c:v>
                </c:pt>
                <c:pt idx="250">
                  <c:v>44805</c:v>
                </c:pt>
                <c:pt idx="251">
                  <c:v>44806</c:v>
                </c:pt>
                <c:pt idx="252">
                  <c:v>44809</c:v>
                </c:pt>
                <c:pt idx="253">
                  <c:v>44810</c:v>
                </c:pt>
                <c:pt idx="254">
                  <c:v>44812</c:v>
                </c:pt>
                <c:pt idx="255">
                  <c:v>44813</c:v>
                </c:pt>
                <c:pt idx="256">
                  <c:v>44816</c:v>
                </c:pt>
                <c:pt idx="257">
                  <c:v>44817</c:v>
                </c:pt>
                <c:pt idx="258">
                  <c:v>44818</c:v>
                </c:pt>
                <c:pt idx="259">
                  <c:v>44819</c:v>
                </c:pt>
                <c:pt idx="260">
                  <c:v>44820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44830</c:v>
                </c:pt>
                <c:pt idx="267">
                  <c:v>44831</c:v>
                </c:pt>
                <c:pt idx="268">
                  <c:v>44832</c:v>
                </c:pt>
                <c:pt idx="269">
                  <c:v>44833</c:v>
                </c:pt>
                <c:pt idx="270">
                  <c:v>44834</c:v>
                </c:pt>
                <c:pt idx="271">
                  <c:v>44837</c:v>
                </c:pt>
                <c:pt idx="272">
                  <c:v>44838</c:v>
                </c:pt>
                <c:pt idx="273">
                  <c:v>44839</c:v>
                </c:pt>
                <c:pt idx="274">
                  <c:v>44840</c:v>
                </c:pt>
                <c:pt idx="275">
                  <c:v>44841</c:v>
                </c:pt>
                <c:pt idx="276">
                  <c:v>44844</c:v>
                </c:pt>
                <c:pt idx="277">
                  <c:v>44845</c:v>
                </c:pt>
                <c:pt idx="278">
                  <c:v>44847</c:v>
                </c:pt>
                <c:pt idx="279">
                  <c:v>44848</c:v>
                </c:pt>
                <c:pt idx="280">
                  <c:v>44851</c:v>
                </c:pt>
                <c:pt idx="281">
                  <c:v>44852</c:v>
                </c:pt>
                <c:pt idx="282">
                  <c:v>44853</c:v>
                </c:pt>
                <c:pt idx="283">
                  <c:v>44854</c:v>
                </c:pt>
                <c:pt idx="284">
                  <c:v>44855</c:v>
                </c:pt>
                <c:pt idx="285">
                  <c:v>44858</c:v>
                </c:pt>
                <c:pt idx="286">
                  <c:v>44859</c:v>
                </c:pt>
                <c:pt idx="287">
                  <c:v>44860</c:v>
                </c:pt>
                <c:pt idx="288">
                  <c:v>44861</c:v>
                </c:pt>
                <c:pt idx="289">
                  <c:v>44862</c:v>
                </c:pt>
                <c:pt idx="290">
                  <c:v>44865</c:v>
                </c:pt>
                <c:pt idx="291">
                  <c:v>44866</c:v>
                </c:pt>
                <c:pt idx="292">
                  <c:v>44868</c:v>
                </c:pt>
                <c:pt idx="293">
                  <c:v>44869</c:v>
                </c:pt>
                <c:pt idx="294">
                  <c:v>44872</c:v>
                </c:pt>
                <c:pt idx="295">
                  <c:v>44873</c:v>
                </c:pt>
                <c:pt idx="296">
                  <c:v>44874</c:v>
                </c:pt>
                <c:pt idx="297">
                  <c:v>44875</c:v>
                </c:pt>
                <c:pt idx="298">
                  <c:v>44876</c:v>
                </c:pt>
                <c:pt idx="299">
                  <c:v>44879</c:v>
                </c:pt>
                <c:pt idx="300">
                  <c:v>44881</c:v>
                </c:pt>
                <c:pt idx="301">
                  <c:v>44882</c:v>
                </c:pt>
                <c:pt idx="302">
                  <c:v>44883</c:v>
                </c:pt>
                <c:pt idx="303">
                  <c:v>44886</c:v>
                </c:pt>
                <c:pt idx="304">
                  <c:v>44887</c:v>
                </c:pt>
                <c:pt idx="305">
                  <c:v>44888</c:v>
                </c:pt>
                <c:pt idx="306">
                  <c:v>44889</c:v>
                </c:pt>
                <c:pt idx="307">
                  <c:v>44890</c:v>
                </c:pt>
                <c:pt idx="308">
                  <c:v>44893</c:v>
                </c:pt>
                <c:pt idx="309">
                  <c:v>44894</c:v>
                </c:pt>
                <c:pt idx="310">
                  <c:v>44895</c:v>
                </c:pt>
                <c:pt idx="311">
                  <c:v>44896</c:v>
                </c:pt>
                <c:pt idx="312">
                  <c:v>44897</c:v>
                </c:pt>
                <c:pt idx="313">
                  <c:v>44900</c:v>
                </c:pt>
                <c:pt idx="314">
                  <c:v>44901</c:v>
                </c:pt>
                <c:pt idx="315">
                  <c:v>44902</c:v>
                </c:pt>
                <c:pt idx="316">
                  <c:v>44903</c:v>
                </c:pt>
                <c:pt idx="317">
                  <c:v>44904</c:v>
                </c:pt>
                <c:pt idx="318">
                  <c:v>44907</c:v>
                </c:pt>
                <c:pt idx="319">
                  <c:v>44908</c:v>
                </c:pt>
                <c:pt idx="320">
                  <c:v>44909</c:v>
                </c:pt>
                <c:pt idx="321">
                  <c:v>44910</c:v>
                </c:pt>
                <c:pt idx="322">
                  <c:v>44911</c:v>
                </c:pt>
                <c:pt idx="323">
                  <c:v>44914</c:v>
                </c:pt>
                <c:pt idx="324">
                  <c:v>44915</c:v>
                </c:pt>
                <c:pt idx="325">
                  <c:v>44916</c:v>
                </c:pt>
                <c:pt idx="326">
                  <c:v>44917</c:v>
                </c:pt>
                <c:pt idx="327">
                  <c:v>44918</c:v>
                </c:pt>
                <c:pt idx="328">
                  <c:v>44921</c:v>
                </c:pt>
                <c:pt idx="329">
                  <c:v>44922</c:v>
                </c:pt>
                <c:pt idx="330">
                  <c:v>44923</c:v>
                </c:pt>
                <c:pt idx="331">
                  <c:v>44924</c:v>
                </c:pt>
                <c:pt idx="332">
                  <c:v>44928</c:v>
                </c:pt>
                <c:pt idx="333">
                  <c:v>44929</c:v>
                </c:pt>
                <c:pt idx="334">
                  <c:v>44930</c:v>
                </c:pt>
                <c:pt idx="335">
                  <c:v>44931</c:v>
                </c:pt>
                <c:pt idx="336">
                  <c:v>44932</c:v>
                </c:pt>
                <c:pt idx="337">
                  <c:v>44935</c:v>
                </c:pt>
                <c:pt idx="338">
                  <c:v>44936</c:v>
                </c:pt>
                <c:pt idx="339">
                  <c:v>44937</c:v>
                </c:pt>
                <c:pt idx="340">
                  <c:v>44938</c:v>
                </c:pt>
                <c:pt idx="341">
                  <c:v>44939</c:v>
                </c:pt>
                <c:pt idx="342">
                  <c:v>44942</c:v>
                </c:pt>
                <c:pt idx="343">
                  <c:v>44943</c:v>
                </c:pt>
                <c:pt idx="344">
                  <c:v>44944</c:v>
                </c:pt>
                <c:pt idx="345">
                  <c:v>44945</c:v>
                </c:pt>
                <c:pt idx="346">
                  <c:v>44946</c:v>
                </c:pt>
                <c:pt idx="347">
                  <c:v>44949</c:v>
                </c:pt>
                <c:pt idx="348">
                  <c:v>44950</c:v>
                </c:pt>
                <c:pt idx="349">
                  <c:v>44951</c:v>
                </c:pt>
                <c:pt idx="350">
                  <c:v>44952</c:v>
                </c:pt>
                <c:pt idx="351">
                  <c:v>44953</c:v>
                </c:pt>
                <c:pt idx="352">
                  <c:v>44956</c:v>
                </c:pt>
                <c:pt idx="353">
                  <c:v>44957</c:v>
                </c:pt>
                <c:pt idx="354">
                  <c:v>44958</c:v>
                </c:pt>
                <c:pt idx="355">
                  <c:v>44959</c:v>
                </c:pt>
                <c:pt idx="356">
                  <c:v>44960</c:v>
                </c:pt>
                <c:pt idx="357">
                  <c:v>44963</c:v>
                </c:pt>
                <c:pt idx="358">
                  <c:v>44964</c:v>
                </c:pt>
                <c:pt idx="359">
                  <c:v>44965</c:v>
                </c:pt>
                <c:pt idx="360">
                  <c:v>44966</c:v>
                </c:pt>
                <c:pt idx="361">
                  <c:v>44967</c:v>
                </c:pt>
                <c:pt idx="362">
                  <c:v>44970</c:v>
                </c:pt>
                <c:pt idx="363">
                  <c:v>44971</c:v>
                </c:pt>
                <c:pt idx="364">
                  <c:v>44972</c:v>
                </c:pt>
                <c:pt idx="365">
                  <c:v>44973</c:v>
                </c:pt>
                <c:pt idx="366">
                  <c:v>44974</c:v>
                </c:pt>
                <c:pt idx="367">
                  <c:v>44979</c:v>
                </c:pt>
                <c:pt idx="368">
                  <c:v>44980</c:v>
                </c:pt>
                <c:pt idx="369">
                  <c:v>44981</c:v>
                </c:pt>
                <c:pt idx="370">
                  <c:v>44984</c:v>
                </c:pt>
                <c:pt idx="371">
                  <c:v>44985</c:v>
                </c:pt>
                <c:pt idx="372">
                  <c:v>44986</c:v>
                </c:pt>
                <c:pt idx="373">
                  <c:v>44987</c:v>
                </c:pt>
                <c:pt idx="374">
                  <c:v>44988</c:v>
                </c:pt>
                <c:pt idx="375">
                  <c:v>44991</c:v>
                </c:pt>
                <c:pt idx="376">
                  <c:v>44992</c:v>
                </c:pt>
                <c:pt idx="377">
                  <c:v>44993</c:v>
                </c:pt>
                <c:pt idx="378">
                  <c:v>44994</c:v>
                </c:pt>
                <c:pt idx="379">
                  <c:v>44995</c:v>
                </c:pt>
                <c:pt idx="380">
                  <c:v>44998</c:v>
                </c:pt>
                <c:pt idx="381">
                  <c:v>44999</c:v>
                </c:pt>
                <c:pt idx="382">
                  <c:v>45000</c:v>
                </c:pt>
                <c:pt idx="383">
                  <c:v>45001</c:v>
                </c:pt>
                <c:pt idx="384">
                  <c:v>45002</c:v>
                </c:pt>
                <c:pt idx="385">
                  <c:v>45005</c:v>
                </c:pt>
                <c:pt idx="386">
                  <c:v>45006</c:v>
                </c:pt>
                <c:pt idx="387">
                  <c:v>45007</c:v>
                </c:pt>
                <c:pt idx="388">
                  <c:v>45008</c:v>
                </c:pt>
                <c:pt idx="389">
                  <c:v>45009</c:v>
                </c:pt>
                <c:pt idx="390">
                  <c:v>45012</c:v>
                </c:pt>
                <c:pt idx="391">
                  <c:v>45013</c:v>
                </c:pt>
                <c:pt idx="392">
                  <c:v>45014</c:v>
                </c:pt>
                <c:pt idx="393">
                  <c:v>45015</c:v>
                </c:pt>
                <c:pt idx="394">
                  <c:v>45016</c:v>
                </c:pt>
                <c:pt idx="395">
                  <c:v>45019</c:v>
                </c:pt>
                <c:pt idx="396">
                  <c:v>45020</c:v>
                </c:pt>
                <c:pt idx="397">
                  <c:v>45021</c:v>
                </c:pt>
                <c:pt idx="398">
                  <c:v>45022</c:v>
                </c:pt>
                <c:pt idx="399">
                  <c:v>45026</c:v>
                </c:pt>
                <c:pt idx="400">
                  <c:v>45027</c:v>
                </c:pt>
                <c:pt idx="401">
                  <c:v>45028</c:v>
                </c:pt>
                <c:pt idx="402">
                  <c:v>45029</c:v>
                </c:pt>
                <c:pt idx="403">
                  <c:v>45030</c:v>
                </c:pt>
                <c:pt idx="404">
                  <c:v>45033</c:v>
                </c:pt>
                <c:pt idx="405">
                  <c:v>45034</c:v>
                </c:pt>
                <c:pt idx="406">
                  <c:v>45035</c:v>
                </c:pt>
                <c:pt idx="407">
                  <c:v>45036</c:v>
                </c:pt>
                <c:pt idx="408">
                  <c:v>45040</c:v>
                </c:pt>
                <c:pt idx="409">
                  <c:v>45041</c:v>
                </c:pt>
                <c:pt idx="410">
                  <c:v>45042</c:v>
                </c:pt>
                <c:pt idx="411">
                  <c:v>45043</c:v>
                </c:pt>
                <c:pt idx="412">
                  <c:v>45044</c:v>
                </c:pt>
                <c:pt idx="413">
                  <c:v>45048</c:v>
                </c:pt>
                <c:pt idx="414">
                  <c:v>45049</c:v>
                </c:pt>
                <c:pt idx="415">
                  <c:v>45050</c:v>
                </c:pt>
                <c:pt idx="416">
                  <c:v>45051</c:v>
                </c:pt>
                <c:pt idx="417">
                  <c:v>45054</c:v>
                </c:pt>
                <c:pt idx="418">
                  <c:v>45055</c:v>
                </c:pt>
                <c:pt idx="419">
                  <c:v>45056</c:v>
                </c:pt>
                <c:pt idx="420">
                  <c:v>45057</c:v>
                </c:pt>
                <c:pt idx="421">
                  <c:v>45058</c:v>
                </c:pt>
                <c:pt idx="422">
                  <c:v>45061</c:v>
                </c:pt>
                <c:pt idx="423">
                  <c:v>45062</c:v>
                </c:pt>
                <c:pt idx="424">
                  <c:v>45063</c:v>
                </c:pt>
                <c:pt idx="425">
                  <c:v>45064</c:v>
                </c:pt>
                <c:pt idx="426">
                  <c:v>45065</c:v>
                </c:pt>
                <c:pt idx="427">
                  <c:v>45068</c:v>
                </c:pt>
                <c:pt idx="428">
                  <c:v>45069</c:v>
                </c:pt>
                <c:pt idx="429">
                  <c:v>45070</c:v>
                </c:pt>
                <c:pt idx="430">
                  <c:v>45071</c:v>
                </c:pt>
                <c:pt idx="431">
                  <c:v>45072</c:v>
                </c:pt>
                <c:pt idx="432">
                  <c:v>45075</c:v>
                </c:pt>
                <c:pt idx="433">
                  <c:v>45076</c:v>
                </c:pt>
                <c:pt idx="434">
                  <c:v>45077</c:v>
                </c:pt>
                <c:pt idx="435">
                  <c:v>45078</c:v>
                </c:pt>
                <c:pt idx="436">
                  <c:v>45079</c:v>
                </c:pt>
                <c:pt idx="437">
                  <c:v>45082</c:v>
                </c:pt>
                <c:pt idx="438">
                  <c:v>45083</c:v>
                </c:pt>
                <c:pt idx="439">
                  <c:v>45084</c:v>
                </c:pt>
                <c:pt idx="440">
                  <c:v>45086</c:v>
                </c:pt>
                <c:pt idx="441">
                  <c:v>45089</c:v>
                </c:pt>
                <c:pt idx="442">
                  <c:v>45090</c:v>
                </c:pt>
                <c:pt idx="443">
                  <c:v>45091</c:v>
                </c:pt>
                <c:pt idx="444">
                  <c:v>45092</c:v>
                </c:pt>
                <c:pt idx="445">
                  <c:v>45093</c:v>
                </c:pt>
                <c:pt idx="446">
                  <c:v>45096</c:v>
                </c:pt>
                <c:pt idx="447">
                  <c:v>45097</c:v>
                </c:pt>
                <c:pt idx="448">
                  <c:v>45098</c:v>
                </c:pt>
                <c:pt idx="449">
                  <c:v>45099</c:v>
                </c:pt>
                <c:pt idx="450">
                  <c:v>45100</c:v>
                </c:pt>
                <c:pt idx="451">
                  <c:v>45103</c:v>
                </c:pt>
                <c:pt idx="452">
                  <c:v>45104</c:v>
                </c:pt>
                <c:pt idx="453">
                  <c:v>45105</c:v>
                </c:pt>
                <c:pt idx="454">
                  <c:v>45106</c:v>
                </c:pt>
                <c:pt idx="455">
                  <c:v>45107</c:v>
                </c:pt>
                <c:pt idx="456">
                  <c:v>45110</c:v>
                </c:pt>
                <c:pt idx="457">
                  <c:v>45111</c:v>
                </c:pt>
                <c:pt idx="458">
                  <c:v>45112</c:v>
                </c:pt>
                <c:pt idx="459">
                  <c:v>45113</c:v>
                </c:pt>
                <c:pt idx="460">
                  <c:v>45114</c:v>
                </c:pt>
                <c:pt idx="461">
                  <c:v>45117</c:v>
                </c:pt>
                <c:pt idx="462">
                  <c:v>45118</c:v>
                </c:pt>
                <c:pt idx="463">
                  <c:v>45119</c:v>
                </c:pt>
                <c:pt idx="464">
                  <c:v>45120</c:v>
                </c:pt>
                <c:pt idx="465">
                  <c:v>45121</c:v>
                </c:pt>
                <c:pt idx="466">
                  <c:v>45124</c:v>
                </c:pt>
                <c:pt idx="467">
                  <c:v>45125</c:v>
                </c:pt>
                <c:pt idx="468">
                  <c:v>45126</c:v>
                </c:pt>
                <c:pt idx="469">
                  <c:v>45127</c:v>
                </c:pt>
                <c:pt idx="470">
                  <c:v>45128</c:v>
                </c:pt>
                <c:pt idx="471">
                  <c:v>45131</c:v>
                </c:pt>
                <c:pt idx="472">
                  <c:v>45132</c:v>
                </c:pt>
                <c:pt idx="473">
                  <c:v>45133</c:v>
                </c:pt>
                <c:pt idx="474">
                  <c:v>45134</c:v>
                </c:pt>
                <c:pt idx="475">
                  <c:v>45135</c:v>
                </c:pt>
                <c:pt idx="476">
                  <c:v>45138</c:v>
                </c:pt>
                <c:pt idx="477">
                  <c:v>45139</c:v>
                </c:pt>
                <c:pt idx="478">
                  <c:v>45140</c:v>
                </c:pt>
                <c:pt idx="479">
                  <c:v>45141</c:v>
                </c:pt>
                <c:pt idx="480">
                  <c:v>45142</c:v>
                </c:pt>
                <c:pt idx="481">
                  <c:v>45145</c:v>
                </c:pt>
                <c:pt idx="482">
                  <c:v>45146</c:v>
                </c:pt>
                <c:pt idx="483">
                  <c:v>45147</c:v>
                </c:pt>
                <c:pt idx="484">
                  <c:v>45148</c:v>
                </c:pt>
                <c:pt idx="485">
                  <c:v>45149</c:v>
                </c:pt>
                <c:pt idx="486">
                  <c:v>45152</c:v>
                </c:pt>
                <c:pt idx="487">
                  <c:v>45153</c:v>
                </c:pt>
                <c:pt idx="488">
                  <c:v>45154</c:v>
                </c:pt>
                <c:pt idx="489">
                  <c:v>45155</c:v>
                </c:pt>
                <c:pt idx="490">
                  <c:v>45156</c:v>
                </c:pt>
                <c:pt idx="491">
                  <c:v>45159</c:v>
                </c:pt>
                <c:pt idx="492">
                  <c:v>45160</c:v>
                </c:pt>
                <c:pt idx="493">
                  <c:v>45161</c:v>
                </c:pt>
                <c:pt idx="494">
                  <c:v>45162</c:v>
                </c:pt>
                <c:pt idx="495">
                  <c:v>45163</c:v>
                </c:pt>
                <c:pt idx="496">
                  <c:v>45166</c:v>
                </c:pt>
                <c:pt idx="497">
                  <c:v>45167</c:v>
                </c:pt>
                <c:pt idx="498">
                  <c:v>45168</c:v>
                </c:pt>
                <c:pt idx="499">
                  <c:v>45169</c:v>
                </c:pt>
                <c:pt idx="500">
                  <c:v>45170</c:v>
                </c:pt>
                <c:pt idx="501">
                  <c:v>45173</c:v>
                </c:pt>
                <c:pt idx="502">
                  <c:v>45174</c:v>
                </c:pt>
                <c:pt idx="503">
                  <c:v>45175</c:v>
                </c:pt>
                <c:pt idx="504">
                  <c:v>45177</c:v>
                </c:pt>
                <c:pt idx="505">
                  <c:v>45180</c:v>
                </c:pt>
                <c:pt idx="506">
                  <c:v>45181</c:v>
                </c:pt>
                <c:pt idx="507">
                  <c:v>45182</c:v>
                </c:pt>
                <c:pt idx="508">
                  <c:v>45183</c:v>
                </c:pt>
                <c:pt idx="509">
                  <c:v>45184</c:v>
                </c:pt>
                <c:pt idx="510">
                  <c:v>45187</c:v>
                </c:pt>
                <c:pt idx="511">
                  <c:v>45188</c:v>
                </c:pt>
                <c:pt idx="512">
                  <c:v>45189</c:v>
                </c:pt>
                <c:pt idx="513">
                  <c:v>45190</c:v>
                </c:pt>
                <c:pt idx="514">
                  <c:v>45191</c:v>
                </c:pt>
                <c:pt idx="515">
                  <c:v>45194</c:v>
                </c:pt>
                <c:pt idx="516">
                  <c:v>45195</c:v>
                </c:pt>
                <c:pt idx="517">
                  <c:v>45196</c:v>
                </c:pt>
                <c:pt idx="518">
                  <c:v>45197</c:v>
                </c:pt>
                <c:pt idx="519">
                  <c:v>45198</c:v>
                </c:pt>
                <c:pt idx="520">
                  <c:v>45201</c:v>
                </c:pt>
                <c:pt idx="521">
                  <c:v>45202</c:v>
                </c:pt>
                <c:pt idx="522">
                  <c:v>45203</c:v>
                </c:pt>
                <c:pt idx="523">
                  <c:v>45204</c:v>
                </c:pt>
                <c:pt idx="524">
                  <c:v>45205</c:v>
                </c:pt>
                <c:pt idx="525">
                  <c:v>45208</c:v>
                </c:pt>
                <c:pt idx="526">
                  <c:v>45209</c:v>
                </c:pt>
                <c:pt idx="527">
                  <c:v>45210</c:v>
                </c:pt>
                <c:pt idx="528">
                  <c:v>45212</c:v>
                </c:pt>
                <c:pt idx="529">
                  <c:v>45215</c:v>
                </c:pt>
                <c:pt idx="530">
                  <c:v>45216</c:v>
                </c:pt>
                <c:pt idx="531">
                  <c:v>45217</c:v>
                </c:pt>
                <c:pt idx="532">
                  <c:v>45218</c:v>
                </c:pt>
                <c:pt idx="533">
                  <c:v>45219</c:v>
                </c:pt>
                <c:pt idx="534">
                  <c:v>45222</c:v>
                </c:pt>
                <c:pt idx="535">
                  <c:v>45223</c:v>
                </c:pt>
                <c:pt idx="536">
                  <c:v>45224</c:v>
                </c:pt>
                <c:pt idx="537">
                  <c:v>45225</c:v>
                </c:pt>
                <c:pt idx="538">
                  <c:v>45226</c:v>
                </c:pt>
                <c:pt idx="539">
                  <c:v>45229</c:v>
                </c:pt>
                <c:pt idx="540">
                  <c:v>45230</c:v>
                </c:pt>
                <c:pt idx="541">
                  <c:v>45231</c:v>
                </c:pt>
                <c:pt idx="542">
                  <c:v>45233</c:v>
                </c:pt>
                <c:pt idx="543">
                  <c:v>45236</c:v>
                </c:pt>
                <c:pt idx="544">
                  <c:v>45237</c:v>
                </c:pt>
                <c:pt idx="545">
                  <c:v>45238</c:v>
                </c:pt>
                <c:pt idx="546">
                  <c:v>45239</c:v>
                </c:pt>
                <c:pt idx="547">
                  <c:v>45240</c:v>
                </c:pt>
                <c:pt idx="548">
                  <c:v>45243</c:v>
                </c:pt>
                <c:pt idx="549">
                  <c:v>45244</c:v>
                </c:pt>
                <c:pt idx="550">
                  <c:v>45246</c:v>
                </c:pt>
                <c:pt idx="551">
                  <c:v>45247</c:v>
                </c:pt>
                <c:pt idx="552">
                  <c:v>45250</c:v>
                </c:pt>
                <c:pt idx="553">
                  <c:v>45251</c:v>
                </c:pt>
                <c:pt idx="554">
                  <c:v>45252</c:v>
                </c:pt>
                <c:pt idx="555">
                  <c:v>45253</c:v>
                </c:pt>
                <c:pt idx="556">
                  <c:v>45254</c:v>
                </c:pt>
                <c:pt idx="557">
                  <c:v>45257</c:v>
                </c:pt>
                <c:pt idx="558">
                  <c:v>45258</c:v>
                </c:pt>
                <c:pt idx="559">
                  <c:v>45259</c:v>
                </c:pt>
                <c:pt idx="560">
                  <c:v>45260</c:v>
                </c:pt>
                <c:pt idx="561">
                  <c:v>45261</c:v>
                </c:pt>
                <c:pt idx="562">
                  <c:v>45264</c:v>
                </c:pt>
                <c:pt idx="563">
                  <c:v>45265</c:v>
                </c:pt>
                <c:pt idx="564">
                  <c:v>45266</c:v>
                </c:pt>
                <c:pt idx="565">
                  <c:v>45267</c:v>
                </c:pt>
                <c:pt idx="566">
                  <c:v>45268</c:v>
                </c:pt>
                <c:pt idx="567">
                  <c:v>45271</c:v>
                </c:pt>
                <c:pt idx="568">
                  <c:v>45272</c:v>
                </c:pt>
                <c:pt idx="569">
                  <c:v>45273</c:v>
                </c:pt>
                <c:pt idx="570">
                  <c:v>45274</c:v>
                </c:pt>
                <c:pt idx="571">
                  <c:v>45275</c:v>
                </c:pt>
                <c:pt idx="572">
                  <c:v>45278</c:v>
                </c:pt>
                <c:pt idx="573">
                  <c:v>45279</c:v>
                </c:pt>
                <c:pt idx="574">
                  <c:v>45280</c:v>
                </c:pt>
                <c:pt idx="575">
                  <c:v>45281</c:v>
                </c:pt>
                <c:pt idx="576">
                  <c:v>45282</c:v>
                </c:pt>
                <c:pt idx="577">
                  <c:v>45286</c:v>
                </c:pt>
                <c:pt idx="578">
                  <c:v>45287</c:v>
                </c:pt>
                <c:pt idx="579">
                  <c:v>45288</c:v>
                </c:pt>
                <c:pt idx="580">
                  <c:v>45293</c:v>
                </c:pt>
                <c:pt idx="581">
                  <c:v>45294</c:v>
                </c:pt>
                <c:pt idx="582">
                  <c:v>45295</c:v>
                </c:pt>
                <c:pt idx="583">
                  <c:v>45296</c:v>
                </c:pt>
                <c:pt idx="584">
                  <c:v>45299</c:v>
                </c:pt>
                <c:pt idx="585">
                  <c:v>45300</c:v>
                </c:pt>
                <c:pt idx="586">
                  <c:v>45301</c:v>
                </c:pt>
                <c:pt idx="587">
                  <c:v>45302</c:v>
                </c:pt>
                <c:pt idx="588">
                  <c:v>45303</c:v>
                </c:pt>
                <c:pt idx="589">
                  <c:v>45306</c:v>
                </c:pt>
                <c:pt idx="590">
                  <c:v>45307</c:v>
                </c:pt>
                <c:pt idx="591">
                  <c:v>45308</c:v>
                </c:pt>
                <c:pt idx="592">
                  <c:v>45309</c:v>
                </c:pt>
                <c:pt idx="593">
                  <c:v>45310</c:v>
                </c:pt>
                <c:pt idx="594">
                  <c:v>45313</c:v>
                </c:pt>
                <c:pt idx="595">
                  <c:v>45314</c:v>
                </c:pt>
                <c:pt idx="596">
                  <c:v>45315</c:v>
                </c:pt>
                <c:pt idx="597">
                  <c:v>45316</c:v>
                </c:pt>
                <c:pt idx="598">
                  <c:v>45317</c:v>
                </c:pt>
                <c:pt idx="599">
                  <c:v>45320</c:v>
                </c:pt>
                <c:pt idx="600">
                  <c:v>45321</c:v>
                </c:pt>
                <c:pt idx="601">
                  <c:v>45322</c:v>
                </c:pt>
                <c:pt idx="602">
                  <c:v>45323</c:v>
                </c:pt>
                <c:pt idx="603">
                  <c:v>45324</c:v>
                </c:pt>
                <c:pt idx="604">
                  <c:v>45327</c:v>
                </c:pt>
                <c:pt idx="605">
                  <c:v>45328</c:v>
                </c:pt>
                <c:pt idx="606">
                  <c:v>45329</c:v>
                </c:pt>
                <c:pt idx="607">
                  <c:v>45330</c:v>
                </c:pt>
                <c:pt idx="608">
                  <c:v>45331</c:v>
                </c:pt>
                <c:pt idx="609">
                  <c:v>45336</c:v>
                </c:pt>
                <c:pt idx="610">
                  <c:v>45337</c:v>
                </c:pt>
                <c:pt idx="611">
                  <c:v>45338</c:v>
                </c:pt>
                <c:pt idx="612">
                  <c:v>45341</c:v>
                </c:pt>
                <c:pt idx="613">
                  <c:v>45342</c:v>
                </c:pt>
                <c:pt idx="614">
                  <c:v>45343</c:v>
                </c:pt>
                <c:pt idx="615">
                  <c:v>45344</c:v>
                </c:pt>
                <c:pt idx="616">
                  <c:v>45345</c:v>
                </c:pt>
                <c:pt idx="617">
                  <c:v>45348</c:v>
                </c:pt>
                <c:pt idx="618">
                  <c:v>45349</c:v>
                </c:pt>
                <c:pt idx="619">
                  <c:v>45350</c:v>
                </c:pt>
                <c:pt idx="620">
                  <c:v>45351</c:v>
                </c:pt>
                <c:pt idx="621">
                  <c:v>45352</c:v>
                </c:pt>
                <c:pt idx="622">
                  <c:v>45355</c:v>
                </c:pt>
                <c:pt idx="623">
                  <c:v>45356</c:v>
                </c:pt>
                <c:pt idx="624">
                  <c:v>45357</c:v>
                </c:pt>
                <c:pt idx="625">
                  <c:v>45358</c:v>
                </c:pt>
                <c:pt idx="626">
                  <c:v>45359</c:v>
                </c:pt>
                <c:pt idx="627">
                  <c:v>45362</c:v>
                </c:pt>
                <c:pt idx="628">
                  <c:v>45363</c:v>
                </c:pt>
                <c:pt idx="629">
                  <c:v>45364</c:v>
                </c:pt>
                <c:pt idx="630">
                  <c:v>45365</c:v>
                </c:pt>
                <c:pt idx="631">
                  <c:v>45366</c:v>
                </c:pt>
                <c:pt idx="632">
                  <c:v>45369</c:v>
                </c:pt>
                <c:pt idx="633">
                  <c:v>45370</c:v>
                </c:pt>
                <c:pt idx="634">
                  <c:v>45371</c:v>
                </c:pt>
                <c:pt idx="635">
                  <c:v>45372</c:v>
                </c:pt>
                <c:pt idx="636">
                  <c:v>45373</c:v>
                </c:pt>
                <c:pt idx="637">
                  <c:v>45376</c:v>
                </c:pt>
                <c:pt idx="638">
                  <c:v>45377</c:v>
                </c:pt>
                <c:pt idx="639">
                  <c:v>45378</c:v>
                </c:pt>
                <c:pt idx="640">
                  <c:v>45379</c:v>
                </c:pt>
                <c:pt idx="641">
                  <c:v>45383</c:v>
                </c:pt>
                <c:pt idx="642">
                  <c:v>45384</c:v>
                </c:pt>
                <c:pt idx="643">
                  <c:v>45385</c:v>
                </c:pt>
                <c:pt idx="644">
                  <c:v>45386</c:v>
                </c:pt>
                <c:pt idx="645">
                  <c:v>45387</c:v>
                </c:pt>
                <c:pt idx="646">
                  <c:v>45390</c:v>
                </c:pt>
                <c:pt idx="647">
                  <c:v>45391</c:v>
                </c:pt>
                <c:pt idx="648">
                  <c:v>45392</c:v>
                </c:pt>
                <c:pt idx="649">
                  <c:v>45393</c:v>
                </c:pt>
                <c:pt idx="650">
                  <c:v>45394</c:v>
                </c:pt>
                <c:pt idx="651">
                  <c:v>45397</c:v>
                </c:pt>
                <c:pt idx="652">
                  <c:v>45398</c:v>
                </c:pt>
                <c:pt idx="653">
                  <c:v>45399</c:v>
                </c:pt>
                <c:pt idx="654">
                  <c:v>45400</c:v>
                </c:pt>
                <c:pt idx="655">
                  <c:v>45401</c:v>
                </c:pt>
                <c:pt idx="656">
                  <c:v>45404</c:v>
                </c:pt>
                <c:pt idx="657">
                  <c:v>45405</c:v>
                </c:pt>
                <c:pt idx="658">
                  <c:v>45406</c:v>
                </c:pt>
                <c:pt idx="659">
                  <c:v>45407</c:v>
                </c:pt>
                <c:pt idx="660">
                  <c:v>45408</c:v>
                </c:pt>
                <c:pt idx="661">
                  <c:v>45411</c:v>
                </c:pt>
                <c:pt idx="662">
                  <c:v>45412</c:v>
                </c:pt>
                <c:pt idx="663">
                  <c:v>45414</c:v>
                </c:pt>
                <c:pt idx="664">
                  <c:v>45415</c:v>
                </c:pt>
                <c:pt idx="665">
                  <c:v>45418</c:v>
                </c:pt>
                <c:pt idx="666">
                  <c:v>45419</c:v>
                </c:pt>
                <c:pt idx="667">
                  <c:v>45420</c:v>
                </c:pt>
                <c:pt idx="668">
                  <c:v>45421</c:v>
                </c:pt>
                <c:pt idx="669">
                  <c:v>45422</c:v>
                </c:pt>
                <c:pt idx="670">
                  <c:v>45425</c:v>
                </c:pt>
                <c:pt idx="671">
                  <c:v>45426</c:v>
                </c:pt>
                <c:pt idx="672">
                  <c:v>45427</c:v>
                </c:pt>
                <c:pt idx="673">
                  <c:v>45428</c:v>
                </c:pt>
                <c:pt idx="674">
                  <c:v>45429</c:v>
                </c:pt>
                <c:pt idx="675">
                  <c:v>45432</c:v>
                </c:pt>
                <c:pt idx="676">
                  <c:v>45433</c:v>
                </c:pt>
                <c:pt idx="677">
                  <c:v>45434</c:v>
                </c:pt>
                <c:pt idx="678">
                  <c:v>45435</c:v>
                </c:pt>
                <c:pt idx="679">
                  <c:v>45436</c:v>
                </c:pt>
                <c:pt idx="680">
                  <c:v>45439</c:v>
                </c:pt>
                <c:pt idx="681">
                  <c:v>45440</c:v>
                </c:pt>
                <c:pt idx="682">
                  <c:v>45441</c:v>
                </c:pt>
                <c:pt idx="683">
                  <c:v>45443</c:v>
                </c:pt>
                <c:pt idx="684">
                  <c:v>45446</c:v>
                </c:pt>
                <c:pt idx="685">
                  <c:v>45447</c:v>
                </c:pt>
                <c:pt idx="686">
                  <c:v>45448</c:v>
                </c:pt>
                <c:pt idx="687">
                  <c:v>45449</c:v>
                </c:pt>
                <c:pt idx="688">
                  <c:v>45450</c:v>
                </c:pt>
                <c:pt idx="689">
                  <c:v>45453</c:v>
                </c:pt>
                <c:pt idx="690">
                  <c:v>45454</c:v>
                </c:pt>
                <c:pt idx="691">
                  <c:v>45455</c:v>
                </c:pt>
                <c:pt idx="692">
                  <c:v>45456</c:v>
                </c:pt>
                <c:pt idx="693">
                  <c:v>45457</c:v>
                </c:pt>
                <c:pt idx="694">
                  <c:v>45460</c:v>
                </c:pt>
                <c:pt idx="695">
                  <c:v>45461</c:v>
                </c:pt>
                <c:pt idx="696">
                  <c:v>45462</c:v>
                </c:pt>
                <c:pt idx="697">
                  <c:v>45463</c:v>
                </c:pt>
                <c:pt idx="698">
                  <c:v>45464</c:v>
                </c:pt>
                <c:pt idx="699">
                  <c:v>45467</c:v>
                </c:pt>
                <c:pt idx="700">
                  <c:v>45468</c:v>
                </c:pt>
                <c:pt idx="701">
                  <c:v>45469</c:v>
                </c:pt>
                <c:pt idx="702">
                  <c:v>45470</c:v>
                </c:pt>
                <c:pt idx="703">
                  <c:v>45471</c:v>
                </c:pt>
                <c:pt idx="704">
                  <c:v>45474</c:v>
                </c:pt>
                <c:pt idx="705">
                  <c:v>45475</c:v>
                </c:pt>
                <c:pt idx="706">
                  <c:v>45476</c:v>
                </c:pt>
                <c:pt idx="707">
                  <c:v>45477</c:v>
                </c:pt>
                <c:pt idx="708">
                  <c:v>45478</c:v>
                </c:pt>
                <c:pt idx="709">
                  <c:v>45481</c:v>
                </c:pt>
                <c:pt idx="710">
                  <c:v>45482</c:v>
                </c:pt>
                <c:pt idx="711">
                  <c:v>45483</c:v>
                </c:pt>
                <c:pt idx="712">
                  <c:v>45484</c:v>
                </c:pt>
                <c:pt idx="713">
                  <c:v>45485</c:v>
                </c:pt>
                <c:pt idx="714">
                  <c:v>45488</c:v>
                </c:pt>
                <c:pt idx="715">
                  <c:v>45489</c:v>
                </c:pt>
                <c:pt idx="716">
                  <c:v>45490</c:v>
                </c:pt>
                <c:pt idx="717">
                  <c:v>45491</c:v>
                </c:pt>
                <c:pt idx="718">
                  <c:v>45492</c:v>
                </c:pt>
                <c:pt idx="719">
                  <c:v>45495</c:v>
                </c:pt>
                <c:pt idx="720">
                  <c:v>45496</c:v>
                </c:pt>
                <c:pt idx="721">
                  <c:v>45497</c:v>
                </c:pt>
                <c:pt idx="722">
                  <c:v>45498</c:v>
                </c:pt>
                <c:pt idx="723">
                  <c:v>45499</c:v>
                </c:pt>
                <c:pt idx="724">
                  <c:v>45502</c:v>
                </c:pt>
                <c:pt idx="725">
                  <c:v>45503</c:v>
                </c:pt>
                <c:pt idx="726">
                  <c:v>45504</c:v>
                </c:pt>
                <c:pt idx="727">
                  <c:v>45505</c:v>
                </c:pt>
                <c:pt idx="728">
                  <c:v>45506</c:v>
                </c:pt>
                <c:pt idx="729">
                  <c:v>45509</c:v>
                </c:pt>
                <c:pt idx="730">
                  <c:v>45510</c:v>
                </c:pt>
                <c:pt idx="731">
                  <c:v>45511</c:v>
                </c:pt>
                <c:pt idx="732">
                  <c:v>45512</c:v>
                </c:pt>
                <c:pt idx="733">
                  <c:v>45513</c:v>
                </c:pt>
                <c:pt idx="734">
                  <c:v>45516</c:v>
                </c:pt>
                <c:pt idx="735">
                  <c:v>45517</c:v>
                </c:pt>
                <c:pt idx="736">
                  <c:v>45518</c:v>
                </c:pt>
                <c:pt idx="737">
                  <c:v>45519</c:v>
                </c:pt>
                <c:pt idx="738">
                  <c:v>45520</c:v>
                </c:pt>
                <c:pt idx="739">
                  <c:v>45523</c:v>
                </c:pt>
                <c:pt idx="740">
                  <c:v>45524</c:v>
                </c:pt>
                <c:pt idx="741">
                  <c:v>45525</c:v>
                </c:pt>
                <c:pt idx="742">
                  <c:v>45526</c:v>
                </c:pt>
                <c:pt idx="743">
                  <c:v>45527</c:v>
                </c:pt>
                <c:pt idx="744">
                  <c:v>45530</c:v>
                </c:pt>
                <c:pt idx="745">
                  <c:v>45531</c:v>
                </c:pt>
                <c:pt idx="746">
                  <c:v>45532</c:v>
                </c:pt>
                <c:pt idx="747">
                  <c:v>45533</c:v>
                </c:pt>
                <c:pt idx="748">
                  <c:v>45534</c:v>
                </c:pt>
                <c:pt idx="749">
                  <c:v>45537</c:v>
                </c:pt>
                <c:pt idx="750">
                  <c:v>45538</c:v>
                </c:pt>
                <c:pt idx="751">
                  <c:v>45539</c:v>
                </c:pt>
                <c:pt idx="752">
                  <c:v>45540</c:v>
                </c:pt>
                <c:pt idx="753">
                  <c:v>45541</c:v>
                </c:pt>
                <c:pt idx="754">
                  <c:v>45544</c:v>
                </c:pt>
                <c:pt idx="755">
                  <c:v>45545</c:v>
                </c:pt>
                <c:pt idx="756">
                  <c:v>45546</c:v>
                </c:pt>
                <c:pt idx="757">
                  <c:v>45547</c:v>
                </c:pt>
                <c:pt idx="758">
                  <c:v>45548</c:v>
                </c:pt>
                <c:pt idx="759">
                  <c:v>45551</c:v>
                </c:pt>
                <c:pt idx="760">
                  <c:v>45552</c:v>
                </c:pt>
                <c:pt idx="761">
                  <c:v>45553</c:v>
                </c:pt>
                <c:pt idx="762">
                  <c:v>45554</c:v>
                </c:pt>
                <c:pt idx="763">
                  <c:v>45555</c:v>
                </c:pt>
                <c:pt idx="764">
                  <c:v>45558</c:v>
                </c:pt>
                <c:pt idx="765">
                  <c:v>45559</c:v>
                </c:pt>
                <c:pt idx="766">
                  <c:v>45560</c:v>
                </c:pt>
                <c:pt idx="767">
                  <c:v>45561</c:v>
                </c:pt>
                <c:pt idx="768">
                  <c:v>45562</c:v>
                </c:pt>
                <c:pt idx="769">
                  <c:v>45565</c:v>
                </c:pt>
                <c:pt idx="770">
                  <c:v>45566</c:v>
                </c:pt>
                <c:pt idx="771">
                  <c:v>45567</c:v>
                </c:pt>
                <c:pt idx="772">
                  <c:v>45568</c:v>
                </c:pt>
                <c:pt idx="773">
                  <c:v>45569</c:v>
                </c:pt>
                <c:pt idx="774">
                  <c:v>45572</c:v>
                </c:pt>
                <c:pt idx="775">
                  <c:v>45573</c:v>
                </c:pt>
                <c:pt idx="776">
                  <c:v>45574</c:v>
                </c:pt>
                <c:pt idx="777">
                  <c:v>45575</c:v>
                </c:pt>
                <c:pt idx="778">
                  <c:v>45576</c:v>
                </c:pt>
                <c:pt idx="779">
                  <c:v>45579</c:v>
                </c:pt>
                <c:pt idx="780">
                  <c:v>45580</c:v>
                </c:pt>
                <c:pt idx="781">
                  <c:v>45581</c:v>
                </c:pt>
                <c:pt idx="782">
                  <c:v>45582</c:v>
                </c:pt>
                <c:pt idx="783">
                  <c:v>45583</c:v>
                </c:pt>
                <c:pt idx="784">
                  <c:v>45586</c:v>
                </c:pt>
                <c:pt idx="785">
                  <c:v>45587</c:v>
                </c:pt>
                <c:pt idx="786">
                  <c:v>45588</c:v>
                </c:pt>
                <c:pt idx="787">
                  <c:v>45589</c:v>
                </c:pt>
                <c:pt idx="788">
                  <c:v>45590</c:v>
                </c:pt>
                <c:pt idx="789">
                  <c:v>45593</c:v>
                </c:pt>
                <c:pt idx="790">
                  <c:v>45594</c:v>
                </c:pt>
                <c:pt idx="791">
                  <c:v>45595</c:v>
                </c:pt>
                <c:pt idx="792">
                  <c:v>45596</c:v>
                </c:pt>
                <c:pt idx="793">
                  <c:v>45597</c:v>
                </c:pt>
                <c:pt idx="794">
                  <c:v>45600</c:v>
                </c:pt>
                <c:pt idx="795">
                  <c:v>45601</c:v>
                </c:pt>
                <c:pt idx="796">
                  <c:v>45602</c:v>
                </c:pt>
                <c:pt idx="797">
                  <c:v>45603</c:v>
                </c:pt>
                <c:pt idx="798">
                  <c:v>45604</c:v>
                </c:pt>
                <c:pt idx="799">
                  <c:v>45607</c:v>
                </c:pt>
                <c:pt idx="800">
                  <c:v>45608</c:v>
                </c:pt>
                <c:pt idx="801">
                  <c:v>45609</c:v>
                </c:pt>
                <c:pt idx="802">
                  <c:v>45610</c:v>
                </c:pt>
                <c:pt idx="803">
                  <c:v>45614</c:v>
                </c:pt>
                <c:pt idx="804">
                  <c:v>45615</c:v>
                </c:pt>
                <c:pt idx="805">
                  <c:v>45617</c:v>
                </c:pt>
                <c:pt idx="806">
                  <c:v>45618</c:v>
                </c:pt>
                <c:pt idx="807">
                  <c:v>45621</c:v>
                </c:pt>
                <c:pt idx="808">
                  <c:v>45622</c:v>
                </c:pt>
                <c:pt idx="809">
                  <c:v>45623</c:v>
                </c:pt>
                <c:pt idx="810">
                  <c:v>45624</c:v>
                </c:pt>
                <c:pt idx="811">
                  <c:v>45625</c:v>
                </c:pt>
                <c:pt idx="812">
                  <c:v>45628</c:v>
                </c:pt>
                <c:pt idx="813">
                  <c:v>45629</c:v>
                </c:pt>
                <c:pt idx="814">
                  <c:v>45630</c:v>
                </c:pt>
                <c:pt idx="815">
                  <c:v>45631</c:v>
                </c:pt>
                <c:pt idx="816">
                  <c:v>45632</c:v>
                </c:pt>
                <c:pt idx="817">
                  <c:v>45635</c:v>
                </c:pt>
                <c:pt idx="818">
                  <c:v>45636</c:v>
                </c:pt>
                <c:pt idx="819">
                  <c:v>45637</c:v>
                </c:pt>
                <c:pt idx="820">
                  <c:v>45638</c:v>
                </c:pt>
                <c:pt idx="821">
                  <c:v>45639</c:v>
                </c:pt>
                <c:pt idx="822">
                  <c:v>45642</c:v>
                </c:pt>
                <c:pt idx="823">
                  <c:v>45643</c:v>
                </c:pt>
                <c:pt idx="824">
                  <c:v>45644</c:v>
                </c:pt>
                <c:pt idx="825">
                  <c:v>45645</c:v>
                </c:pt>
                <c:pt idx="826">
                  <c:v>45646</c:v>
                </c:pt>
                <c:pt idx="827">
                  <c:v>45649</c:v>
                </c:pt>
                <c:pt idx="828">
                  <c:v>45652</c:v>
                </c:pt>
                <c:pt idx="829">
                  <c:v>45653</c:v>
                </c:pt>
                <c:pt idx="830">
                  <c:v>45656</c:v>
                </c:pt>
                <c:pt idx="831">
                  <c:v>45659</c:v>
                </c:pt>
                <c:pt idx="832">
                  <c:v>45660</c:v>
                </c:pt>
                <c:pt idx="833">
                  <c:v>45663</c:v>
                </c:pt>
                <c:pt idx="834">
                  <c:v>45664</c:v>
                </c:pt>
                <c:pt idx="835">
                  <c:v>45665</c:v>
                </c:pt>
                <c:pt idx="836">
                  <c:v>45666</c:v>
                </c:pt>
                <c:pt idx="837">
                  <c:v>45667</c:v>
                </c:pt>
                <c:pt idx="838">
                  <c:v>45670</c:v>
                </c:pt>
                <c:pt idx="839">
                  <c:v>45671</c:v>
                </c:pt>
                <c:pt idx="840">
                  <c:v>45672</c:v>
                </c:pt>
                <c:pt idx="841">
                  <c:v>45673</c:v>
                </c:pt>
                <c:pt idx="842">
                  <c:v>45674</c:v>
                </c:pt>
                <c:pt idx="843">
                  <c:v>45677</c:v>
                </c:pt>
                <c:pt idx="844">
                  <c:v>45678</c:v>
                </c:pt>
                <c:pt idx="845">
                  <c:v>45679</c:v>
                </c:pt>
                <c:pt idx="846">
                  <c:v>45680</c:v>
                </c:pt>
                <c:pt idx="847">
                  <c:v>45681</c:v>
                </c:pt>
                <c:pt idx="848">
                  <c:v>45684</c:v>
                </c:pt>
                <c:pt idx="849">
                  <c:v>45685</c:v>
                </c:pt>
                <c:pt idx="850">
                  <c:v>45686</c:v>
                </c:pt>
                <c:pt idx="851">
                  <c:v>45687</c:v>
                </c:pt>
                <c:pt idx="852">
                  <c:v>45688</c:v>
                </c:pt>
                <c:pt idx="853">
                  <c:v>45691</c:v>
                </c:pt>
                <c:pt idx="854">
                  <c:v>45692</c:v>
                </c:pt>
                <c:pt idx="855">
                  <c:v>45693</c:v>
                </c:pt>
                <c:pt idx="856">
                  <c:v>45694</c:v>
                </c:pt>
                <c:pt idx="857">
                  <c:v>45695</c:v>
                </c:pt>
                <c:pt idx="858">
                  <c:v>45698</c:v>
                </c:pt>
                <c:pt idx="859">
                  <c:v>45699</c:v>
                </c:pt>
                <c:pt idx="860">
                  <c:v>45700</c:v>
                </c:pt>
                <c:pt idx="861">
                  <c:v>45701</c:v>
                </c:pt>
                <c:pt idx="862">
                  <c:v>45702</c:v>
                </c:pt>
                <c:pt idx="863">
                  <c:v>45705</c:v>
                </c:pt>
                <c:pt idx="864">
                  <c:v>45706</c:v>
                </c:pt>
                <c:pt idx="865">
                  <c:v>45707</c:v>
                </c:pt>
                <c:pt idx="866">
                  <c:v>45708</c:v>
                </c:pt>
                <c:pt idx="867">
                  <c:v>45709</c:v>
                </c:pt>
                <c:pt idx="868">
                  <c:v>45712</c:v>
                </c:pt>
                <c:pt idx="869">
                  <c:v>45713</c:v>
                </c:pt>
                <c:pt idx="870">
                  <c:v>45714</c:v>
                </c:pt>
                <c:pt idx="871">
                  <c:v>45715</c:v>
                </c:pt>
                <c:pt idx="872">
                  <c:v>45716</c:v>
                </c:pt>
                <c:pt idx="873">
                  <c:v>45721</c:v>
                </c:pt>
                <c:pt idx="874">
                  <c:v>45722</c:v>
                </c:pt>
                <c:pt idx="875">
                  <c:v>45723</c:v>
                </c:pt>
                <c:pt idx="876">
                  <c:v>45726</c:v>
                </c:pt>
                <c:pt idx="877">
                  <c:v>45727</c:v>
                </c:pt>
                <c:pt idx="878">
                  <c:v>45728</c:v>
                </c:pt>
                <c:pt idx="879">
                  <c:v>45729</c:v>
                </c:pt>
                <c:pt idx="880">
                  <c:v>45730</c:v>
                </c:pt>
                <c:pt idx="881">
                  <c:v>45733</c:v>
                </c:pt>
                <c:pt idx="882">
                  <c:v>45734</c:v>
                </c:pt>
                <c:pt idx="883">
                  <c:v>45735</c:v>
                </c:pt>
                <c:pt idx="884">
                  <c:v>45736</c:v>
                </c:pt>
                <c:pt idx="885">
                  <c:v>45737</c:v>
                </c:pt>
                <c:pt idx="886">
                  <c:v>45740</c:v>
                </c:pt>
                <c:pt idx="887">
                  <c:v>45741</c:v>
                </c:pt>
                <c:pt idx="888">
                  <c:v>45742</c:v>
                </c:pt>
                <c:pt idx="889">
                  <c:v>45743</c:v>
                </c:pt>
                <c:pt idx="890">
                  <c:v>45744</c:v>
                </c:pt>
                <c:pt idx="891">
                  <c:v>45747</c:v>
                </c:pt>
                <c:pt idx="892">
                  <c:v>45748</c:v>
                </c:pt>
                <c:pt idx="893">
                  <c:v>45749</c:v>
                </c:pt>
                <c:pt idx="894">
                  <c:v>45750</c:v>
                </c:pt>
                <c:pt idx="895">
                  <c:v>45751</c:v>
                </c:pt>
                <c:pt idx="896">
                  <c:v>45754</c:v>
                </c:pt>
                <c:pt idx="897">
                  <c:v>45755</c:v>
                </c:pt>
                <c:pt idx="898">
                  <c:v>45756</c:v>
                </c:pt>
                <c:pt idx="899">
                  <c:v>45757</c:v>
                </c:pt>
                <c:pt idx="900">
                  <c:v>45758</c:v>
                </c:pt>
                <c:pt idx="901">
                  <c:v>45761</c:v>
                </c:pt>
                <c:pt idx="902">
                  <c:v>45762</c:v>
                </c:pt>
                <c:pt idx="903">
                  <c:v>45763</c:v>
                </c:pt>
                <c:pt idx="904">
                  <c:v>45764</c:v>
                </c:pt>
                <c:pt idx="905">
                  <c:v>45769</c:v>
                </c:pt>
                <c:pt idx="906">
                  <c:v>45770</c:v>
                </c:pt>
                <c:pt idx="907">
                  <c:v>45771</c:v>
                </c:pt>
                <c:pt idx="908">
                  <c:v>45772</c:v>
                </c:pt>
                <c:pt idx="909">
                  <c:v>45775</c:v>
                </c:pt>
                <c:pt idx="910">
                  <c:v>45776</c:v>
                </c:pt>
                <c:pt idx="911">
                  <c:v>45777</c:v>
                </c:pt>
                <c:pt idx="912">
                  <c:v>45779</c:v>
                </c:pt>
                <c:pt idx="913">
                  <c:v>45782</c:v>
                </c:pt>
                <c:pt idx="914">
                  <c:v>45783</c:v>
                </c:pt>
                <c:pt idx="915">
                  <c:v>45784</c:v>
                </c:pt>
                <c:pt idx="916">
                  <c:v>45785</c:v>
                </c:pt>
                <c:pt idx="917">
                  <c:v>45786</c:v>
                </c:pt>
                <c:pt idx="918">
                  <c:v>45789</c:v>
                </c:pt>
                <c:pt idx="919">
                  <c:v>45790</c:v>
                </c:pt>
                <c:pt idx="920">
                  <c:v>45791</c:v>
                </c:pt>
                <c:pt idx="921">
                  <c:v>45792</c:v>
                </c:pt>
                <c:pt idx="922">
                  <c:v>45793</c:v>
                </c:pt>
                <c:pt idx="923">
                  <c:v>45796</c:v>
                </c:pt>
                <c:pt idx="924">
                  <c:v>45797</c:v>
                </c:pt>
                <c:pt idx="925">
                  <c:v>45798</c:v>
                </c:pt>
                <c:pt idx="926">
                  <c:v>45799</c:v>
                </c:pt>
                <c:pt idx="927">
                  <c:v>45800</c:v>
                </c:pt>
                <c:pt idx="928">
                  <c:v>45803</c:v>
                </c:pt>
                <c:pt idx="929">
                  <c:v>45804</c:v>
                </c:pt>
                <c:pt idx="930">
                  <c:v>45805</c:v>
                </c:pt>
                <c:pt idx="931">
                  <c:v>45806</c:v>
                </c:pt>
                <c:pt idx="932">
                  <c:v>45807</c:v>
                </c:pt>
                <c:pt idx="933">
                  <c:v>45810</c:v>
                </c:pt>
                <c:pt idx="934">
                  <c:v>45811</c:v>
                </c:pt>
                <c:pt idx="935">
                  <c:v>45812</c:v>
                </c:pt>
                <c:pt idx="936">
                  <c:v>45813</c:v>
                </c:pt>
                <c:pt idx="937">
                  <c:v>45814</c:v>
                </c:pt>
                <c:pt idx="938">
                  <c:v>45817</c:v>
                </c:pt>
                <c:pt idx="939">
                  <c:v>45818</c:v>
                </c:pt>
                <c:pt idx="940">
                  <c:v>45819</c:v>
                </c:pt>
                <c:pt idx="941">
                  <c:v>45820</c:v>
                </c:pt>
                <c:pt idx="942">
                  <c:v>45821</c:v>
                </c:pt>
                <c:pt idx="943">
                  <c:v>45824</c:v>
                </c:pt>
                <c:pt idx="944">
                  <c:v>45825</c:v>
                </c:pt>
                <c:pt idx="945">
                  <c:v>45826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45982</c:v>
                </c:pt>
                <c:pt idx="1056">
                  <c:v>45985</c:v>
                </c:pt>
                <c:pt idx="1057">
                  <c:v>45986</c:v>
                </c:pt>
                <c:pt idx="1058">
                  <c:v>45987</c:v>
                </c:pt>
                <c:pt idx="1059">
                  <c:v>45988</c:v>
                </c:pt>
                <c:pt idx="1060">
                  <c:v>45989</c:v>
                </c:pt>
                <c:pt idx="1061">
                  <c:v>45992</c:v>
                </c:pt>
                <c:pt idx="1062">
                  <c:v>45993</c:v>
                </c:pt>
                <c:pt idx="1063">
                  <c:v>45994</c:v>
                </c:pt>
                <c:pt idx="1064">
                  <c:v>45995</c:v>
                </c:pt>
                <c:pt idx="1065">
                  <c:v>45996</c:v>
                </c:pt>
                <c:pt idx="1066">
                  <c:v>45999</c:v>
                </c:pt>
                <c:pt idx="1067">
                  <c:v>46000</c:v>
                </c:pt>
                <c:pt idx="1068">
                  <c:v>46001</c:v>
                </c:pt>
                <c:pt idx="1069">
                  <c:v>46002</c:v>
                </c:pt>
                <c:pt idx="1070">
                  <c:v>46003</c:v>
                </c:pt>
                <c:pt idx="1071">
                  <c:v>46006</c:v>
                </c:pt>
                <c:pt idx="1072">
                  <c:v>46007</c:v>
                </c:pt>
                <c:pt idx="1073">
                  <c:v>46008</c:v>
                </c:pt>
                <c:pt idx="1074">
                  <c:v>46009</c:v>
                </c:pt>
                <c:pt idx="1075">
                  <c:v>46010</c:v>
                </c:pt>
                <c:pt idx="1076">
                  <c:v>46013</c:v>
                </c:pt>
                <c:pt idx="1077">
                  <c:v>46014</c:v>
                </c:pt>
                <c:pt idx="1078">
                  <c:v>46017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46118</c:v>
                </c:pt>
                <c:pt idx="1145">
                  <c:v>46119</c:v>
                </c:pt>
                <c:pt idx="1146">
                  <c:v>46120</c:v>
                </c:pt>
                <c:pt idx="1147">
                  <c:v>46121</c:v>
                </c:pt>
                <c:pt idx="1148">
                  <c:v>46122</c:v>
                </c:pt>
                <c:pt idx="1149">
                  <c:v>46125</c:v>
                </c:pt>
                <c:pt idx="1150">
                  <c:v>46126</c:v>
                </c:pt>
                <c:pt idx="1151">
                  <c:v>46127</c:v>
                </c:pt>
                <c:pt idx="1152">
                  <c:v>46128</c:v>
                </c:pt>
                <c:pt idx="1153">
                  <c:v>46129</c:v>
                </c:pt>
                <c:pt idx="1154">
                  <c:v>46132</c:v>
                </c:pt>
                <c:pt idx="1155">
                  <c:v>46134</c:v>
                </c:pt>
                <c:pt idx="1156">
                  <c:v>46135</c:v>
                </c:pt>
                <c:pt idx="1157">
                  <c:v>46136</c:v>
                </c:pt>
                <c:pt idx="1158">
                  <c:v>46139</c:v>
                </c:pt>
                <c:pt idx="1159">
                  <c:v>46140</c:v>
                </c:pt>
                <c:pt idx="1160">
                  <c:v>46141</c:v>
                </c:pt>
                <c:pt idx="1161">
                  <c:v>46142</c:v>
                </c:pt>
                <c:pt idx="1162">
                  <c:v>46146</c:v>
                </c:pt>
                <c:pt idx="1163">
                  <c:v>46147</c:v>
                </c:pt>
                <c:pt idx="1164">
                  <c:v>46148</c:v>
                </c:pt>
                <c:pt idx="1165">
                  <c:v>46149</c:v>
                </c:pt>
                <c:pt idx="1166">
                  <c:v>46150</c:v>
                </c:pt>
                <c:pt idx="1167">
                  <c:v>46153</c:v>
                </c:pt>
                <c:pt idx="1168">
                  <c:v>46154</c:v>
                </c:pt>
                <c:pt idx="1169">
                  <c:v>46155</c:v>
                </c:pt>
                <c:pt idx="1170">
                  <c:v>46156</c:v>
                </c:pt>
                <c:pt idx="1171">
                  <c:v>46157</c:v>
                </c:pt>
                <c:pt idx="1172">
                  <c:v>46160</c:v>
                </c:pt>
                <c:pt idx="1173">
                  <c:v>46161</c:v>
                </c:pt>
                <c:pt idx="1174">
                  <c:v>46162</c:v>
                </c:pt>
                <c:pt idx="1175">
                  <c:v>46163</c:v>
                </c:pt>
                <c:pt idx="1176">
                  <c:v>46164</c:v>
                </c:pt>
                <c:pt idx="1177">
                  <c:v>46167</c:v>
                </c:pt>
                <c:pt idx="1178">
                  <c:v>46168</c:v>
                </c:pt>
                <c:pt idx="1179">
                  <c:v>46169</c:v>
                </c:pt>
                <c:pt idx="1180">
                  <c:v>46170</c:v>
                </c:pt>
                <c:pt idx="1181">
                  <c:v>46171</c:v>
                </c:pt>
                <c:pt idx="1182">
                  <c:v>46174</c:v>
                </c:pt>
                <c:pt idx="1183">
                  <c:v>46175</c:v>
                </c:pt>
                <c:pt idx="1184">
                  <c:v>46176</c:v>
                </c:pt>
                <c:pt idx="1185">
                  <c:v>46178</c:v>
                </c:pt>
                <c:pt idx="1186">
                  <c:v>46181</c:v>
                </c:pt>
                <c:pt idx="1187">
                  <c:v>46182</c:v>
                </c:pt>
                <c:pt idx="1188">
                  <c:v>46183</c:v>
                </c:pt>
                <c:pt idx="1189">
                  <c:v>46184</c:v>
                </c:pt>
                <c:pt idx="1190">
                  <c:v>46185</c:v>
                </c:pt>
                <c:pt idx="1191">
                  <c:v>46188</c:v>
                </c:pt>
                <c:pt idx="1192">
                  <c:v>46189</c:v>
                </c:pt>
                <c:pt idx="1193">
                  <c:v>46190</c:v>
                </c:pt>
                <c:pt idx="1194">
                  <c:v>46191</c:v>
                </c:pt>
                <c:pt idx="1195">
                  <c:v>46192</c:v>
                </c:pt>
                <c:pt idx="1196">
                  <c:v>46195</c:v>
                </c:pt>
                <c:pt idx="1197">
                  <c:v>46196</c:v>
                </c:pt>
                <c:pt idx="1198">
                  <c:v>46197</c:v>
                </c:pt>
                <c:pt idx="1199">
                  <c:v>46198</c:v>
                </c:pt>
                <c:pt idx="1200">
                  <c:v>46199</c:v>
                </c:pt>
                <c:pt idx="1201">
                  <c:v>46202</c:v>
                </c:pt>
                <c:pt idx="1202">
                  <c:v>46203</c:v>
                </c:pt>
                <c:pt idx="1203">
                  <c:v>46204</c:v>
                </c:pt>
                <c:pt idx="1204">
                  <c:v>46205</c:v>
                </c:pt>
                <c:pt idx="1205">
                  <c:v>46206</c:v>
                </c:pt>
                <c:pt idx="1206">
                  <c:v>46209</c:v>
                </c:pt>
                <c:pt idx="1207">
                  <c:v>46210</c:v>
                </c:pt>
                <c:pt idx="1208">
                  <c:v>46211</c:v>
                </c:pt>
                <c:pt idx="1209">
                  <c:v>46212</c:v>
                </c:pt>
                <c:pt idx="1210">
                  <c:v>46213</c:v>
                </c:pt>
                <c:pt idx="1211">
                  <c:v>46216</c:v>
                </c:pt>
                <c:pt idx="1212">
                  <c:v>46217</c:v>
                </c:pt>
                <c:pt idx="1213">
                  <c:v>46218</c:v>
                </c:pt>
                <c:pt idx="1214">
                  <c:v>46219</c:v>
                </c:pt>
                <c:pt idx="1215">
                  <c:v>46220</c:v>
                </c:pt>
                <c:pt idx="1216">
                  <c:v>46223</c:v>
                </c:pt>
                <c:pt idx="1217">
                  <c:v>46224</c:v>
                </c:pt>
                <c:pt idx="1218">
                  <c:v>46225</c:v>
                </c:pt>
                <c:pt idx="1219">
                  <c:v>46226</c:v>
                </c:pt>
                <c:pt idx="1220">
                  <c:v>46227</c:v>
                </c:pt>
                <c:pt idx="1221">
                  <c:v>46230</c:v>
                </c:pt>
                <c:pt idx="1222">
                  <c:v>46231</c:v>
                </c:pt>
                <c:pt idx="1223">
                  <c:v>46232</c:v>
                </c:pt>
                <c:pt idx="1224">
                  <c:v>46233</c:v>
                </c:pt>
                <c:pt idx="1225">
                  <c:v>46234</c:v>
                </c:pt>
                <c:pt idx="1226">
                  <c:v>46237</c:v>
                </c:pt>
                <c:pt idx="1227">
                  <c:v>46238</c:v>
                </c:pt>
                <c:pt idx="1228">
                  <c:v>46239</c:v>
                </c:pt>
                <c:pt idx="1229">
                  <c:v>46240</c:v>
                </c:pt>
                <c:pt idx="1230">
                  <c:v>46241</c:v>
                </c:pt>
                <c:pt idx="1231">
                  <c:v>46244</c:v>
                </c:pt>
                <c:pt idx="1232">
                  <c:v>46245</c:v>
                </c:pt>
                <c:pt idx="1233">
                  <c:v>46246</c:v>
                </c:pt>
                <c:pt idx="1234">
                  <c:v>46247</c:v>
                </c:pt>
                <c:pt idx="1235">
                  <c:v>46248</c:v>
                </c:pt>
                <c:pt idx="1236">
                  <c:v>46251</c:v>
                </c:pt>
                <c:pt idx="1237">
                  <c:v>46252</c:v>
                </c:pt>
                <c:pt idx="1238">
                  <c:v>46253</c:v>
                </c:pt>
                <c:pt idx="1239">
                  <c:v>46254</c:v>
                </c:pt>
                <c:pt idx="1240">
                  <c:v>46255</c:v>
                </c:pt>
                <c:pt idx="1241">
                  <c:v>46258</c:v>
                </c:pt>
                <c:pt idx="1242">
                  <c:v>46259</c:v>
                </c:pt>
                <c:pt idx="1243">
                  <c:v>46260</c:v>
                </c:pt>
                <c:pt idx="1244">
                  <c:v>46261</c:v>
                </c:pt>
                <c:pt idx="1245">
                  <c:v>46262</c:v>
                </c:pt>
                <c:pt idx="1246">
                  <c:v>46265</c:v>
                </c:pt>
              </c:numCache>
            </c:numRef>
          </c:cat>
          <c:val>
            <c:numRef>
              <c:f>Dados!$C$2:$C$1248</c:f>
              <c:numCache>
                <c:formatCode>General</c:formatCode>
                <c:ptCount val="1247"/>
                <c:pt idx="0">
                  <c:v>119396</c:v>
                </c:pt>
                <c:pt idx="1">
                  <c:v>116677</c:v>
                </c:pt>
                <c:pt idx="2">
                  <c:v>116933</c:v>
                </c:pt>
                <c:pt idx="3">
                  <c:v>117869</c:v>
                </c:pt>
                <c:pt idx="4">
                  <c:v>113413</c:v>
                </c:pt>
                <c:pt idx="5">
                  <c:v>115361</c:v>
                </c:pt>
                <c:pt idx="6">
                  <c:v>114286</c:v>
                </c:pt>
                <c:pt idx="7">
                  <c:v>116404</c:v>
                </c:pt>
                <c:pt idx="8">
                  <c:v>116181</c:v>
                </c:pt>
                <c:pt idx="9">
                  <c:v>115063</c:v>
                </c:pt>
                <c:pt idx="10">
                  <c:v>113794</c:v>
                </c:pt>
                <c:pt idx="11">
                  <c:v>111439</c:v>
                </c:pt>
                <c:pt idx="12">
                  <c:v>108844</c:v>
                </c:pt>
                <c:pt idx="13">
                  <c:v>110250</c:v>
                </c:pt>
                <c:pt idx="14">
                  <c:v>112282</c:v>
                </c:pt>
                <c:pt idx="15">
                  <c:v>114064</c:v>
                </c:pt>
                <c:pt idx="16">
                  <c:v>113283</c:v>
                </c:pt>
                <c:pt idx="17">
                  <c:v>113583</c:v>
                </c:pt>
                <c:pt idx="18">
                  <c:v>110124</c:v>
                </c:pt>
                <c:pt idx="19">
                  <c:v>111107</c:v>
                </c:pt>
                <c:pt idx="20">
                  <c:v>110979</c:v>
                </c:pt>
                <c:pt idx="21">
                  <c:v>112900</c:v>
                </c:pt>
                <c:pt idx="22">
                  <c:v>110393</c:v>
                </c:pt>
                <c:pt idx="23">
                  <c:v>110458</c:v>
                </c:pt>
                <c:pt idx="24">
                  <c:v>110560</c:v>
                </c:pt>
                <c:pt idx="25">
                  <c:v>110585</c:v>
                </c:pt>
                <c:pt idx="26">
                  <c:v>112833</c:v>
                </c:pt>
                <c:pt idx="27">
                  <c:v>112180</c:v>
                </c:pt>
                <c:pt idx="28">
                  <c:v>113456</c:v>
                </c:pt>
                <c:pt idx="29">
                  <c:v>113185</c:v>
                </c:pt>
                <c:pt idx="30">
                  <c:v>114648</c:v>
                </c:pt>
                <c:pt idx="31">
                  <c:v>114428</c:v>
                </c:pt>
                <c:pt idx="32">
                  <c:v>110673</c:v>
                </c:pt>
                <c:pt idx="33">
                  <c:v>110786</c:v>
                </c:pt>
                <c:pt idx="34">
                  <c:v>107735</c:v>
                </c:pt>
                <c:pt idx="35">
                  <c:v>106296</c:v>
                </c:pt>
                <c:pt idx="36">
                  <c:v>108715</c:v>
                </c:pt>
                <c:pt idx="37">
                  <c:v>106420</c:v>
                </c:pt>
                <c:pt idx="38">
                  <c:v>106363</c:v>
                </c:pt>
                <c:pt idx="39">
                  <c:v>105705</c:v>
                </c:pt>
                <c:pt idx="40">
                  <c:v>103501</c:v>
                </c:pt>
                <c:pt idx="41">
                  <c:v>105551</c:v>
                </c:pt>
                <c:pt idx="42">
                  <c:v>105617</c:v>
                </c:pt>
                <c:pt idx="43">
                  <c:v>103412</c:v>
                </c:pt>
                <c:pt idx="44">
                  <c:v>104824</c:v>
                </c:pt>
                <c:pt idx="45">
                  <c:v>104781</c:v>
                </c:pt>
                <c:pt idx="46">
                  <c:v>105535</c:v>
                </c:pt>
                <c:pt idx="47">
                  <c:v>105968</c:v>
                </c:pt>
                <c:pt idx="48">
                  <c:v>107595</c:v>
                </c:pt>
                <c:pt idx="49">
                  <c:v>106335</c:v>
                </c:pt>
                <c:pt idx="50">
                  <c:v>104404</c:v>
                </c:pt>
                <c:pt idx="51">
                  <c:v>102948</c:v>
                </c:pt>
                <c:pt idx="52">
                  <c:v>102426</c:v>
                </c:pt>
                <c:pt idx="53">
                  <c:v>103035</c:v>
                </c:pt>
                <c:pt idx="54">
                  <c:v>102122</c:v>
                </c:pt>
                <c:pt idx="55">
                  <c:v>103654</c:v>
                </c:pt>
                <c:pt idx="56">
                  <c:v>104514</c:v>
                </c:pt>
                <c:pt idx="57">
                  <c:v>105811</c:v>
                </c:pt>
                <c:pt idx="58">
                  <c:v>102224</c:v>
                </c:pt>
                <c:pt idx="59">
                  <c:v>102814</c:v>
                </c:pt>
                <c:pt idx="60">
                  <c:v>101915</c:v>
                </c:pt>
                <c:pt idx="61">
                  <c:v>100775</c:v>
                </c:pt>
                <c:pt idx="62">
                  <c:v>104466</c:v>
                </c:pt>
                <c:pt idx="63">
                  <c:v>105070</c:v>
                </c:pt>
                <c:pt idx="64">
                  <c:v>106859</c:v>
                </c:pt>
                <c:pt idx="65">
                  <c:v>107558</c:v>
                </c:pt>
                <c:pt idx="66">
                  <c:v>108096</c:v>
                </c:pt>
                <c:pt idx="67">
                  <c:v>106291</c:v>
                </c:pt>
                <c:pt idx="68">
                  <c:v>107758</c:v>
                </c:pt>
                <c:pt idx="69">
                  <c:v>107383</c:v>
                </c:pt>
                <c:pt idx="70">
                  <c:v>106760</c:v>
                </c:pt>
                <c:pt idx="71">
                  <c:v>107431</c:v>
                </c:pt>
                <c:pt idx="72">
                  <c:v>108326</c:v>
                </c:pt>
                <c:pt idx="73">
                  <c:v>107201</c:v>
                </c:pt>
                <c:pt idx="74">
                  <c:v>105020</c:v>
                </c:pt>
                <c:pt idx="75">
                  <c:v>105500</c:v>
                </c:pt>
                <c:pt idx="76">
                  <c:v>105244</c:v>
                </c:pt>
                <c:pt idx="77">
                  <c:v>104891</c:v>
                </c:pt>
                <c:pt idx="78">
                  <c:v>105554</c:v>
                </c:pt>
                <c:pt idx="79">
                  <c:v>104864</c:v>
                </c:pt>
                <c:pt idx="80">
                  <c:v>104107</c:v>
                </c:pt>
                <c:pt idx="81">
                  <c:v>104822</c:v>
                </c:pt>
                <c:pt idx="82">
                  <c:v>103922</c:v>
                </c:pt>
                <c:pt idx="83">
                  <c:v>103514</c:v>
                </c:pt>
                <c:pt idx="84">
                  <c:v>101006</c:v>
                </c:pt>
                <c:pt idx="85">
                  <c:v>101561</c:v>
                </c:pt>
                <c:pt idx="86">
                  <c:v>102719</c:v>
                </c:pt>
                <c:pt idx="87">
                  <c:v>101945</c:v>
                </c:pt>
                <c:pt idx="88">
                  <c:v>103779</c:v>
                </c:pt>
                <c:pt idx="89">
                  <c:v>105686</c:v>
                </c:pt>
                <c:pt idx="90">
                  <c:v>105530</c:v>
                </c:pt>
                <c:pt idx="91">
                  <c:v>106928</c:v>
                </c:pt>
                <c:pt idx="92">
                  <c:v>106374</c:v>
                </c:pt>
                <c:pt idx="93">
                  <c:v>106668</c:v>
                </c:pt>
                <c:pt idx="94">
                  <c:v>108013</c:v>
                </c:pt>
                <c:pt idx="95">
                  <c:v>109102</c:v>
                </c:pt>
                <c:pt idx="96">
                  <c:v>108942</c:v>
                </c:pt>
                <c:pt idx="97">
                  <c:v>107937</c:v>
                </c:pt>
                <c:pt idx="98">
                  <c:v>110204</c:v>
                </c:pt>
                <c:pt idx="99">
                  <c:v>111289</c:v>
                </c:pt>
                <c:pt idx="100">
                  <c:v>112612</c:v>
                </c:pt>
                <c:pt idx="101">
                  <c:v>111910</c:v>
                </c:pt>
                <c:pt idx="102">
                  <c:v>112144</c:v>
                </c:pt>
                <c:pt idx="103">
                  <c:v>113228</c:v>
                </c:pt>
                <c:pt idx="104">
                  <c:v>111894</c:v>
                </c:pt>
                <c:pt idx="105">
                  <c:v>111696</c:v>
                </c:pt>
                <c:pt idx="106">
                  <c:v>112245</c:v>
                </c:pt>
                <c:pt idx="107">
                  <c:v>111996</c:v>
                </c:pt>
                <c:pt idx="108">
                  <c:v>112234</c:v>
                </c:pt>
                <c:pt idx="109">
                  <c:v>112461</c:v>
                </c:pt>
                <c:pt idx="110">
                  <c:v>113368</c:v>
                </c:pt>
                <c:pt idx="111">
                  <c:v>113572</c:v>
                </c:pt>
                <c:pt idx="112">
                  <c:v>113899</c:v>
                </c:pt>
                <c:pt idx="113">
                  <c:v>114828</c:v>
                </c:pt>
                <c:pt idx="114">
                  <c:v>115181</c:v>
                </c:pt>
                <c:pt idx="115">
                  <c:v>113528</c:v>
                </c:pt>
                <c:pt idx="116">
                  <c:v>112880</c:v>
                </c:pt>
                <c:pt idx="117">
                  <c:v>111725</c:v>
                </c:pt>
                <c:pt idx="118">
                  <c:v>112892</c:v>
                </c:pt>
                <c:pt idx="119">
                  <c:v>112008</c:v>
                </c:pt>
                <c:pt idx="120">
                  <c:v>111592</c:v>
                </c:pt>
                <c:pt idx="121">
                  <c:v>113142</c:v>
                </c:pt>
                <c:pt idx="122">
                  <c:v>115174</c:v>
                </c:pt>
                <c:pt idx="123">
                  <c:v>115166</c:v>
                </c:pt>
                <c:pt idx="124">
                  <c:v>114474</c:v>
                </c:pt>
                <c:pt idx="125">
                  <c:v>111593</c:v>
                </c:pt>
                <c:pt idx="126">
                  <c:v>111203</c:v>
                </c:pt>
                <c:pt idx="127">
                  <c:v>113900</c:v>
                </c:pt>
                <c:pt idx="128">
                  <c:v>113663</c:v>
                </c:pt>
                <c:pt idx="129">
                  <c:v>111713</c:v>
                </c:pt>
                <c:pt idx="130">
                  <c:v>109928</c:v>
                </c:pt>
                <c:pt idx="131">
                  <c:v>108959</c:v>
                </c:pt>
                <c:pt idx="132">
                  <c:v>111112</c:v>
                </c:pt>
                <c:pt idx="133">
                  <c:v>113076</c:v>
                </c:pt>
                <c:pt idx="134">
                  <c:v>115311</c:v>
                </c:pt>
                <c:pt idx="135">
                  <c:v>116155</c:v>
                </c:pt>
                <c:pt idx="136">
                  <c:v>117272</c:v>
                </c:pt>
                <c:pt idx="137">
                  <c:v>117457</c:v>
                </c:pt>
                <c:pt idx="138">
                  <c:v>119053</c:v>
                </c:pt>
                <c:pt idx="139">
                  <c:v>119081</c:v>
                </c:pt>
                <c:pt idx="140">
                  <c:v>118738</c:v>
                </c:pt>
                <c:pt idx="141">
                  <c:v>120014</c:v>
                </c:pt>
                <c:pt idx="142">
                  <c:v>120260</c:v>
                </c:pt>
                <c:pt idx="143">
                  <c:v>119999</c:v>
                </c:pt>
                <c:pt idx="144">
                  <c:v>121570</c:v>
                </c:pt>
                <c:pt idx="145">
                  <c:v>121280</c:v>
                </c:pt>
                <c:pt idx="146">
                  <c:v>118885</c:v>
                </c:pt>
                <c:pt idx="147">
                  <c:v>118228</c:v>
                </c:pt>
                <c:pt idx="148">
                  <c:v>118862</c:v>
                </c:pt>
                <c:pt idx="149">
                  <c:v>118322</c:v>
                </c:pt>
                <c:pt idx="150">
                  <c:v>116953</c:v>
                </c:pt>
                <c:pt idx="151">
                  <c:v>116147</c:v>
                </c:pt>
                <c:pt idx="152">
                  <c:v>116782</c:v>
                </c:pt>
                <c:pt idx="153">
                  <c:v>116182</c:v>
                </c:pt>
                <c:pt idx="154">
                  <c:v>115687</c:v>
                </c:pt>
                <c:pt idx="155">
                  <c:v>115057</c:v>
                </c:pt>
                <c:pt idx="156">
                  <c:v>114344</c:v>
                </c:pt>
                <c:pt idx="157">
                  <c:v>111078</c:v>
                </c:pt>
                <c:pt idx="158">
                  <c:v>110685</c:v>
                </c:pt>
                <c:pt idx="159">
                  <c:v>108213</c:v>
                </c:pt>
                <c:pt idx="160">
                  <c:v>109349</c:v>
                </c:pt>
                <c:pt idx="161">
                  <c:v>109919</c:v>
                </c:pt>
                <c:pt idx="162">
                  <c:v>107876</c:v>
                </c:pt>
                <c:pt idx="163">
                  <c:v>106639</c:v>
                </c:pt>
                <c:pt idx="164">
                  <c:v>106528</c:v>
                </c:pt>
                <c:pt idx="165">
                  <c:v>108344</c:v>
                </c:pt>
                <c:pt idx="166">
                  <c:v>105304</c:v>
                </c:pt>
                <c:pt idx="167">
                  <c:v>105135</c:v>
                </c:pt>
                <c:pt idx="168">
                  <c:v>103250</c:v>
                </c:pt>
                <c:pt idx="169">
                  <c:v>103110</c:v>
                </c:pt>
                <c:pt idx="170">
                  <c:v>104397</c:v>
                </c:pt>
                <c:pt idx="171">
                  <c:v>105688</c:v>
                </c:pt>
                <c:pt idx="172">
                  <c:v>106924</c:v>
                </c:pt>
                <c:pt idx="173">
                  <c:v>108233</c:v>
                </c:pt>
                <c:pt idx="174">
                  <c:v>108789</c:v>
                </c:pt>
                <c:pt idx="175">
                  <c:v>106247</c:v>
                </c:pt>
                <c:pt idx="176">
                  <c:v>107005</c:v>
                </c:pt>
                <c:pt idx="177">
                  <c:v>108488</c:v>
                </c:pt>
                <c:pt idx="178">
                  <c:v>110346</c:v>
                </c:pt>
                <c:pt idx="179">
                  <c:v>110581</c:v>
                </c:pt>
                <c:pt idx="180">
                  <c:v>110580</c:v>
                </c:pt>
                <c:pt idx="181">
                  <c:v>111890</c:v>
                </c:pt>
                <c:pt idx="182">
                  <c:v>111942</c:v>
                </c:pt>
                <c:pt idx="183">
                  <c:v>111032</c:v>
                </c:pt>
                <c:pt idx="184">
                  <c:v>111351</c:v>
                </c:pt>
                <c:pt idx="185">
                  <c:v>111360</c:v>
                </c:pt>
                <c:pt idx="186">
                  <c:v>112393</c:v>
                </c:pt>
                <c:pt idx="187">
                  <c:v>111102</c:v>
                </c:pt>
                <c:pt idx="188">
                  <c:v>110186</c:v>
                </c:pt>
                <c:pt idx="189">
                  <c:v>110070</c:v>
                </c:pt>
                <c:pt idx="190">
                  <c:v>108368</c:v>
                </c:pt>
                <c:pt idx="191">
                  <c:v>107094</c:v>
                </c:pt>
                <c:pt idx="192">
                  <c:v>105481</c:v>
                </c:pt>
                <c:pt idx="193">
                  <c:v>102598</c:v>
                </c:pt>
                <c:pt idx="194">
                  <c:v>102063</c:v>
                </c:pt>
                <c:pt idx="195">
                  <c:v>102807</c:v>
                </c:pt>
                <c:pt idx="196">
                  <c:v>99825</c:v>
                </c:pt>
                <c:pt idx="197">
                  <c:v>99853</c:v>
                </c:pt>
                <c:pt idx="198">
                  <c:v>99685</c:v>
                </c:pt>
                <c:pt idx="199">
                  <c:v>99522</c:v>
                </c:pt>
                <c:pt idx="200">
                  <c:v>98080</c:v>
                </c:pt>
                <c:pt idx="201">
                  <c:v>98672</c:v>
                </c:pt>
                <c:pt idx="202">
                  <c:v>100764</c:v>
                </c:pt>
                <c:pt idx="203">
                  <c:v>100591</c:v>
                </c:pt>
                <c:pt idx="204">
                  <c:v>99622</c:v>
                </c:pt>
                <c:pt idx="205">
                  <c:v>98542</c:v>
                </c:pt>
                <c:pt idx="206">
                  <c:v>98954</c:v>
                </c:pt>
                <c:pt idx="207">
                  <c:v>98609</c:v>
                </c:pt>
                <c:pt idx="208">
                  <c:v>98295</c:v>
                </c:pt>
                <c:pt idx="209">
                  <c:v>98719</c:v>
                </c:pt>
                <c:pt idx="210">
                  <c:v>100730</c:v>
                </c:pt>
                <c:pt idx="211">
                  <c:v>100289</c:v>
                </c:pt>
                <c:pt idx="212">
                  <c:v>98212</c:v>
                </c:pt>
                <c:pt idx="213">
                  <c:v>98271</c:v>
                </c:pt>
                <c:pt idx="214">
                  <c:v>97881</c:v>
                </c:pt>
                <c:pt idx="215">
                  <c:v>96121</c:v>
                </c:pt>
                <c:pt idx="216">
                  <c:v>96551</c:v>
                </c:pt>
                <c:pt idx="217">
                  <c:v>96916</c:v>
                </c:pt>
                <c:pt idx="218">
                  <c:v>98245</c:v>
                </c:pt>
                <c:pt idx="219">
                  <c:v>98287</c:v>
                </c:pt>
                <c:pt idx="220">
                  <c:v>99033</c:v>
                </c:pt>
                <c:pt idx="221">
                  <c:v>98925</c:v>
                </c:pt>
                <c:pt idx="222">
                  <c:v>100270</c:v>
                </c:pt>
                <c:pt idx="223">
                  <c:v>99772</c:v>
                </c:pt>
                <c:pt idx="224">
                  <c:v>101438</c:v>
                </c:pt>
                <c:pt idx="225">
                  <c:v>102597</c:v>
                </c:pt>
                <c:pt idx="226">
                  <c:v>103165</c:v>
                </c:pt>
                <c:pt idx="227">
                  <c:v>102225</c:v>
                </c:pt>
                <c:pt idx="228">
                  <c:v>103362</c:v>
                </c:pt>
                <c:pt idx="229">
                  <c:v>103775</c:v>
                </c:pt>
                <c:pt idx="230">
                  <c:v>105892</c:v>
                </c:pt>
                <c:pt idx="231">
                  <c:v>106472</c:v>
                </c:pt>
                <c:pt idx="232">
                  <c:v>108402</c:v>
                </c:pt>
                <c:pt idx="233">
                  <c:v>108651</c:v>
                </c:pt>
                <c:pt idx="234">
                  <c:v>110236</c:v>
                </c:pt>
                <c:pt idx="235">
                  <c:v>109718</c:v>
                </c:pt>
                <c:pt idx="236">
                  <c:v>112764</c:v>
                </c:pt>
                <c:pt idx="237">
                  <c:v>113032</c:v>
                </c:pt>
                <c:pt idx="238">
                  <c:v>113512</c:v>
                </c:pt>
                <c:pt idx="239">
                  <c:v>113708</c:v>
                </c:pt>
                <c:pt idx="240">
                  <c:v>113813</c:v>
                </c:pt>
                <c:pt idx="241">
                  <c:v>111496</c:v>
                </c:pt>
                <c:pt idx="242">
                  <c:v>110501</c:v>
                </c:pt>
                <c:pt idx="243">
                  <c:v>112857</c:v>
                </c:pt>
                <c:pt idx="244">
                  <c:v>112898</c:v>
                </c:pt>
                <c:pt idx="245">
                  <c:v>113532</c:v>
                </c:pt>
                <c:pt idx="246">
                  <c:v>112299</c:v>
                </c:pt>
                <c:pt idx="247">
                  <c:v>112323</c:v>
                </c:pt>
                <c:pt idx="248">
                  <c:v>110431</c:v>
                </c:pt>
                <c:pt idx="249">
                  <c:v>109523</c:v>
                </c:pt>
                <c:pt idx="250">
                  <c:v>110405</c:v>
                </c:pt>
                <c:pt idx="251">
                  <c:v>110864</c:v>
                </c:pt>
                <c:pt idx="252">
                  <c:v>112203</c:v>
                </c:pt>
                <c:pt idx="253">
                  <c:v>109764</c:v>
                </c:pt>
                <c:pt idx="254">
                  <c:v>109916</c:v>
                </c:pt>
                <c:pt idx="255">
                  <c:v>112300</c:v>
                </c:pt>
                <c:pt idx="256">
                  <c:v>113407</c:v>
                </c:pt>
                <c:pt idx="257">
                  <c:v>110794</c:v>
                </c:pt>
                <c:pt idx="258">
                  <c:v>110547</c:v>
                </c:pt>
                <c:pt idx="259">
                  <c:v>109954</c:v>
                </c:pt>
                <c:pt idx="260">
                  <c:v>109280</c:v>
                </c:pt>
                <c:pt idx="261">
                  <c:v>111824</c:v>
                </c:pt>
                <c:pt idx="262">
                  <c:v>112517</c:v>
                </c:pt>
                <c:pt idx="263">
                  <c:v>111936</c:v>
                </c:pt>
                <c:pt idx="264">
                  <c:v>114070</c:v>
                </c:pt>
                <c:pt idx="265">
                  <c:v>111716</c:v>
                </c:pt>
                <c:pt idx="266">
                  <c:v>109114</c:v>
                </c:pt>
                <c:pt idx="267">
                  <c:v>108376</c:v>
                </c:pt>
                <c:pt idx="268">
                  <c:v>108451</c:v>
                </c:pt>
                <c:pt idx="269">
                  <c:v>107664</c:v>
                </c:pt>
                <c:pt idx="270">
                  <c:v>110037</c:v>
                </c:pt>
                <c:pt idx="271">
                  <c:v>116134</c:v>
                </c:pt>
                <c:pt idx="272">
                  <c:v>116230</c:v>
                </c:pt>
                <c:pt idx="273">
                  <c:v>117198</c:v>
                </c:pt>
                <c:pt idx="274">
                  <c:v>117561</c:v>
                </c:pt>
                <c:pt idx="275">
                  <c:v>116375</c:v>
                </c:pt>
                <c:pt idx="276">
                  <c:v>115941</c:v>
                </c:pt>
                <c:pt idx="277">
                  <c:v>114827</c:v>
                </c:pt>
                <c:pt idx="278">
                  <c:v>114300</c:v>
                </c:pt>
                <c:pt idx="279">
                  <c:v>112072</c:v>
                </c:pt>
                <c:pt idx="280">
                  <c:v>113624</c:v>
                </c:pt>
                <c:pt idx="281">
                  <c:v>115743</c:v>
                </c:pt>
                <c:pt idx="282">
                  <c:v>116274</c:v>
                </c:pt>
                <c:pt idx="283">
                  <c:v>117171</c:v>
                </c:pt>
                <c:pt idx="284">
                  <c:v>119929</c:v>
                </c:pt>
                <c:pt idx="285">
                  <c:v>116013</c:v>
                </c:pt>
                <c:pt idx="286">
                  <c:v>114626</c:v>
                </c:pt>
                <c:pt idx="287">
                  <c:v>112764</c:v>
                </c:pt>
                <c:pt idx="288">
                  <c:v>114641</c:v>
                </c:pt>
                <c:pt idx="289">
                  <c:v>114539</c:v>
                </c:pt>
                <c:pt idx="290">
                  <c:v>116037</c:v>
                </c:pt>
                <c:pt idx="291">
                  <c:v>116929</c:v>
                </c:pt>
                <c:pt idx="292">
                  <c:v>116896</c:v>
                </c:pt>
                <c:pt idx="293">
                  <c:v>118155</c:v>
                </c:pt>
                <c:pt idx="294">
                  <c:v>115342</c:v>
                </c:pt>
                <c:pt idx="295">
                  <c:v>116160</c:v>
                </c:pt>
                <c:pt idx="296">
                  <c:v>113580</c:v>
                </c:pt>
                <c:pt idx="297">
                  <c:v>109775</c:v>
                </c:pt>
                <c:pt idx="298">
                  <c:v>112253</c:v>
                </c:pt>
                <c:pt idx="299">
                  <c:v>113161</c:v>
                </c:pt>
                <c:pt idx="300">
                  <c:v>110243</c:v>
                </c:pt>
                <c:pt idx="301">
                  <c:v>109703</c:v>
                </c:pt>
                <c:pt idx="302">
                  <c:v>108870</c:v>
                </c:pt>
                <c:pt idx="303">
                  <c:v>109748</c:v>
                </c:pt>
                <c:pt idx="304">
                  <c:v>109037</c:v>
                </c:pt>
                <c:pt idx="305">
                  <c:v>108841</c:v>
                </c:pt>
                <c:pt idx="306">
                  <c:v>111831</c:v>
                </c:pt>
                <c:pt idx="307">
                  <c:v>108977</c:v>
                </c:pt>
                <c:pt idx="308">
                  <c:v>108782</c:v>
                </c:pt>
                <c:pt idx="309">
                  <c:v>110910</c:v>
                </c:pt>
                <c:pt idx="310">
                  <c:v>112486</c:v>
                </c:pt>
                <c:pt idx="311">
                  <c:v>110926</c:v>
                </c:pt>
                <c:pt idx="312">
                  <c:v>111924</c:v>
                </c:pt>
                <c:pt idx="313">
                  <c:v>109401</c:v>
                </c:pt>
                <c:pt idx="314">
                  <c:v>110189</c:v>
                </c:pt>
                <c:pt idx="315">
                  <c:v>109069</c:v>
                </c:pt>
                <c:pt idx="316">
                  <c:v>107249</c:v>
                </c:pt>
                <c:pt idx="317">
                  <c:v>107520</c:v>
                </c:pt>
                <c:pt idx="318">
                  <c:v>105343</c:v>
                </c:pt>
                <c:pt idx="319">
                  <c:v>103540</c:v>
                </c:pt>
                <c:pt idx="320">
                  <c:v>103746</c:v>
                </c:pt>
                <c:pt idx="321">
                  <c:v>103738</c:v>
                </c:pt>
                <c:pt idx="322">
                  <c:v>102856</c:v>
                </c:pt>
                <c:pt idx="323">
                  <c:v>104740</c:v>
                </c:pt>
                <c:pt idx="324">
                  <c:v>106864</c:v>
                </c:pt>
                <c:pt idx="325">
                  <c:v>107433</c:v>
                </c:pt>
                <c:pt idx="326">
                  <c:v>107552</c:v>
                </c:pt>
                <c:pt idx="327">
                  <c:v>109698</c:v>
                </c:pt>
                <c:pt idx="328">
                  <c:v>108738</c:v>
                </c:pt>
                <c:pt idx="329">
                  <c:v>108578</c:v>
                </c:pt>
                <c:pt idx="330">
                  <c:v>110237</c:v>
                </c:pt>
                <c:pt idx="331">
                  <c:v>109735</c:v>
                </c:pt>
                <c:pt idx="332">
                  <c:v>106376</c:v>
                </c:pt>
                <c:pt idx="333">
                  <c:v>104166</c:v>
                </c:pt>
                <c:pt idx="334">
                  <c:v>105334</c:v>
                </c:pt>
                <c:pt idx="335">
                  <c:v>107641</c:v>
                </c:pt>
                <c:pt idx="336">
                  <c:v>108964</c:v>
                </c:pt>
                <c:pt idx="337">
                  <c:v>109130</c:v>
                </c:pt>
                <c:pt idx="338">
                  <c:v>110817</c:v>
                </c:pt>
                <c:pt idx="339">
                  <c:v>112517</c:v>
                </c:pt>
                <c:pt idx="340">
                  <c:v>111850</c:v>
                </c:pt>
                <c:pt idx="341">
                  <c:v>110916</c:v>
                </c:pt>
                <c:pt idx="342">
                  <c:v>109213</c:v>
                </c:pt>
                <c:pt idx="343">
                  <c:v>111439</c:v>
                </c:pt>
                <c:pt idx="344">
                  <c:v>112228</c:v>
                </c:pt>
                <c:pt idx="345">
                  <c:v>112922</c:v>
                </c:pt>
                <c:pt idx="346">
                  <c:v>112041</c:v>
                </c:pt>
                <c:pt idx="347">
                  <c:v>111737</c:v>
                </c:pt>
                <c:pt idx="348">
                  <c:v>113028</c:v>
                </c:pt>
                <c:pt idx="349">
                  <c:v>114270</c:v>
                </c:pt>
                <c:pt idx="350">
                  <c:v>114178</c:v>
                </c:pt>
                <c:pt idx="351">
                  <c:v>112316</c:v>
                </c:pt>
                <c:pt idx="352">
                  <c:v>112273</c:v>
                </c:pt>
                <c:pt idx="353">
                  <c:v>113431</c:v>
                </c:pt>
                <c:pt idx="354">
                  <c:v>112074</c:v>
                </c:pt>
                <c:pt idx="355">
                  <c:v>110141</c:v>
                </c:pt>
                <c:pt idx="356">
                  <c:v>108523</c:v>
                </c:pt>
                <c:pt idx="357">
                  <c:v>108722</c:v>
                </c:pt>
                <c:pt idx="358">
                  <c:v>107830</c:v>
                </c:pt>
                <c:pt idx="359">
                  <c:v>109951</c:v>
                </c:pt>
                <c:pt idx="360">
                  <c:v>108008</c:v>
                </c:pt>
                <c:pt idx="361">
                  <c:v>108078</c:v>
                </c:pt>
                <c:pt idx="362">
                  <c:v>108836</c:v>
                </c:pt>
                <c:pt idx="363">
                  <c:v>107849</c:v>
                </c:pt>
                <c:pt idx="364">
                  <c:v>109600</c:v>
                </c:pt>
                <c:pt idx="365">
                  <c:v>109941</c:v>
                </c:pt>
                <c:pt idx="366">
                  <c:v>109177</c:v>
                </c:pt>
                <c:pt idx="367">
                  <c:v>107152</c:v>
                </c:pt>
                <c:pt idx="368">
                  <c:v>107593</c:v>
                </c:pt>
                <c:pt idx="369">
                  <c:v>105798</c:v>
                </c:pt>
                <c:pt idx="370">
                  <c:v>105711</c:v>
                </c:pt>
                <c:pt idx="371">
                  <c:v>104932</c:v>
                </c:pt>
                <c:pt idx="372">
                  <c:v>104385</c:v>
                </c:pt>
                <c:pt idx="373">
                  <c:v>103326</c:v>
                </c:pt>
                <c:pt idx="374">
                  <c:v>103866</c:v>
                </c:pt>
                <c:pt idx="375">
                  <c:v>104700</c:v>
                </c:pt>
                <c:pt idx="376">
                  <c:v>104228</c:v>
                </c:pt>
                <c:pt idx="377">
                  <c:v>106540</c:v>
                </c:pt>
                <c:pt idx="378">
                  <c:v>105071</c:v>
                </c:pt>
                <c:pt idx="379">
                  <c:v>103618</c:v>
                </c:pt>
                <c:pt idx="380">
                  <c:v>103121</c:v>
                </c:pt>
                <c:pt idx="381">
                  <c:v>102932</c:v>
                </c:pt>
                <c:pt idx="382">
                  <c:v>102675</c:v>
                </c:pt>
                <c:pt idx="383">
                  <c:v>103435</c:v>
                </c:pt>
                <c:pt idx="384">
                  <c:v>101982</c:v>
                </c:pt>
                <c:pt idx="385">
                  <c:v>100923</c:v>
                </c:pt>
                <c:pt idx="386">
                  <c:v>100998</c:v>
                </c:pt>
                <c:pt idx="387">
                  <c:v>100221</c:v>
                </c:pt>
                <c:pt idx="388">
                  <c:v>97926</c:v>
                </c:pt>
                <c:pt idx="389">
                  <c:v>98829</c:v>
                </c:pt>
                <c:pt idx="390">
                  <c:v>99670</c:v>
                </c:pt>
                <c:pt idx="391">
                  <c:v>101185</c:v>
                </c:pt>
                <c:pt idx="392">
                  <c:v>101793</c:v>
                </c:pt>
                <c:pt idx="393">
                  <c:v>103713</c:v>
                </c:pt>
                <c:pt idx="394">
                  <c:v>101882</c:v>
                </c:pt>
                <c:pt idx="395">
                  <c:v>101506</c:v>
                </c:pt>
                <c:pt idx="396">
                  <c:v>101869</c:v>
                </c:pt>
                <c:pt idx="397">
                  <c:v>100978</c:v>
                </c:pt>
                <c:pt idx="398">
                  <c:v>100822</c:v>
                </c:pt>
                <c:pt idx="399">
                  <c:v>101847</c:v>
                </c:pt>
                <c:pt idx="400">
                  <c:v>106214</c:v>
                </c:pt>
                <c:pt idx="401">
                  <c:v>106890</c:v>
                </c:pt>
                <c:pt idx="402">
                  <c:v>106458</c:v>
                </c:pt>
                <c:pt idx="403">
                  <c:v>106279</c:v>
                </c:pt>
                <c:pt idx="404">
                  <c:v>106016</c:v>
                </c:pt>
                <c:pt idx="405">
                  <c:v>106163</c:v>
                </c:pt>
                <c:pt idx="406">
                  <c:v>103913</c:v>
                </c:pt>
                <c:pt idx="407">
                  <c:v>104367</c:v>
                </c:pt>
                <c:pt idx="408">
                  <c:v>103947</c:v>
                </c:pt>
                <c:pt idx="409">
                  <c:v>103220</c:v>
                </c:pt>
                <c:pt idx="410">
                  <c:v>102312</c:v>
                </c:pt>
                <c:pt idx="411">
                  <c:v>102923</c:v>
                </c:pt>
                <c:pt idx="412">
                  <c:v>104432</c:v>
                </c:pt>
                <c:pt idx="413">
                  <c:v>101927</c:v>
                </c:pt>
                <c:pt idx="414">
                  <c:v>101797</c:v>
                </c:pt>
                <c:pt idx="415">
                  <c:v>102174</c:v>
                </c:pt>
                <c:pt idx="416">
                  <c:v>105148</c:v>
                </c:pt>
                <c:pt idx="417">
                  <c:v>106042</c:v>
                </c:pt>
                <c:pt idx="418">
                  <c:v>107114</c:v>
                </c:pt>
                <c:pt idx="419">
                  <c:v>107448</c:v>
                </c:pt>
                <c:pt idx="420">
                  <c:v>108256</c:v>
                </c:pt>
                <c:pt idx="421">
                  <c:v>108464</c:v>
                </c:pt>
                <c:pt idx="422">
                  <c:v>109029</c:v>
                </c:pt>
                <c:pt idx="423">
                  <c:v>108194</c:v>
                </c:pt>
                <c:pt idx="424">
                  <c:v>109460</c:v>
                </c:pt>
                <c:pt idx="425">
                  <c:v>110108</c:v>
                </c:pt>
                <c:pt idx="426">
                  <c:v>110745</c:v>
                </c:pt>
                <c:pt idx="427">
                  <c:v>110213</c:v>
                </c:pt>
                <c:pt idx="428">
                  <c:v>109929</c:v>
                </c:pt>
                <c:pt idx="429">
                  <c:v>108800</c:v>
                </c:pt>
                <c:pt idx="430">
                  <c:v>110054</c:v>
                </c:pt>
                <c:pt idx="431">
                  <c:v>110906</c:v>
                </c:pt>
                <c:pt idx="432">
                  <c:v>110333</c:v>
                </c:pt>
                <c:pt idx="433">
                  <c:v>108967</c:v>
                </c:pt>
                <c:pt idx="434">
                  <c:v>108335</c:v>
                </c:pt>
                <c:pt idx="435">
                  <c:v>110565</c:v>
                </c:pt>
                <c:pt idx="436">
                  <c:v>112558</c:v>
                </c:pt>
                <c:pt idx="437">
                  <c:v>112696</c:v>
                </c:pt>
                <c:pt idx="438">
                  <c:v>114610</c:v>
                </c:pt>
                <c:pt idx="439">
                  <c:v>115488</c:v>
                </c:pt>
                <c:pt idx="440">
                  <c:v>117019</c:v>
                </c:pt>
                <c:pt idx="441">
                  <c:v>117336</c:v>
                </c:pt>
                <c:pt idx="442">
                  <c:v>116743</c:v>
                </c:pt>
                <c:pt idx="443">
                  <c:v>119069</c:v>
                </c:pt>
                <c:pt idx="444">
                  <c:v>119221</c:v>
                </c:pt>
                <c:pt idx="445">
                  <c:v>118758</c:v>
                </c:pt>
                <c:pt idx="446">
                  <c:v>119858</c:v>
                </c:pt>
                <c:pt idx="447">
                  <c:v>119622</c:v>
                </c:pt>
                <c:pt idx="448">
                  <c:v>120420</c:v>
                </c:pt>
                <c:pt idx="449">
                  <c:v>118934</c:v>
                </c:pt>
                <c:pt idx="450">
                  <c:v>118977</c:v>
                </c:pt>
                <c:pt idx="451">
                  <c:v>118243</c:v>
                </c:pt>
                <c:pt idx="452">
                  <c:v>117523</c:v>
                </c:pt>
                <c:pt idx="453">
                  <c:v>116681</c:v>
                </c:pt>
                <c:pt idx="454">
                  <c:v>118383</c:v>
                </c:pt>
                <c:pt idx="455">
                  <c:v>118087</c:v>
                </c:pt>
                <c:pt idx="456">
                  <c:v>119673</c:v>
                </c:pt>
                <c:pt idx="457">
                  <c:v>119076</c:v>
                </c:pt>
                <c:pt idx="458">
                  <c:v>119549</c:v>
                </c:pt>
                <c:pt idx="459">
                  <c:v>117426</c:v>
                </c:pt>
                <c:pt idx="460">
                  <c:v>118898</c:v>
                </c:pt>
                <c:pt idx="461">
                  <c:v>117942</c:v>
                </c:pt>
                <c:pt idx="462">
                  <c:v>117556</c:v>
                </c:pt>
                <c:pt idx="463">
                  <c:v>117666</c:v>
                </c:pt>
                <c:pt idx="464">
                  <c:v>119264</c:v>
                </c:pt>
                <c:pt idx="465">
                  <c:v>117711</c:v>
                </c:pt>
                <c:pt idx="466">
                  <c:v>118219</c:v>
                </c:pt>
                <c:pt idx="467">
                  <c:v>117841</c:v>
                </c:pt>
                <c:pt idx="468">
                  <c:v>117552</c:v>
                </c:pt>
                <c:pt idx="469">
                  <c:v>118083</c:v>
                </c:pt>
                <c:pt idx="470">
                  <c:v>120217</c:v>
                </c:pt>
                <c:pt idx="471">
                  <c:v>121342</c:v>
                </c:pt>
                <c:pt idx="472">
                  <c:v>122008</c:v>
                </c:pt>
                <c:pt idx="473">
                  <c:v>122560</c:v>
                </c:pt>
                <c:pt idx="474">
                  <c:v>119990</c:v>
                </c:pt>
                <c:pt idx="475">
                  <c:v>120187</c:v>
                </c:pt>
                <c:pt idx="476">
                  <c:v>121943</c:v>
                </c:pt>
                <c:pt idx="477">
                  <c:v>121248</c:v>
                </c:pt>
                <c:pt idx="478">
                  <c:v>120859</c:v>
                </c:pt>
                <c:pt idx="479">
                  <c:v>120586</c:v>
                </c:pt>
                <c:pt idx="480">
                  <c:v>119508</c:v>
                </c:pt>
                <c:pt idx="481">
                  <c:v>119380</c:v>
                </c:pt>
                <c:pt idx="482">
                  <c:v>119090</c:v>
                </c:pt>
                <c:pt idx="483">
                  <c:v>118409</c:v>
                </c:pt>
                <c:pt idx="484">
                  <c:v>118350</c:v>
                </c:pt>
                <c:pt idx="485">
                  <c:v>118065</c:v>
                </c:pt>
                <c:pt idx="486">
                  <c:v>116810</c:v>
                </c:pt>
                <c:pt idx="487">
                  <c:v>116171</c:v>
                </c:pt>
                <c:pt idx="488">
                  <c:v>115592</c:v>
                </c:pt>
                <c:pt idx="489">
                  <c:v>114982</c:v>
                </c:pt>
                <c:pt idx="490">
                  <c:v>115409</c:v>
                </c:pt>
                <c:pt idx="491">
                  <c:v>114429</c:v>
                </c:pt>
                <c:pt idx="492">
                  <c:v>116156</c:v>
                </c:pt>
                <c:pt idx="493">
                  <c:v>118135</c:v>
                </c:pt>
                <c:pt idx="494">
                  <c:v>117026</c:v>
                </c:pt>
                <c:pt idx="495">
                  <c:v>115837</c:v>
                </c:pt>
                <c:pt idx="496">
                  <c:v>117121</c:v>
                </c:pt>
                <c:pt idx="497">
                  <c:v>118404</c:v>
                </c:pt>
                <c:pt idx="498">
                  <c:v>117535</c:v>
                </c:pt>
                <c:pt idx="499">
                  <c:v>115742</c:v>
                </c:pt>
                <c:pt idx="500">
                  <c:v>117893</c:v>
                </c:pt>
                <c:pt idx="501">
                  <c:v>117777</c:v>
                </c:pt>
                <c:pt idx="502">
                  <c:v>117331</c:v>
                </c:pt>
                <c:pt idx="503">
                  <c:v>115985</c:v>
                </c:pt>
                <c:pt idx="504">
                  <c:v>115313</c:v>
                </c:pt>
                <c:pt idx="505">
                  <c:v>116883</c:v>
                </c:pt>
                <c:pt idx="506">
                  <c:v>117968</c:v>
                </c:pt>
                <c:pt idx="507">
                  <c:v>118176</c:v>
                </c:pt>
                <c:pt idx="508">
                  <c:v>119392</c:v>
                </c:pt>
                <c:pt idx="509">
                  <c:v>118758</c:v>
                </c:pt>
                <c:pt idx="510">
                  <c:v>118288</c:v>
                </c:pt>
                <c:pt idx="511">
                  <c:v>117846</c:v>
                </c:pt>
                <c:pt idx="512">
                  <c:v>118695</c:v>
                </c:pt>
                <c:pt idx="513">
                  <c:v>116145</c:v>
                </c:pt>
                <c:pt idx="514">
                  <c:v>116009</c:v>
                </c:pt>
                <c:pt idx="515">
                  <c:v>115925</c:v>
                </c:pt>
                <c:pt idx="516">
                  <c:v>114193</c:v>
                </c:pt>
                <c:pt idx="517">
                  <c:v>114327</c:v>
                </c:pt>
                <c:pt idx="518">
                  <c:v>115731</c:v>
                </c:pt>
                <c:pt idx="519">
                  <c:v>116565</c:v>
                </c:pt>
                <c:pt idx="520">
                  <c:v>115057</c:v>
                </c:pt>
                <c:pt idx="521">
                  <c:v>113419</c:v>
                </c:pt>
                <c:pt idx="522">
                  <c:v>113607</c:v>
                </c:pt>
                <c:pt idx="523">
                  <c:v>113284</c:v>
                </c:pt>
                <c:pt idx="524">
                  <c:v>114170</c:v>
                </c:pt>
                <c:pt idx="525">
                  <c:v>115156</c:v>
                </c:pt>
                <c:pt idx="526">
                  <c:v>116737</c:v>
                </c:pt>
                <c:pt idx="527">
                  <c:v>117051</c:v>
                </c:pt>
                <c:pt idx="528">
                  <c:v>115754</c:v>
                </c:pt>
                <c:pt idx="529">
                  <c:v>116534</c:v>
                </c:pt>
                <c:pt idx="530">
                  <c:v>115908</c:v>
                </c:pt>
                <c:pt idx="531">
                  <c:v>114060</c:v>
                </c:pt>
                <c:pt idx="532">
                  <c:v>114004</c:v>
                </c:pt>
                <c:pt idx="533">
                  <c:v>113155</c:v>
                </c:pt>
                <c:pt idx="534">
                  <c:v>112785</c:v>
                </c:pt>
                <c:pt idx="535">
                  <c:v>113762</c:v>
                </c:pt>
                <c:pt idx="536">
                  <c:v>112830</c:v>
                </c:pt>
                <c:pt idx="537">
                  <c:v>114777</c:v>
                </c:pt>
                <c:pt idx="538">
                  <c:v>113301</c:v>
                </c:pt>
                <c:pt idx="539">
                  <c:v>112532</c:v>
                </c:pt>
                <c:pt idx="540">
                  <c:v>113144</c:v>
                </c:pt>
                <c:pt idx="541">
                  <c:v>115053</c:v>
                </c:pt>
                <c:pt idx="542">
                  <c:v>118160</c:v>
                </c:pt>
                <c:pt idx="543">
                  <c:v>118431</c:v>
                </c:pt>
                <c:pt idx="544">
                  <c:v>119268</c:v>
                </c:pt>
                <c:pt idx="545">
                  <c:v>119177</c:v>
                </c:pt>
                <c:pt idx="546">
                  <c:v>119034</c:v>
                </c:pt>
                <c:pt idx="547">
                  <c:v>120568</c:v>
                </c:pt>
                <c:pt idx="548">
                  <c:v>120410</c:v>
                </c:pt>
                <c:pt idx="549">
                  <c:v>123166</c:v>
                </c:pt>
                <c:pt idx="550">
                  <c:v>124639</c:v>
                </c:pt>
                <c:pt idx="551">
                  <c:v>124773</c:v>
                </c:pt>
                <c:pt idx="552">
                  <c:v>125957</c:v>
                </c:pt>
                <c:pt idx="553">
                  <c:v>125626</c:v>
                </c:pt>
                <c:pt idx="554">
                  <c:v>126035</c:v>
                </c:pt>
                <c:pt idx="555">
                  <c:v>126576</c:v>
                </c:pt>
                <c:pt idx="556">
                  <c:v>125517</c:v>
                </c:pt>
                <c:pt idx="557">
                  <c:v>125731</c:v>
                </c:pt>
                <c:pt idx="558">
                  <c:v>126538</c:v>
                </c:pt>
                <c:pt idx="559">
                  <c:v>126166</c:v>
                </c:pt>
                <c:pt idx="560">
                  <c:v>127331</c:v>
                </c:pt>
                <c:pt idx="561">
                  <c:v>128185</c:v>
                </c:pt>
                <c:pt idx="562">
                  <c:v>126803</c:v>
                </c:pt>
                <c:pt idx="563">
                  <c:v>126903</c:v>
                </c:pt>
                <c:pt idx="564">
                  <c:v>125623</c:v>
                </c:pt>
                <c:pt idx="565">
                  <c:v>126010</c:v>
                </c:pt>
                <c:pt idx="566">
                  <c:v>127094</c:v>
                </c:pt>
                <c:pt idx="567">
                  <c:v>126916</c:v>
                </c:pt>
                <c:pt idx="568">
                  <c:v>126403</c:v>
                </c:pt>
                <c:pt idx="569">
                  <c:v>129465</c:v>
                </c:pt>
                <c:pt idx="570">
                  <c:v>130842</c:v>
                </c:pt>
                <c:pt idx="571">
                  <c:v>130197</c:v>
                </c:pt>
                <c:pt idx="572">
                  <c:v>131084</c:v>
                </c:pt>
                <c:pt idx="573">
                  <c:v>131851</c:v>
                </c:pt>
                <c:pt idx="574">
                  <c:v>130804</c:v>
                </c:pt>
                <c:pt idx="575">
                  <c:v>132182</c:v>
                </c:pt>
                <c:pt idx="576">
                  <c:v>132753</c:v>
                </c:pt>
                <c:pt idx="577">
                  <c:v>133533</c:v>
                </c:pt>
                <c:pt idx="578">
                  <c:v>134194</c:v>
                </c:pt>
                <c:pt idx="579">
                  <c:v>134185</c:v>
                </c:pt>
                <c:pt idx="580">
                  <c:v>132697</c:v>
                </c:pt>
                <c:pt idx="581">
                  <c:v>132834</c:v>
                </c:pt>
                <c:pt idx="582">
                  <c:v>131226</c:v>
                </c:pt>
                <c:pt idx="583">
                  <c:v>132023</c:v>
                </c:pt>
                <c:pt idx="584">
                  <c:v>132427</c:v>
                </c:pt>
                <c:pt idx="585">
                  <c:v>131447</c:v>
                </c:pt>
                <c:pt idx="586">
                  <c:v>130841</c:v>
                </c:pt>
                <c:pt idx="587">
                  <c:v>130649</c:v>
                </c:pt>
                <c:pt idx="588">
                  <c:v>130988</c:v>
                </c:pt>
                <c:pt idx="589">
                  <c:v>131521</c:v>
                </c:pt>
                <c:pt idx="590">
                  <c:v>129294</c:v>
                </c:pt>
                <c:pt idx="591">
                  <c:v>128524</c:v>
                </c:pt>
                <c:pt idx="592">
                  <c:v>127316</c:v>
                </c:pt>
                <c:pt idx="593">
                  <c:v>127636</c:v>
                </c:pt>
                <c:pt idx="594">
                  <c:v>126602</c:v>
                </c:pt>
                <c:pt idx="595">
                  <c:v>128263</c:v>
                </c:pt>
                <c:pt idx="596">
                  <c:v>127816</c:v>
                </c:pt>
                <c:pt idx="597">
                  <c:v>128169</c:v>
                </c:pt>
                <c:pt idx="598">
                  <c:v>128967</c:v>
                </c:pt>
                <c:pt idx="599">
                  <c:v>128503</c:v>
                </c:pt>
                <c:pt idx="600">
                  <c:v>127402</c:v>
                </c:pt>
                <c:pt idx="601">
                  <c:v>127752</c:v>
                </c:pt>
                <c:pt idx="602">
                  <c:v>128481</c:v>
                </c:pt>
                <c:pt idx="603">
                  <c:v>127182</c:v>
                </c:pt>
                <c:pt idx="604">
                  <c:v>127593</c:v>
                </c:pt>
                <c:pt idx="605">
                  <c:v>130416</c:v>
                </c:pt>
                <c:pt idx="606">
                  <c:v>129950</c:v>
                </c:pt>
                <c:pt idx="607">
                  <c:v>128217</c:v>
                </c:pt>
                <c:pt idx="608">
                  <c:v>128026</c:v>
                </c:pt>
                <c:pt idx="609">
                  <c:v>127018</c:v>
                </c:pt>
                <c:pt idx="610">
                  <c:v>127804</c:v>
                </c:pt>
                <c:pt idx="611">
                  <c:v>128726</c:v>
                </c:pt>
                <c:pt idx="612">
                  <c:v>129036</c:v>
                </c:pt>
                <c:pt idx="613">
                  <c:v>129916</c:v>
                </c:pt>
                <c:pt idx="614">
                  <c:v>130032</c:v>
                </c:pt>
                <c:pt idx="615">
                  <c:v>130241</c:v>
                </c:pt>
                <c:pt idx="616">
                  <c:v>129419</c:v>
                </c:pt>
                <c:pt idx="617">
                  <c:v>129609</c:v>
                </c:pt>
                <c:pt idx="618">
                  <c:v>131689</c:v>
                </c:pt>
                <c:pt idx="619">
                  <c:v>130155</c:v>
                </c:pt>
                <c:pt idx="620">
                  <c:v>129020</c:v>
                </c:pt>
                <c:pt idx="621">
                  <c:v>129180</c:v>
                </c:pt>
                <c:pt idx="622">
                  <c:v>128341</c:v>
                </c:pt>
                <c:pt idx="623">
                  <c:v>128098</c:v>
                </c:pt>
                <c:pt idx="624">
                  <c:v>128890</c:v>
                </c:pt>
                <c:pt idx="625">
                  <c:v>128340</c:v>
                </c:pt>
                <c:pt idx="626">
                  <c:v>127071</c:v>
                </c:pt>
                <c:pt idx="627">
                  <c:v>126124</c:v>
                </c:pt>
                <c:pt idx="628">
                  <c:v>127668</c:v>
                </c:pt>
                <c:pt idx="629">
                  <c:v>128006</c:v>
                </c:pt>
                <c:pt idx="630">
                  <c:v>127690</c:v>
                </c:pt>
                <c:pt idx="631">
                  <c:v>126742</c:v>
                </c:pt>
                <c:pt idx="632">
                  <c:v>126954</c:v>
                </c:pt>
                <c:pt idx="633">
                  <c:v>127529</c:v>
                </c:pt>
                <c:pt idx="634">
                  <c:v>129125</c:v>
                </c:pt>
                <c:pt idx="635">
                  <c:v>128159</c:v>
                </c:pt>
                <c:pt idx="636">
                  <c:v>127027</c:v>
                </c:pt>
                <c:pt idx="637">
                  <c:v>126931</c:v>
                </c:pt>
                <c:pt idx="638">
                  <c:v>126863</c:v>
                </c:pt>
                <c:pt idx="639">
                  <c:v>127691</c:v>
                </c:pt>
                <c:pt idx="640">
                  <c:v>128106</c:v>
                </c:pt>
                <c:pt idx="641">
                  <c:v>126990</c:v>
                </c:pt>
                <c:pt idx="642">
                  <c:v>127549</c:v>
                </c:pt>
                <c:pt idx="643">
                  <c:v>127318</c:v>
                </c:pt>
                <c:pt idx="644">
                  <c:v>127428</c:v>
                </c:pt>
                <c:pt idx="645">
                  <c:v>126795</c:v>
                </c:pt>
                <c:pt idx="646">
                  <c:v>128857</c:v>
                </c:pt>
                <c:pt idx="647">
                  <c:v>129890</c:v>
                </c:pt>
                <c:pt idx="648">
                  <c:v>128054</c:v>
                </c:pt>
                <c:pt idx="649">
                  <c:v>127396</c:v>
                </c:pt>
                <c:pt idx="650">
                  <c:v>125946</c:v>
                </c:pt>
                <c:pt idx="651">
                  <c:v>125334</c:v>
                </c:pt>
                <c:pt idx="652">
                  <c:v>124389</c:v>
                </c:pt>
                <c:pt idx="653">
                  <c:v>124171</c:v>
                </c:pt>
                <c:pt idx="654">
                  <c:v>124196</c:v>
                </c:pt>
                <c:pt idx="655">
                  <c:v>125124</c:v>
                </c:pt>
                <c:pt idx="656">
                  <c:v>125573</c:v>
                </c:pt>
                <c:pt idx="657">
                  <c:v>125148</c:v>
                </c:pt>
                <c:pt idx="658">
                  <c:v>124741</c:v>
                </c:pt>
                <c:pt idx="659">
                  <c:v>124646</c:v>
                </c:pt>
                <c:pt idx="660">
                  <c:v>126526</c:v>
                </c:pt>
                <c:pt idx="661">
                  <c:v>127352</c:v>
                </c:pt>
                <c:pt idx="662">
                  <c:v>125924</c:v>
                </c:pt>
                <c:pt idx="663">
                  <c:v>127122</c:v>
                </c:pt>
                <c:pt idx="664">
                  <c:v>128509</c:v>
                </c:pt>
                <c:pt idx="665">
                  <c:v>128466</c:v>
                </c:pt>
                <c:pt idx="666">
                  <c:v>129210</c:v>
                </c:pt>
                <c:pt idx="667">
                  <c:v>129481</c:v>
                </c:pt>
                <c:pt idx="668">
                  <c:v>128188</c:v>
                </c:pt>
                <c:pt idx="669">
                  <c:v>127600</c:v>
                </c:pt>
                <c:pt idx="670">
                  <c:v>128155</c:v>
                </c:pt>
                <c:pt idx="671">
                  <c:v>128515</c:v>
                </c:pt>
                <c:pt idx="672">
                  <c:v>128028</c:v>
                </c:pt>
                <c:pt idx="673">
                  <c:v>128284</c:v>
                </c:pt>
                <c:pt idx="674">
                  <c:v>128151</c:v>
                </c:pt>
                <c:pt idx="675">
                  <c:v>127751</c:v>
                </c:pt>
                <c:pt idx="676">
                  <c:v>127412</c:v>
                </c:pt>
                <c:pt idx="677">
                  <c:v>125650</c:v>
                </c:pt>
                <c:pt idx="678">
                  <c:v>124729</c:v>
                </c:pt>
                <c:pt idx="679">
                  <c:v>124306</c:v>
                </c:pt>
                <c:pt idx="680">
                  <c:v>124496</c:v>
                </c:pt>
                <c:pt idx="681">
                  <c:v>123780</c:v>
                </c:pt>
                <c:pt idx="682">
                  <c:v>122707</c:v>
                </c:pt>
                <c:pt idx="683">
                  <c:v>122098</c:v>
                </c:pt>
                <c:pt idx="684">
                  <c:v>122032</c:v>
                </c:pt>
                <c:pt idx="685">
                  <c:v>121802</c:v>
                </c:pt>
                <c:pt idx="686">
                  <c:v>121407</c:v>
                </c:pt>
                <c:pt idx="687">
                  <c:v>122899</c:v>
                </c:pt>
                <c:pt idx="688">
                  <c:v>120767</c:v>
                </c:pt>
                <c:pt idx="689">
                  <c:v>120760</c:v>
                </c:pt>
                <c:pt idx="690">
                  <c:v>121635</c:v>
                </c:pt>
                <c:pt idx="691">
                  <c:v>119936</c:v>
                </c:pt>
                <c:pt idx="692">
                  <c:v>119568</c:v>
                </c:pt>
                <c:pt idx="693">
                  <c:v>119662</c:v>
                </c:pt>
                <c:pt idx="694">
                  <c:v>119138</c:v>
                </c:pt>
                <c:pt idx="695">
                  <c:v>119630</c:v>
                </c:pt>
                <c:pt idx="696">
                  <c:v>120261</c:v>
                </c:pt>
                <c:pt idx="697">
                  <c:v>120446</c:v>
                </c:pt>
                <c:pt idx="698">
                  <c:v>121341</c:v>
                </c:pt>
                <c:pt idx="699">
                  <c:v>122637</c:v>
                </c:pt>
                <c:pt idx="700">
                  <c:v>122331</c:v>
                </c:pt>
                <c:pt idx="701">
                  <c:v>122641</c:v>
                </c:pt>
                <c:pt idx="702">
                  <c:v>124308</c:v>
                </c:pt>
                <c:pt idx="703">
                  <c:v>123907</c:v>
                </c:pt>
                <c:pt idx="704">
                  <c:v>124718</c:v>
                </c:pt>
                <c:pt idx="705">
                  <c:v>124787</c:v>
                </c:pt>
                <c:pt idx="706">
                  <c:v>125662</c:v>
                </c:pt>
                <c:pt idx="707">
                  <c:v>126164</c:v>
                </c:pt>
                <c:pt idx="708">
                  <c:v>126267</c:v>
                </c:pt>
                <c:pt idx="709">
                  <c:v>126548</c:v>
                </c:pt>
                <c:pt idx="710">
                  <c:v>127108</c:v>
                </c:pt>
                <c:pt idx="711">
                  <c:v>127218</c:v>
                </c:pt>
                <c:pt idx="712">
                  <c:v>128294</c:v>
                </c:pt>
                <c:pt idx="713">
                  <c:v>128897</c:v>
                </c:pt>
                <c:pt idx="714">
                  <c:v>129321</c:v>
                </c:pt>
                <c:pt idx="715">
                  <c:v>129110</c:v>
                </c:pt>
                <c:pt idx="716">
                  <c:v>129450</c:v>
                </c:pt>
                <c:pt idx="717">
                  <c:v>127652</c:v>
                </c:pt>
                <c:pt idx="718">
                  <c:v>127616</c:v>
                </c:pt>
                <c:pt idx="719">
                  <c:v>127860</c:v>
                </c:pt>
                <c:pt idx="720">
                  <c:v>126590</c:v>
                </c:pt>
                <c:pt idx="721">
                  <c:v>126423</c:v>
                </c:pt>
                <c:pt idx="722">
                  <c:v>125954</c:v>
                </c:pt>
                <c:pt idx="723">
                  <c:v>127492</c:v>
                </c:pt>
                <c:pt idx="724">
                  <c:v>126954</c:v>
                </c:pt>
                <c:pt idx="725">
                  <c:v>126139</c:v>
                </c:pt>
                <c:pt idx="726">
                  <c:v>127652</c:v>
                </c:pt>
                <c:pt idx="727">
                  <c:v>127395</c:v>
                </c:pt>
                <c:pt idx="728">
                  <c:v>125854</c:v>
                </c:pt>
                <c:pt idx="729">
                  <c:v>125270</c:v>
                </c:pt>
                <c:pt idx="730">
                  <c:v>126267</c:v>
                </c:pt>
                <c:pt idx="731">
                  <c:v>127514</c:v>
                </c:pt>
                <c:pt idx="732">
                  <c:v>128661</c:v>
                </c:pt>
                <c:pt idx="733">
                  <c:v>130615</c:v>
                </c:pt>
                <c:pt idx="734">
                  <c:v>131116</c:v>
                </c:pt>
                <c:pt idx="735">
                  <c:v>132398</c:v>
                </c:pt>
                <c:pt idx="736">
                  <c:v>133318</c:v>
                </c:pt>
                <c:pt idx="737">
                  <c:v>134153</c:v>
                </c:pt>
                <c:pt idx="738">
                  <c:v>133953</c:v>
                </c:pt>
                <c:pt idx="739">
                  <c:v>135778</c:v>
                </c:pt>
                <c:pt idx="740">
                  <c:v>136087</c:v>
                </c:pt>
                <c:pt idx="741">
                  <c:v>136464</c:v>
                </c:pt>
                <c:pt idx="742">
                  <c:v>135173</c:v>
                </c:pt>
                <c:pt idx="743">
                  <c:v>135608</c:v>
                </c:pt>
                <c:pt idx="744">
                  <c:v>136889</c:v>
                </c:pt>
                <c:pt idx="745">
                  <c:v>136776</c:v>
                </c:pt>
                <c:pt idx="746">
                  <c:v>137344</c:v>
                </c:pt>
                <c:pt idx="747">
                  <c:v>136041</c:v>
                </c:pt>
                <c:pt idx="748">
                  <c:v>136004</c:v>
                </c:pt>
                <c:pt idx="749">
                  <c:v>134906</c:v>
                </c:pt>
                <c:pt idx="750">
                  <c:v>134353</c:v>
                </c:pt>
                <c:pt idx="751">
                  <c:v>136111</c:v>
                </c:pt>
                <c:pt idx="752">
                  <c:v>136502</c:v>
                </c:pt>
                <c:pt idx="753">
                  <c:v>134572</c:v>
                </c:pt>
                <c:pt idx="754">
                  <c:v>134737</c:v>
                </c:pt>
                <c:pt idx="755">
                  <c:v>134320</c:v>
                </c:pt>
                <c:pt idx="756">
                  <c:v>134677</c:v>
                </c:pt>
                <c:pt idx="757">
                  <c:v>134029</c:v>
                </c:pt>
                <c:pt idx="758">
                  <c:v>134882</c:v>
                </c:pt>
                <c:pt idx="759">
                  <c:v>135118</c:v>
                </c:pt>
                <c:pt idx="760">
                  <c:v>134960</c:v>
                </c:pt>
                <c:pt idx="761">
                  <c:v>133748</c:v>
                </c:pt>
                <c:pt idx="762">
                  <c:v>133123</c:v>
                </c:pt>
                <c:pt idx="763">
                  <c:v>131065</c:v>
                </c:pt>
                <c:pt idx="764">
                  <c:v>130568</c:v>
                </c:pt>
                <c:pt idx="765">
                  <c:v>132156</c:v>
                </c:pt>
                <c:pt idx="766">
                  <c:v>131586</c:v>
                </c:pt>
                <c:pt idx="767">
                  <c:v>133010</c:v>
                </c:pt>
                <c:pt idx="768">
                  <c:v>132730</c:v>
                </c:pt>
                <c:pt idx="769">
                  <c:v>131816</c:v>
                </c:pt>
                <c:pt idx="770">
                  <c:v>132495</c:v>
                </c:pt>
                <c:pt idx="771">
                  <c:v>133515</c:v>
                </c:pt>
                <c:pt idx="772">
                  <c:v>131672</c:v>
                </c:pt>
                <c:pt idx="773">
                  <c:v>131792</c:v>
                </c:pt>
                <c:pt idx="774">
                  <c:v>132018</c:v>
                </c:pt>
                <c:pt idx="775">
                  <c:v>131512</c:v>
                </c:pt>
                <c:pt idx="776">
                  <c:v>129962</c:v>
                </c:pt>
                <c:pt idx="777">
                  <c:v>130353</c:v>
                </c:pt>
                <c:pt idx="778">
                  <c:v>129992</c:v>
                </c:pt>
                <c:pt idx="779">
                  <c:v>131005</c:v>
                </c:pt>
                <c:pt idx="780">
                  <c:v>131043</c:v>
                </c:pt>
                <c:pt idx="781">
                  <c:v>131750</c:v>
                </c:pt>
                <c:pt idx="782">
                  <c:v>130793</c:v>
                </c:pt>
                <c:pt idx="783">
                  <c:v>130499</c:v>
                </c:pt>
                <c:pt idx="784">
                  <c:v>130362</c:v>
                </c:pt>
                <c:pt idx="785">
                  <c:v>129951</c:v>
                </c:pt>
                <c:pt idx="786">
                  <c:v>129233</c:v>
                </c:pt>
                <c:pt idx="787">
                  <c:v>130067</c:v>
                </c:pt>
                <c:pt idx="788">
                  <c:v>129893</c:v>
                </c:pt>
                <c:pt idx="789">
                  <c:v>131213</c:v>
                </c:pt>
                <c:pt idx="790">
                  <c:v>130730</c:v>
                </c:pt>
                <c:pt idx="791">
                  <c:v>130639</c:v>
                </c:pt>
                <c:pt idx="792">
                  <c:v>129713</c:v>
                </c:pt>
                <c:pt idx="793">
                  <c:v>128121</c:v>
                </c:pt>
                <c:pt idx="794">
                  <c:v>130515</c:v>
                </c:pt>
                <c:pt idx="795">
                  <c:v>130661</c:v>
                </c:pt>
                <c:pt idx="796">
                  <c:v>130341</c:v>
                </c:pt>
                <c:pt idx="797">
                  <c:v>129682</c:v>
                </c:pt>
                <c:pt idx="798">
                  <c:v>127830</c:v>
                </c:pt>
                <c:pt idx="799">
                  <c:v>127874</c:v>
                </c:pt>
                <c:pt idx="800">
                  <c:v>127698</c:v>
                </c:pt>
                <c:pt idx="801">
                  <c:v>127734</c:v>
                </c:pt>
                <c:pt idx="802">
                  <c:v>127792</c:v>
                </c:pt>
                <c:pt idx="803">
                  <c:v>127768</c:v>
                </c:pt>
                <c:pt idx="804">
                  <c:v>128197</c:v>
                </c:pt>
                <c:pt idx="805">
                  <c:v>126922</c:v>
                </c:pt>
                <c:pt idx="806">
                  <c:v>129126</c:v>
                </c:pt>
                <c:pt idx="807">
                  <c:v>129036</c:v>
                </c:pt>
                <c:pt idx="808">
                  <c:v>129922</c:v>
                </c:pt>
                <c:pt idx="809">
                  <c:v>127669</c:v>
                </c:pt>
                <c:pt idx="810">
                  <c:v>124610</c:v>
                </c:pt>
                <c:pt idx="811">
                  <c:v>125668</c:v>
                </c:pt>
                <c:pt idx="812">
                  <c:v>125236</c:v>
                </c:pt>
                <c:pt idx="813">
                  <c:v>126139</c:v>
                </c:pt>
                <c:pt idx="814">
                  <c:v>126087</c:v>
                </c:pt>
                <c:pt idx="815">
                  <c:v>127858</c:v>
                </c:pt>
                <c:pt idx="816">
                  <c:v>125946</c:v>
                </c:pt>
                <c:pt idx="817">
                  <c:v>127210</c:v>
                </c:pt>
                <c:pt idx="818">
                  <c:v>128228</c:v>
                </c:pt>
                <c:pt idx="819">
                  <c:v>129593</c:v>
                </c:pt>
                <c:pt idx="820">
                  <c:v>126042</c:v>
                </c:pt>
                <c:pt idx="821">
                  <c:v>124612</c:v>
                </c:pt>
                <c:pt idx="822">
                  <c:v>123560</c:v>
                </c:pt>
                <c:pt idx="823">
                  <c:v>124698</c:v>
                </c:pt>
                <c:pt idx="824">
                  <c:v>120772</c:v>
                </c:pt>
                <c:pt idx="825">
                  <c:v>121188</c:v>
                </c:pt>
                <c:pt idx="826">
                  <c:v>122102</c:v>
                </c:pt>
                <c:pt idx="827">
                  <c:v>120767</c:v>
                </c:pt>
                <c:pt idx="828">
                  <c:v>121078</c:v>
                </c:pt>
                <c:pt idx="829">
                  <c:v>120269</c:v>
                </c:pt>
                <c:pt idx="830">
                  <c:v>120283</c:v>
                </c:pt>
                <c:pt idx="831">
                  <c:v>120125</c:v>
                </c:pt>
                <c:pt idx="832">
                  <c:v>118533</c:v>
                </c:pt>
                <c:pt idx="833">
                  <c:v>120022</c:v>
                </c:pt>
                <c:pt idx="834">
                  <c:v>121163</c:v>
                </c:pt>
                <c:pt idx="835">
                  <c:v>119625</c:v>
                </c:pt>
                <c:pt idx="836">
                  <c:v>119781</c:v>
                </c:pt>
                <c:pt idx="837">
                  <c:v>118856</c:v>
                </c:pt>
                <c:pt idx="838">
                  <c:v>119007</c:v>
                </c:pt>
                <c:pt idx="839">
                  <c:v>119299</c:v>
                </c:pt>
                <c:pt idx="840">
                  <c:v>122650</c:v>
                </c:pt>
                <c:pt idx="841">
                  <c:v>121234</c:v>
                </c:pt>
                <c:pt idx="842">
                  <c:v>122350</c:v>
                </c:pt>
                <c:pt idx="843">
                  <c:v>122855</c:v>
                </c:pt>
                <c:pt idx="844">
                  <c:v>123338</c:v>
                </c:pt>
                <c:pt idx="845">
                  <c:v>122972</c:v>
                </c:pt>
                <c:pt idx="846">
                  <c:v>122483</c:v>
                </c:pt>
                <c:pt idx="847">
                  <c:v>122447</c:v>
                </c:pt>
                <c:pt idx="848">
                  <c:v>124862</c:v>
                </c:pt>
                <c:pt idx="849">
                  <c:v>124056</c:v>
                </c:pt>
                <c:pt idx="850">
                  <c:v>123432</c:v>
                </c:pt>
                <c:pt idx="851">
                  <c:v>126913</c:v>
                </c:pt>
                <c:pt idx="852">
                  <c:v>126135</c:v>
                </c:pt>
                <c:pt idx="853">
                  <c:v>125970</c:v>
                </c:pt>
                <c:pt idx="854">
                  <c:v>125147</c:v>
                </c:pt>
                <c:pt idx="855">
                  <c:v>125534</c:v>
                </c:pt>
                <c:pt idx="856">
                  <c:v>126225</c:v>
                </c:pt>
                <c:pt idx="857">
                  <c:v>124619</c:v>
                </c:pt>
                <c:pt idx="858">
                  <c:v>125572</c:v>
                </c:pt>
                <c:pt idx="859">
                  <c:v>126522</c:v>
                </c:pt>
                <c:pt idx="860">
                  <c:v>124380</c:v>
                </c:pt>
                <c:pt idx="861">
                  <c:v>124850</c:v>
                </c:pt>
                <c:pt idx="862">
                  <c:v>128219</c:v>
                </c:pt>
                <c:pt idx="863">
                  <c:v>128552</c:v>
                </c:pt>
                <c:pt idx="864">
                  <c:v>128532</c:v>
                </c:pt>
                <c:pt idx="865">
                  <c:v>127309</c:v>
                </c:pt>
                <c:pt idx="866">
                  <c:v>127601</c:v>
                </c:pt>
                <c:pt idx="867">
                  <c:v>127128</c:v>
                </c:pt>
                <c:pt idx="868">
                  <c:v>125401</c:v>
                </c:pt>
                <c:pt idx="869">
                  <c:v>125980</c:v>
                </c:pt>
                <c:pt idx="870">
                  <c:v>124769</c:v>
                </c:pt>
                <c:pt idx="871">
                  <c:v>124799</c:v>
                </c:pt>
                <c:pt idx="872">
                  <c:v>122799</c:v>
                </c:pt>
                <c:pt idx="873">
                  <c:v>123047</c:v>
                </c:pt>
                <c:pt idx="874">
                  <c:v>123358</c:v>
                </c:pt>
                <c:pt idx="875">
                  <c:v>125035</c:v>
                </c:pt>
                <c:pt idx="876">
                  <c:v>124519</c:v>
                </c:pt>
                <c:pt idx="877">
                  <c:v>123507</c:v>
                </c:pt>
                <c:pt idx="878">
                  <c:v>123864</c:v>
                </c:pt>
                <c:pt idx="879">
                  <c:v>125637</c:v>
                </c:pt>
                <c:pt idx="880">
                  <c:v>128957</c:v>
                </c:pt>
                <c:pt idx="881">
                  <c:v>130834</c:v>
                </c:pt>
                <c:pt idx="882">
                  <c:v>131475</c:v>
                </c:pt>
                <c:pt idx="883">
                  <c:v>132508</c:v>
                </c:pt>
                <c:pt idx="884">
                  <c:v>131955</c:v>
                </c:pt>
                <c:pt idx="885">
                  <c:v>132345</c:v>
                </c:pt>
                <c:pt idx="886">
                  <c:v>131321</c:v>
                </c:pt>
                <c:pt idx="887">
                  <c:v>132068</c:v>
                </c:pt>
                <c:pt idx="888">
                  <c:v>132520</c:v>
                </c:pt>
                <c:pt idx="889">
                  <c:v>133149</c:v>
                </c:pt>
                <c:pt idx="890">
                  <c:v>131902</c:v>
                </c:pt>
                <c:pt idx="891">
                  <c:v>130260</c:v>
                </c:pt>
                <c:pt idx="892">
                  <c:v>131147</c:v>
                </c:pt>
                <c:pt idx="893">
                  <c:v>131190</c:v>
                </c:pt>
                <c:pt idx="894">
                  <c:v>131141</c:v>
                </c:pt>
                <c:pt idx="895">
                  <c:v>127256</c:v>
                </c:pt>
                <c:pt idx="896">
                  <c:v>125588</c:v>
                </c:pt>
                <c:pt idx="897">
                  <c:v>123932</c:v>
                </c:pt>
                <c:pt idx="898">
                  <c:v>127796</c:v>
                </c:pt>
                <c:pt idx="899">
                  <c:v>126355</c:v>
                </c:pt>
                <c:pt idx="900">
                  <c:v>127682</c:v>
                </c:pt>
                <c:pt idx="901">
                  <c:v>129454</c:v>
                </c:pt>
                <c:pt idx="902">
                  <c:v>129245</c:v>
                </c:pt>
                <c:pt idx="903">
                  <c:v>128317</c:v>
                </c:pt>
                <c:pt idx="904">
                  <c:v>129650</c:v>
                </c:pt>
                <c:pt idx="905">
                  <c:v>130464</c:v>
                </c:pt>
                <c:pt idx="906">
                  <c:v>132216</c:v>
                </c:pt>
                <c:pt idx="907">
                  <c:v>134580</c:v>
                </c:pt>
                <c:pt idx="908">
                  <c:v>134739</c:v>
                </c:pt>
                <c:pt idx="909">
                  <c:v>135016</c:v>
                </c:pt>
                <c:pt idx="910">
                  <c:v>135093</c:v>
                </c:pt>
                <c:pt idx="911">
                  <c:v>135067</c:v>
                </c:pt>
                <c:pt idx="912">
                  <c:v>135134</c:v>
                </c:pt>
                <c:pt idx="913">
                  <c:v>133491</c:v>
                </c:pt>
                <c:pt idx="914">
                  <c:v>133516</c:v>
                </c:pt>
                <c:pt idx="915">
                  <c:v>133398</c:v>
                </c:pt>
                <c:pt idx="916">
                  <c:v>136232</c:v>
                </c:pt>
                <c:pt idx="917">
                  <c:v>136512</c:v>
                </c:pt>
                <c:pt idx="918">
                  <c:v>136563</c:v>
                </c:pt>
                <c:pt idx="919">
                  <c:v>138963</c:v>
                </c:pt>
                <c:pt idx="920">
                  <c:v>138423</c:v>
                </c:pt>
                <c:pt idx="921">
                  <c:v>139334</c:v>
                </c:pt>
                <c:pt idx="922">
                  <c:v>139187</c:v>
                </c:pt>
                <c:pt idx="923">
                  <c:v>139636</c:v>
                </c:pt>
                <c:pt idx="924">
                  <c:v>140110</c:v>
                </c:pt>
                <c:pt idx="925">
                  <c:v>137881</c:v>
                </c:pt>
                <c:pt idx="926">
                  <c:v>137273</c:v>
                </c:pt>
                <c:pt idx="927">
                  <c:v>137824</c:v>
                </c:pt>
                <c:pt idx="928">
                  <c:v>138136</c:v>
                </c:pt>
                <c:pt idx="929">
                  <c:v>139541</c:v>
                </c:pt>
                <c:pt idx="930">
                  <c:v>138888</c:v>
                </c:pt>
                <c:pt idx="931">
                  <c:v>138534</c:v>
                </c:pt>
                <c:pt idx="932">
                  <c:v>137027</c:v>
                </c:pt>
                <c:pt idx="933">
                  <c:v>136787</c:v>
                </c:pt>
                <c:pt idx="934">
                  <c:v>137546</c:v>
                </c:pt>
                <c:pt idx="935">
                  <c:v>137002</c:v>
                </c:pt>
                <c:pt idx="936">
                  <c:v>136236</c:v>
                </c:pt>
                <c:pt idx="937">
                  <c:v>136102</c:v>
                </c:pt>
                <c:pt idx="938">
                  <c:v>135699</c:v>
                </c:pt>
                <c:pt idx="939">
                  <c:v>136436</c:v>
                </c:pt>
                <c:pt idx="940">
                  <c:v>137128</c:v>
                </c:pt>
                <c:pt idx="941">
                  <c:v>137800</c:v>
                </c:pt>
                <c:pt idx="942">
                  <c:v>137213</c:v>
                </c:pt>
                <c:pt idx="943">
                  <c:v>139256</c:v>
                </c:pt>
                <c:pt idx="944">
                  <c:v>138840</c:v>
                </c:pt>
                <c:pt idx="945">
                  <c:v>138717</c:v>
                </c:pt>
                <c:pt idx="946">
                  <c:v>137116</c:v>
                </c:pt>
                <c:pt idx="947">
                  <c:v>136551</c:v>
                </c:pt>
                <c:pt idx="948">
                  <c:v>137165</c:v>
                </c:pt>
                <c:pt idx="949">
                  <c:v>135767</c:v>
                </c:pt>
                <c:pt idx="950">
                  <c:v>137114</c:v>
                </c:pt>
                <c:pt idx="951">
                  <c:v>136866</c:v>
                </c:pt>
                <c:pt idx="952">
                  <c:v>138855</c:v>
                </c:pt>
                <c:pt idx="953">
                  <c:v>139549</c:v>
                </c:pt>
                <c:pt idx="954">
                  <c:v>139051</c:v>
                </c:pt>
                <c:pt idx="955">
                  <c:v>140928</c:v>
                </c:pt>
                <c:pt idx="956">
                  <c:v>141264</c:v>
                </c:pt>
                <c:pt idx="957">
                  <c:v>139490</c:v>
                </c:pt>
                <c:pt idx="958">
                  <c:v>139303</c:v>
                </c:pt>
                <c:pt idx="959">
                  <c:v>137481</c:v>
                </c:pt>
                <c:pt idx="960">
                  <c:v>136743</c:v>
                </c:pt>
                <c:pt idx="961">
                  <c:v>136187</c:v>
                </c:pt>
                <c:pt idx="962">
                  <c:v>135299</c:v>
                </c:pt>
                <c:pt idx="963">
                  <c:v>135250</c:v>
                </c:pt>
                <c:pt idx="964">
                  <c:v>135511</c:v>
                </c:pt>
                <c:pt idx="965">
                  <c:v>135565</c:v>
                </c:pt>
                <c:pt idx="966">
                  <c:v>133382</c:v>
                </c:pt>
                <c:pt idx="967">
                  <c:v>134167</c:v>
                </c:pt>
                <c:pt idx="968">
                  <c:v>134036</c:v>
                </c:pt>
                <c:pt idx="969">
                  <c:v>135368</c:v>
                </c:pt>
                <c:pt idx="970">
                  <c:v>133808</c:v>
                </c:pt>
                <c:pt idx="971">
                  <c:v>133524</c:v>
                </c:pt>
                <c:pt idx="972">
                  <c:v>132129</c:v>
                </c:pt>
                <c:pt idx="973">
                  <c:v>132726</c:v>
                </c:pt>
                <c:pt idx="974">
                  <c:v>133990</c:v>
                </c:pt>
                <c:pt idx="975">
                  <c:v>133071</c:v>
                </c:pt>
                <c:pt idx="976">
                  <c:v>132437</c:v>
                </c:pt>
                <c:pt idx="977">
                  <c:v>132971</c:v>
                </c:pt>
                <c:pt idx="978">
                  <c:v>133151</c:v>
                </c:pt>
                <c:pt idx="979">
                  <c:v>134538</c:v>
                </c:pt>
                <c:pt idx="980">
                  <c:v>136528</c:v>
                </c:pt>
                <c:pt idx="981">
                  <c:v>135913</c:v>
                </c:pt>
                <c:pt idx="982">
                  <c:v>135623</c:v>
                </c:pt>
                <c:pt idx="983">
                  <c:v>137914</c:v>
                </c:pt>
                <c:pt idx="984">
                  <c:v>136687</c:v>
                </c:pt>
                <c:pt idx="985">
                  <c:v>136356</c:v>
                </c:pt>
                <c:pt idx="986">
                  <c:v>136341</c:v>
                </c:pt>
                <c:pt idx="987">
                  <c:v>137322</c:v>
                </c:pt>
                <c:pt idx="988">
                  <c:v>134432</c:v>
                </c:pt>
                <c:pt idx="989">
                  <c:v>134666</c:v>
                </c:pt>
                <c:pt idx="990">
                  <c:v>134511</c:v>
                </c:pt>
                <c:pt idx="991">
                  <c:v>137968</c:v>
                </c:pt>
                <c:pt idx="992">
                  <c:v>138025</c:v>
                </c:pt>
                <c:pt idx="993">
                  <c:v>137771</c:v>
                </c:pt>
                <c:pt idx="994">
                  <c:v>139206</c:v>
                </c:pt>
                <c:pt idx="995">
                  <c:v>141049</c:v>
                </c:pt>
                <c:pt idx="996">
                  <c:v>141422</c:v>
                </c:pt>
                <c:pt idx="997">
                  <c:v>141283</c:v>
                </c:pt>
                <c:pt idx="998">
                  <c:v>140335</c:v>
                </c:pt>
                <c:pt idx="999">
                  <c:v>139864</c:v>
                </c:pt>
                <c:pt idx="1000">
                  <c:v>140993</c:v>
                </c:pt>
                <c:pt idx="1001">
                  <c:v>142640</c:v>
                </c:pt>
                <c:pt idx="1002">
                  <c:v>141792</c:v>
                </c:pt>
                <c:pt idx="1003">
                  <c:v>141618</c:v>
                </c:pt>
                <c:pt idx="1004">
                  <c:v>142349</c:v>
                </c:pt>
                <c:pt idx="1005">
                  <c:v>143151</c:v>
                </c:pt>
                <c:pt idx="1006">
                  <c:v>142272</c:v>
                </c:pt>
                <c:pt idx="1007">
                  <c:v>143547</c:v>
                </c:pt>
                <c:pt idx="1008">
                  <c:v>144062</c:v>
                </c:pt>
                <c:pt idx="1009">
                  <c:v>145594</c:v>
                </c:pt>
                <c:pt idx="1010">
                  <c:v>145499</c:v>
                </c:pt>
                <c:pt idx="1011">
                  <c:v>145865</c:v>
                </c:pt>
                <c:pt idx="1012">
                  <c:v>145109</c:v>
                </c:pt>
                <c:pt idx="1013">
                  <c:v>146425</c:v>
                </c:pt>
                <c:pt idx="1014">
                  <c:v>146492</c:v>
                </c:pt>
                <c:pt idx="1015">
                  <c:v>145306</c:v>
                </c:pt>
                <c:pt idx="1016">
                  <c:v>145447</c:v>
                </c:pt>
                <c:pt idx="1017">
                  <c:v>146337</c:v>
                </c:pt>
                <c:pt idx="1018">
                  <c:v>146237</c:v>
                </c:pt>
                <c:pt idx="1019">
                  <c:v>145517</c:v>
                </c:pt>
                <c:pt idx="1020">
                  <c:v>143950</c:v>
                </c:pt>
                <c:pt idx="1021">
                  <c:v>144201</c:v>
                </c:pt>
                <c:pt idx="1022">
                  <c:v>143608</c:v>
                </c:pt>
                <c:pt idx="1023">
                  <c:v>141356</c:v>
                </c:pt>
                <c:pt idx="1024">
                  <c:v>142145</c:v>
                </c:pt>
                <c:pt idx="1025">
                  <c:v>141708</c:v>
                </c:pt>
                <c:pt idx="1026">
                  <c:v>140680</c:v>
                </c:pt>
                <c:pt idx="1027">
                  <c:v>141783</c:v>
                </c:pt>
                <c:pt idx="1028">
                  <c:v>141683</c:v>
                </c:pt>
                <c:pt idx="1029">
                  <c:v>142604</c:v>
                </c:pt>
                <c:pt idx="1030">
                  <c:v>142200</c:v>
                </c:pt>
                <c:pt idx="1031">
                  <c:v>143399</c:v>
                </c:pt>
                <c:pt idx="1032">
                  <c:v>144509</c:v>
                </c:pt>
                <c:pt idx="1033">
                  <c:v>144085</c:v>
                </c:pt>
                <c:pt idx="1034">
                  <c:v>144873</c:v>
                </c:pt>
                <c:pt idx="1035">
                  <c:v>145721</c:v>
                </c:pt>
                <c:pt idx="1036">
                  <c:v>146172</c:v>
                </c:pt>
                <c:pt idx="1037">
                  <c:v>146969</c:v>
                </c:pt>
                <c:pt idx="1038">
                  <c:v>147429</c:v>
                </c:pt>
                <c:pt idx="1039">
                  <c:v>148633</c:v>
                </c:pt>
                <c:pt idx="1040">
                  <c:v>148780</c:v>
                </c:pt>
                <c:pt idx="1041">
                  <c:v>149540</c:v>
                </c:pt>
                <c:pt idx="1042">
                  <c:v>150454</c:v>
                </c:pt>
                <c:pt idx="1043">
                  <c:v>150704</c:v>
                </c:pt>
                <c:pt idx="1044">
                  <c:v>153294</c:v>
                </c:pt>
                <c:pt idx="1045">
                  <c:v>153339</c:v>
                </c:pt>
                <c:pt idx="1046">
                  <c:v>154064</c:v>
                </c:pt>
                <c:pt idx="1047">
                  <c:v>155257</c:v>
                </c:pt>
                <c:pt idx="1048">
                  <c:v>157749</c:v>
                </c:pt>
                <c:pt idx="1049">
                  <c:v>157633</c:v>
                </c:pt>
                <c:pt idx="1050">
                  <c:v>157162</c:v>
                </c:pt>
                <c:pt idx="1051">
                  <c:v>157739</c:v>
                </c:pt>
                <c:pt idx="1052">
                  <c:v>156993</c:v>
                </c:pt>
                <c:pt idx="1053">
                  <c:v>156522</c:v>
                </c:pt>
                <c:pt idx="1054">
                  <c:v>155381</c:v>
                </c:pt>
                <c:pt idx="1055">
                  <c:v>154770</c:v>
                </c:pt>
                <c:pt idx="1056">
                  <c:v>155278</c:v>
                </c:pt>
                <c:pt idx="1057">
                  <c:v>155910</c:v>
                </c:pt>
                <c:pt idx="1058">
                  <c:v>158555</c:v>
                </c:pt>
                <c:pt idx="1059">
                  <c:v>158360</c:v>
                </c:pt>
                <c:pt idx="1060">
                  <c:v>159072</c:v>
                </c:pt>
                <c:pt idx="1061">
                  <c:v>158611</c:v>
                </c:pt>
                <c:pt idx="1062">
                  <c:v>161092</c:v>
                </c:pt>
                <c:pt idx="1063">
                  <c:v>161755</c:v>
                </c:pt>
                <c:pt idx="1064">
                  <c:v>164456</c:v>
                </c:pt>
                <c:pt idx="1065">
                  <c:v>157369</c:v>
                </c:pt>
                <c:pt idx="1066">
                  <c:v>158187</c:v>
                </c:pt>
                <c:pt idx="1067">
                  <c:v>157981</c:v>
                </c:pt>
                <c:pt idx="1068">
                  <c:v>159075</c:v>
                </c:pt>
                <c:pt idx="1069">
                  <c:v>159189</c:v>
                </c:pt>
                <c:pt idx="1070">
                  <c:v>160766</c:v>
                </c:pt>
                <c:pt idx="1071">
                  <c:v>162482</c:v>
                </c:pt>
                <c:pt idx="1072">
                  <c:v>158578</c:v>
                </c:pt>
                <c:pt idx="1073">
                  <c:v>157327</c:v>
                </c:pt>
                <c:pt idx="1074">
                  <c:v>157923</c:v>
                </c:pt>
                <c:pt idx="1075">
                  <c:v>158473</c:v>
                </c:pt>
                <c:pt idx="1076">
                  <c:v>158142</c:v>
                </c:pt>
                <c:pt idx="1077">
                  <c:v>160456</c:v>
                </c:pt>
                <c:pt idx="1078">
                  <c:v>160897</c:v>
                </c:pt>
                <c:pt idx="1079">
                  <c:v>160490</c:v>
                </c:pt>
                <c:pt idx="1080">
                  <c:v>161125</c:v>
                </c:pt>
                <c:pt idx="1081">
                  <c:v>160539</c:v>
                </c:pt>
                <c:pt idx="1082">
                  <c:v>161870</c:v>
                </c:pt>
                <c:pt idx="1083">
                  <c:v>163664</c:v>
                </c:pt>
                <c:pt idx="1084">
                  <c:v>161975</c:v>
                </c:pt>
                <c:pt idx="1085">
                  <c:v>162936</c:v>
                </c:pt>
                <c:pt idx="1086">
                  <c:v>163370</c:v>
                </c:pt>
                <c:pt idx="1087">
                  <c:v>163150</c:v>
                </c:pt>
                <c:pt idx="1088">
                  <c:v>161973</c:v>
                </c:pt>
                <c:pt idx="1089">
                  <c:v>165146</c:v>
                </c:pt>
                <c:pt idx="1090">
                  <c:v>165568</c:v>
                </c:pt>
                <c:pt idx="1091">
                  <c:v>164800</c:v>
                </c:pt>
                <c:pt idx="1092">
                  <c:v>164849</c:v>
                </c:pt>
                <c:pt idx="1093">
                  <c:v>166277</c:v>
                </c:pt>
                <c:pt idx="1094">
                  <c:v>171817</c:v>
                </c:pt>
                <c:pt idx="1095">
                  <c:v>175589</c:v>
                </c:pt>
                <c:pt idx="1096">
                  <c:v>178859</c:v>
                </c:pt>
                <c:pt idx="1097">
                  <c:v>178721</c:v>
                </c:pt>
                <c:pt idx="1098">
                  <c:v>181919</c:v>
                </c:pt>
                <c:pt idx="1099">
                  <c:v>184691</c:v>
                </c:pt>
                <c:pt idx="1100">
                  <c:v>183134</c:v>
                </c:pt>
                <c:pt idx="1101">
                  <c:v>181364</c:v>
                </c:pt>
                <c:pt idx="1102">
                  <c:v>182793</c:v>
                </c:pt>
                <c:pt idx="1103">
                  <c:v>185674</c:v>
                </c:pt>
                <c:pt idx="1104">
                  <c:v>181708</c:v>
                </c:pt>
                <c:pt idx="1105">
                  <c:v>182127</c:v>
                </c:pt>
                <c:pt idx="1106">
                  <c:v>182950</c:v>
                </c:pt>
                <c:pt idx="1107">
                  <c:v>186241</c:v>
                </c:pt>
                <c:pt idx="1108">
                  <c:v>185929</c:v>
                </c:pt>
                <c:pt idx="1109">
                  <c:v>189699</c:v>
                </c:pt>
                <c:pt idx="1110">
                  <c:v>187766</c:v>
                </c:pt>
                <c:pt idx="1111">
                  <c:v>186464</c:v>
                </c:pt>
                <c:pt idx="1112">
                  <c:v>186016</c:v>
                </c:pt>
                <c:pt idx="1113">
                  <c:v>188534</c:v>
                </c:pt>
                <c:pt idx="1114">
                  <c:v>190534</c:v>
                </c:pt>
                <c:pt idx="1115">
                  <c:v>188853</c:v>
                </c:pt>
                <c:pt idx="1116">
                  <c:v>191490</c:v>
                </c:pt>
                <c:pt idx="1117">
                  <c:v>191247</c:v>
                </c:pt>
                <c:pt idx="1118">
                  <c:v>191005</c:v>
                </c:pt>
                <c:pt idx="1119">
                  <c:v>188787</c:v>
                </c:pt>
                <c:pt idx="1120">
                  <c:v>189307</c:v>
                </c:pt>
                <c:pt idx="1121">
                  <c:v>183105</c:v>
                </c:pt>
                <c:pt idx="1122">
                  <c:v>185366</c:v>
                </c:pt>
                <c:pt idx="1123">
                  <c:v>180464</c:v>
                </c:pt>
                <c:pt idx="1124">
                  <c:v>179365</c:v>
                </c:pt>
                <c:pt idx="1125">
                  <c:v>180915</c:v>
                </c:pt>
                <c:pt idx="1126">
                  <c:v>183447</c:v>
                </c:pt>
                <c:pt idx="1127">
                  <c:v>183969</c:v>
                </c:pt>
                <c:pt idx="1128">
                  <c:v>179284</c:v>
                </c:pt>
                <c:pt idx="1129">
                  <c:v>177653</c:v>
                </c:pt>
                <c:pt idx="1130">
                  <c:v>179875</c:v>
                </c:pt>
                <c:pt idx="1131">
                  <c:v>180410</c:v>
                </c:pt>
                <c:pt idx="1132">
                  <c:v>179640</c:v>
                </c:pt>
                <c:pt idx="1133">
                  <c:v>180271</c:v>
                </c:pt>
                <c:pt idx="1134">
                  <c:v>176219</c:v>
                </c:pt>
                <c:pt idx="1135">
                  <c:v>181932</c:v>
                </c:pt>
                <c:pt idx="1136">
                  <c:v>182509</c:v>
                </c:pt>
                <c:pt idx="1137">
                  <c:v>185424</c:v>
                </c:pt>
                <c:pt idx="1138">
                  <c:v>182733</c:v>
                </c:pt>
                <c:pt idx="1139">
                  <c:v>181557</c:v>
                </c:pt>
                <c:pt idx="1140">
                  <c:v>182514</c:v>
                </c:pt>
                <c:pt idx="1141">
                  <c:v>187462</c:v>
                </c:pt>
                <c:pt idx="1142">
                  <c:v>187953</c:v>
                </c:pt>
                <c:pt idx="1143">
                  <c:v>188052</c:v>
                </c:pt>
                <c:pt idx="1144">
                  <c:v>188162</c:v>
                </c:pt>
                <c:pt idx="1145">
                  <c:v>188259</c:v>
                </c:pt>
                <c:pt idx="1146">
                  <c:v>192201</c:v>
                </c:pt>
                <c:pt idx="1147">
                  <c:v>195129</c:v>
                </c:pt>
                <c:pt idx="1148">
                  <c:v>197324</c:v>
                </c:pt>
                <c:pt idx="1149">
                  <c:v>198001</c:v>
                </c:pt>
                <c:pt idx="1150">
                  <c:v>198657</c:v>
                </c:pt>
                <c:pt idx="1151">
                  <c:v>197738</c:v>
                </c:pt>
                <c:pt idx="1152">
                  <c:v>196819</c:v>
                </c:pt>
                <c:pt idx="1153">
                  <c:v>195734</c:v>
                </c:pt>
                <c:pt idx="1154">
                  <c:v>196132</c:v>
                </c:pt>
                <c:pt idx="1155">
                  <c:v>192889</c:v>
                </c:pt>
                <c:pt idx="1156">
                  <c:v>191378</c:v>
                </c:pt>
                <c:pt idx="1157">
                  <c:v>190745</c:v>
                </c:pt>
                <c:pt idx="1158">
                  <c:v>189579</c:v>
                </c:pt>
                <c:pt idx="1159">
                  <c:v>188619</c:v>
                </c:pt>
                <c:pt idx="1160">
                  <c:v>184750</c:v>
                </c:pt>
                <c:pt idx="1161">
                  <c:v>187318</c:v>
                </c:pt>
                <c:pt idx="1162">
                  <c:v>185600</c:v>
                </c:pt>
                <c:pt idx="1163">
                  <c:v>186754</c:v>
                </c:pt>
                <c:pt idx="1164">
                  <c:v>187691</c:v>
                </c:pt>
                <c:pt idx="1165">
                  <c:v>183218</c:v>
                </c:pt>
                <c:pt idx="1166">
                  <c:v>184108</c:v>
                </c:pt>
                <c:pt idx="1167">
                  <c:v>181909</c:v>
                </c:pt>
                <c:pt idx="1168">
                  <c:v>180342</c:v>
                </c:pt>
                <c:pt idx="1169">
                  <c:v>177098</c:v>
                </c:pt>
                <c:pt idx="1170">
                  <c:v>178366</c:v>
                </c:pt>
                <c:pt idx="1171">
                  <c:v>177284</c:v>
                </c:pt>
                <c:pt idx="1172">
                  <c:v>176976</c:v>
                </c:pt>
                <c:pt idx="1173">
                  <c:v>174279</c:v>
                </c:pt>
                <c:pt idx="1174">
                  <c:v>177356</c:v>
                </c:pt>
                <c:pt idx="1175">
                  <c:v>177650</c:v>
                </c:pt>
                <c:pt idx="1176">
                  <c:v>176210</c:v>
                </c:pt>
                <c:pt idx="1177">
                  <c:v>177816</c:v>
                </c:pt>
                <c:pt idx="1178">
                  <c:v>176589</c:v>
                </c:pt>
                <c:pt idx="1179">
                  <c:v>175744</c:v>
                </c:pt>
                <c:pt idx="1180">
                  <c:v>175063</c:v>
                </c:pt>
                <c:pt idx="1181">
                  <c:v>173787</c:v>
                </c:pt>
                <c:pt idx="1182">
                  <c:v>172197</c:v>
                </c:pt>
                <c:pt idx="1183">
                  <c:v>174198</c:v>
                </c:pt>
                <c:pt idx="1184">
                  <c:v>170331</c:v>
                </c:pt>
                <c:pt idx="1185">
                  <c:v>169019</c:v>
                </c:pt>
                <c:pt idx="1186">
                  <c:v>168669</c:v>
                </c:pt>
                <c:pt idx="1187">
                  <c:v>169813</c:v>
                </c:pt>
                <c:pt idx="1188">
                  <c:v>168619</c:v>
                </c:pt>
                <c:pt idx="1189">
                  <c:v>171497</c:v>
                </c:pt>
                <c:pt idx="1190">
                  <c:v>171133</c:v>
                </c:pt>
                <c:pt idx="1191">
                  <c:v>170415</c:v>
                </c:pt>
                <c:pt idx="1192">
                  <c:v>169648</c:v>
                </c:pt>
                <c:pt idx="1193">
                  <c:v>168454</c:v>
                </c:pt>
                <c:pt idx="1194">
                  <c:v>168278</c:v>
                </c:pt>
                <c:pt idx="1195">
                  <c:v>168334</c:v>
                </c:pt>
                <c:pt idx="1196">
                  <c:v>170370</c:v>
                </c:pt>
                <c:pt idx="1197">
                  <c:v>171259</c:v>
                </c:pt>
                <c:pt idx="1198">
                  <c:v>170507</c:v>
                </c:pt>
                <c:pt idx="1199">
                  <c:v>171990</c:v>
                </c:pt>
                <c:pt idx="1200">
                  <c:v>173295</c:v>
                </c:pt>
                <c:pt idx="1201">
                  <c:v>173205</c:v>
                </c:pt>
                <c:pt idx="1202">
                  <c:v>172024</c:v>
                </c:pt>
                <c:pt idx="1203">
                  <c:v>171689</c:v>
                </c:pt>
                <c:pt idx="1204">
                  <c:v>172788</c:v>
                </c:pt>
                <c:pt idx="1205">
                  <c:v>174070</c:v>
                </c:pt>
                <c:pt idx="1206">
                  <c:v>172448</c:v>
                </c:pt>
                <c:pt idx="1207">
                  <c:v>172021</c:v>
                </c:pt>
                <c:pt idx="1208">
                  <c:v>170653</c:v>
                </c:pt>
                <c:pt idx="1209">
                  <c:v>172742</c:v>
                </c:pt>
                <c:pt idx="1210">
                  <c:v>177866</c:v>
                </c:pt>
                <c:pt idx="1211">
                  <c:v>175739</c:v>
                </c:pt>
                <c:pt idx="1212">
                  <c:v>176641</c:v>
                </c:pt>
                <c:pt idx="1213">
                  <c:v>176011</c:v>
                </c:pt>
                <c:pt idx="1214">
                  <c:v>173825</c:v>
                </c:pt>
                <c:pt idx="1215">
                  <c:v>173714</c:v>
                </c:pt>
                <c:pt idx="1216">
                  <c:v>173371</c:v>
                </c:pt>
                <c:pt idx="1217">
                  <c:v>173326</c:v>
                </c:pt>
                <c:pt idx="1218">
                  <c:v>177548</c:v>
                </c:pt>
                <c:pt idx="1219">
                  <c:v>176724</c:v>
                </c:pt>
                <c:pt idx="1220">
                  <c:v>174042</c:v>
                </c:pt>
                <c:pt idx="1221">
                  <c:v>175334</c:v>
                </c:pt>
                <c:pt idx="1222">
                  <c:v>176565</c:v>
                </c:pt>
                <c:pt idx="1223">
                  <c:v>173885</c:v>
                </c:pt>
                <c:pt idx="1224">
                  <c:v>177159</c:v>
                </c:pt>
                <c:pt idx="1225">
                  <c:v>177999</c:v>
                </c:pt>
                <c:pt idx="1226">
                  <c:v>178000</c:v>
                </c:pt>
                <c:pt idx="1227">
                  <c:v>177895</c:v>
                </c:pt>
                <c:pt idx="1228">
                  <c:v>177726</c:v>
                </c:pt>
                <c:pt idx="1229">
                  <c:v>175546</c:v>
                </c:pt>
                <c:pt idx="1230">
                  <c:v>172513</c:v>
                </c:pt>
                <c:pt idx="1231">
                  <c:v>172180</c:v>
                </c:pt>
                <c:pt idx="1232">
                  <c:v>167875</c:v>
                </c:pt>
                <c:pt idx="1233">
                  <c:v>167491</c:v>
                </c:pt>
                <c:pt idx="1234">
                  <c:v>167101</c:v>
                </c:pt>
                <c:pt idx="1235">
                  <c:v>166934</c:v>
                </c:pt>
                <c:pt idx="1236">
                  <c:v>166784</c:v>
                </c:pt>
                <c:pt idx="1237">
                  <c:v>166335</c:v>
                </c:pt>
                <c:pt idx="1238">
                  <c:v>167830</c:v>
                </c:pt>
                <c:pt idx="1239">
                  <c:v>167927</c:v>
                </c:pt>
                <c:pt idx="1240">
                  <c:v>171032</c:v>
                </c:pt>
                <c:pt idx="1241">
                  <c:v>171907</c:v>
                </c:pt>
                <c:pt idx="1242">
                  <c:v>174577</c:v>
                </c:pt>
                <c:pt idx="1243">
                  <c:v>174586</c:v>
                </c:pt>
                <c:pt idx="1244">
                  <c:v>175135</c:v>
                </c:pt>
                <c:pt idx="1245">
                  <c:v>175665</c:v>
                </c:pt>
                <c:pt idx="1246">
                  <c:v>177419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9-483C-A213-4EC3AF18B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115657"/>
        <c:axId val="9029419"/>
      </c:lineChart>
      <c:dateAx>
        <c:axId val="411156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/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29419"/>
        <c:crosses val="autoZero"/>
        <c:auto val="1"/>
        <c:lblOffset val="100"/>
        <c:baseTimeUnit val="days"/>
        <c:majorUnit val="6"/>
        <c:majorTimeUnit val="months"/>
      </c:dateAx>
      <c:valAx>
        <c:axId val="9029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156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ICO2 — Log-retorno diário</a:t>
            </a:r>
          </a:p>
        </c:rich>
      </c:tx>
      <c:layout>
        <c:manualLayout>
          <c:xMode val="edge"/>
          <c:yMode val="edge"/>
          <c:x val="0.16792746726195915"/>
          <c:y val="3.089278319043393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Dados!$D$1</c:f>
              <c:strCache>
                <c:ptCount val="1"/>
                <c:pt idx="0">
                  <c:v>ICO2_LogRetorno</c:v>
                </c:pt>
              </c:strCache>
            </c:strRef>
          </c:tx>
          <c:spPr>
            <a:ln w="9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Dados!$A$2:$A$1248</c:f>
              <c:numCache>
                <c:formatCode>m/d/yy</c:formatCode>
                <c:ptCount val="1247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44445</c:v>
                </c:pt>
                <c:pt idx="4">
                  <c:v>44447</c:v>
                </c:pt>
                <c:pt idx="5">
                  <c:v>44448</c:v>
                </c:pt>
                <c:pt idx="6">
                  <c:v>44449</c:v>
                </c:pt>
                <c:pt idx="7">
                  <c:v>44452</c:v>
                </c:pt>
                <c:pt idx="8">
                  <c:v>44453</c:v>
                </c:pt>
                <c:pt idx="9">
                  <c:v>44454</c:v>
                </c:pt>
                <c:pt idx="10">
                  <c:v>44455</c:v>
                </c:pt>
                <c:pt idx="11">
                  <c:v>44456</c:v>
                </c:pt>
                <c:pt idx="12">
                  <c:v>44459</c:v>
                </c:pt>
                <c:pt idx="13">
                  <c:v>44460</c:v>
                </c:pt>
                <c:pt idx="14">
                  <c:v>44461</c:v>
                </c:pt>
                <c:pt idx="15">
                  <c:v>44462</c:v>
                </c:pt>
                <c:pt idx="16">
                  <c:v>44463</c:v>
                </c:pt>
                <c:pt idx="17">
                  <c:v>44466</c:v>
                </c:pt>
                <c:pt idx="18">
                  <c:v>44467</c:v>
                </c:pt>
                <c:pt idx="19">
                  <c:v>44468</c:v>
                </c:pt>
                <c:pt idx="20">
                  <c:v>44469</c:v>
                </c:pt>
                <c:pt idx="21">
                  <c:v>44470</c:v>
                </c:pt>
                <c:pt idx="22">
                  <c:v>44473</c:v>
                </c:pt>
                <c:pt idx="23">
                  <c:v>44474</c:v>
                </c:pt>
                <c:pt idx="24">
                  <c:v>44475</c:v>
                </c:pt>
                <c:pt idx="25">
                  <c:v>44476</c:v>
                </c:pt>
                <c:pt idx="26">
                  <c:v>44477</c:v>
                </c:pt>
                <c:pt idx="27">
                  <c:v>44480</c:v>
                </c:pt>
                <c:pt idx="28">
                  <c:v>44482</c:v>
                </c:pt>
                <c:pt idx="29">
                  <c:v>44483</c:v>
                </c:pt>
                <c:pt idx="30">
                  <c:v>44484</c:v>
                </c:pt>
                <c:pt idx="31">
                  <c:v>44487</c:v>
                </c:pt>
                <c:pt idx="32">
                  <c:v>44488</c:v>
                </c:pt>
                <c:pt idx="33">
                  <c:v>44489</c:v>
                </c:pt>
                <c:pt idx="34">
                  <c:v>44490</c:v>
                </c:pt>
                <c:pt idx="35">
                  <c:v>44491</c:v>
                </c:pt>
                <c:pt idx="36">
                  <c:v>44494</c:v>
                </c:pt>
                <c:pt idx="37">
                  <c:v>44495</c:v>
                </c:pt>
                <c:pt idx="38">
                  <c:v>44496</c:v>
                </c:pt>
                <c:pt idx="39">
                  <c:v>44497</c:v>
                </c:pt>
                <c:pt idx="40">
                  <c:v>44498</c:v>
                </c:pt>
                <c:pt idx="41">
                  <c:v>44501</c:v>
                </c:pt>
                <c:pt idx="42">
                  <c:v>44503</c:v>
                </c:pt>
                <c:pt idx="43">
                  <c:v>44504</c:v>
                </c:pt>
                <c:pt idx="44">
                  <c:v>44505</c:v>
                </c:pt>
                <c:pt idx="45">
                  <c:v>44508</c:v>
                </c:pt>
                <c:pt idx="46">
                  <c:v>44509</c:v>
                </c:pt>
                <c:pt idx="47">
                  <c:v>44510</c:v>
                </c:pt>
                <c:pt idx="48">
                  <c:v>44511</c:v>
                </c:pt>
                <c:pt idx="49">
                  <c:v>44512</c:v>
                </c:pt>
                <c:pt idx="50">
                  <c:v>44516</c:v>
                </c:pt>
                <c:pt idx="51">
                  <c:v>44517</c:v>
                </c:pt>
                <c:pt idx="52">
                  <c:v>44518</c:v>
                </c:pt>
                <c:pt idx="53">
                  <c:v>44519</c:v>
                </c:pt>
                <c:pt idx="54">
                  <c:v>44522</c:v>
                </c:pt>
                <c:pt idx="55">
                  <c:v>44523</c:v>
                </c:pt>
                <c:pt idx="56">
                  <c:v>44524</c:v>
                </c:pt>
                <c:pt idx="57">
                  <c:v>44525</c:v>
                </c:pt>
                <c:pt idx="58">
                  <c:v>44526</c:v>
                </c:pt>
                <c:pt idx="59">
                  <c:v>44529</c:v>
                </c:pt>
                <c:pt idx="60">
                  <c:v>44530</c:v>
                </c:pt>
                <c:pt idx="61">
                  <c:v>44531</c:v>
                </c:pt>
                <c:pt idx="62">
                  <c:v>44532</c:v>
                </c:pt>
                <c:pt idx="63">
                  <c:v>44533</c:v>
                </c:pt>
                <c:pt idx="64">
                  <c:v>44536</c:v>
                </c:pt>
                <c:pt idx="65">
                  <c:v>44537</c:v>
                </c:pt>
                <c:pt idx="66">
                  <c:v>44538</c:v>
                </c:pt>
                <c:pt idx="67">
                  <c:v>44539</c:v>
                </c:pt>
                <c:pt idx="68">
                  <c:v>44540</c:v>
                </c:pt>
                <c:pt idx="69">
                  <c:v>44543</c:v>
                </c:pt>
                <c:pt idx="70">
                  <c:v>44544</c:v>
                </c:pt>
                <c:pt idx="71">
                  <c:v>44545</c:v>
                </c:pt>
                <c:pt idx="72">
                  <c:v>44546</c:v>
                </c:pt>
                <c:pt idx="73">
                  <c:v>44547</c:v>
                </c:pt>
                <c:pt idx="74">
                  <c:v>44550</c:v>
                </c:pt>
                <c:pt idx="75">
                  <c:v>44551</c:v>
                </c:pt>
                <c:pt idx="76">
                  <c:v>44552</c:v>
                </c:pt>
                <c:pt idx="77">
                  <c:v>44553</c:v>
                </c:pt>
                <c:pt idx="78">
                  <c:v>44557</c:v>
                </c:pt>
                <c:pt idx="79">
                  <c:v>44558</c:v>
                </c:pt>
                <c:pt idx="80">
                  <c:v>44559</c:v>
                </c:pt>
                <c:pt idx="81">
                  <c:v>44560</c:v>
                </c:pt>
                <c:pt idx="82">
                  <c:v>44564</c:v>
                </c:pt>
                <c:pt idx="83">
                  <c:v>44565</c:v>
                </c:pt>
                <c:pt idx="84">
                  <c:v>44566</c:v>
                </c:pt>
                <c:pt idx="85">
                  <c:v>44567</c:v>
                </c:pt>
                <c:pt idx="86">
                  <c:v>44568</c:v>
                </c:pt>
                <c:pt idx="87">
                  <c:v>44571</c:v>
                </c:pt>
                <c:pt idx="88">
                  <c:v>44572</c:v>
                </c:pt>
                <c:pt idx="89">
                  <c:v>44573</c:v>
                </c:pt>
                <c:pt idx="90">
                  <c:v>44574</c:v>
                </c:pt>
                <c:pt idx="91">
                  <c:v>44575</c:v>
                </c:pt>
                <c:pt idx="92">
                  <c:v>44578</c:v>
                </c:pt>
                <c:pt idx="93">
                  <c:v>44579</c:v>
                </c:pt>
                <c:pt idx="94">
                  <c:v>44580</c:v>
                </c:pt>
                <c:pt idx="95">
                  <c:v>44581</c:v>
                </c:pt>
                <c:pt idx="96">
                  <c:v>44582</c:v>
                </c:pt>
                <c:pt idx="97">
                  <c:v>44585</c:v>
                </c:pt>
                <c:pt idx="98">
                  <c:v>44586</c:v>
                </c:pt>
                <c:pt idx="99">
                  <c:v>44587</c:v>
                </c:pt>
                <c:pt idx="100">
                  <c:v>44588</c:v>
                </c:pt>
                <c:pt idx="101">
                  <c:v>44589</c:v>
                </c:pt>
                <c:pt idx="102">
                  <c:v>44592</c:v>
                </c:pt>
                <c:pt idx="103">
                  <c:v>44593</c:v>
                </c:pt>
                <c:pt idx="104">
                  <c:v>44594</c:v>
                </c:pt>
                <c:pt idx="105">
                  <c:v>44595</c:v>
                </c:pt>
                <c:pt idx="106">
                  <c:v>44596</c:v>
                </c:pt>
                <c:pt idx="107">
                  <c:v>44599</c:v>
                </c:pt>
                <c:pt idx="108">
                  <c:v>44600</c:v>
                </c:pt>
                <c:pt idx="109">
                  <c:v>44601</c:v>
                </c:pt>
                <c:pt idx="110">
                  <c:v>44602</c:v>
                </c:pt>
                <c:pt idx="111">
                  <c:v>44603</c:v>
                </c:pt>
                <c:pt idx="112">
                  <c:v>44606</c:v>
                </c:pt>
                <c:pt idx="113">
                  <c:v>44607</c:v>
                </c:pt>
                <c:pt idx="114">
                  <c:v>44608</c:v>
                </c:pt>
                <c:pt idx="115">
                  <c:v>44609</c:v>
                </c:pt>
                <c:pt idx="116">
                  <c:v>44610</c:v>
                </c:pt>
                <c:pt idx="117">
                  <c:v>44613</c:v>
                </c:pt>
                <c:pt idx="118">
                  <c:v>44614</c:v>
                </c:pt>
                <c:pt idx="119">
                  <c:v>44615</c:v>
                </c:pt>
                <c:pt idx="120">
                  <c:v>44616</c:v>
                </c:pt>
                <c:pt idx="121">
                  <c:v>44617</c:v>
                </c:pt>
                <c:pt idx="122">
                  <c:v>44622</c:v>
                </c:pt>
                <c:pt idx="123">
                  <c:v>44623</c:v>
                </c:pt>
                <c:pt idx="124">
                  <c:v>44624</c:v>
                </c:pt>
                <c:pt idx="125">
                  <c:v>44627</c:v>
                </c:pt>
                <c:pt idx="126">
                  <c:v>44628</c:v>
                </c:pt>
                <c:pt idx="127">
                  <c:v>44629</c:v>
                </c:pt>
                <c:pt idx="128">
                  <c:v>44630</c:v>
                </c:pt>
                <c:pt idx="129">
                  <c:v>44631</c:v>
                </c:pt>
                <c:pt idx="130">
                  <c:v>44634</c:v>
                </c:pt>
                <c:pt idx="131">
                  <c:v>44635</c:v>
                </c:pt>
                <c:pt idx="132">
                  <c:v>44636</c:v>
                </c:pt>
                <c:pt idx="133">
                  <c:v>44637</c:v>
                </c:pt>
                <c:pt idx="134">
                  <c:v>44638</c:v>
                </c:pt>
                <c:pt idx="135">
                  <c:v>44641</c:v>
                </c:pt>
                <c:pt idx="136">
                  <c:v>44642</c:v>
                </c:pt>
                <c:pt idx="137">
                  <c:v>44643</c:v>
                </c:pt>
                <c:pt idx="138">
                  <c:v>44644</c:v>
                </c:pt>
                <c:pt idx="139">
                  <c:v>44645</c:v>
                </c:pt>
                <c:pt idx="140">
                  <c:v>44648</c:v>
                </c:pt>
                <c:pt idx="141">
                  <c:v>44649</c:v>
                </c:pt>
                <c:pt idx="142">
                  <c:v>44650</c:v>
                </c:pt>
                <c:pt idx="143">
                  <c:v>44651</c:v>
                </c:pt>
                <c:pt idx="144">
                  <c:v>44652</c:v>
                </c:pt>
                <c:pt idx="145">
                  <c:v>44655</c:v>
                </c:pt>
                <c:pt idx="146">
                  <c:v>44656</c:v>
                </c:pt>
                <c:pt idx="147">
                  <c:v>44657</c:v>
                </c:pt>
                <c:pt idx="148">
                  <c:v>44658</c:v>
                </c:pt>
                <c:pt idx="149">
                  <c:v>44659</c:v>
                </c:pt>
                <c:pt idx="150">
                  <c:v>44662</c:v>
                </c:pt>
                <c:pt idx="151">
                  <c:v>44663</c:v>
                </c:pt>
                <c:pt idx="152">
                  <c:v>44664</c:v>
                </c:pt>
                <c:pt idx="153">
                  <c:v>44665</c:v>
                </c:pt>
                <c:pt idx="154">
                  <c:v>44669</c:v>
                </c:pt>
                <c:pt idx="155">
                  <c:v>44670</c:v>
                </c:pt>
                <c:pt idx="156">
                  <c:v>44671</c:v>
                </c:pt>
                <c:pt idx="157">
                  <c:v>44673</c:v>
                </c:pt>
                <c:pt idx="158">
                  <c:v>44676</c:v>
                </c:pt>
                <c:pt idx="159">
                  <c:v>44677</c:v>
                </c:pt>
                <c:pt idx="160">
                  <c:v>44678</c:v>
                </c:pt>
                <c:pt idx="161">
                  <c:v>44679</c:v>
                </c:pt>
                <c:pt idx="162">
                  <c:v>44680</c:v>
                </c:pt>
                <c:pt idx="163">
                  <c:v>44683</c:v>
                </c:pt>
                <c:pt idx="164">
                  <c:v>44684</c:v>
                </c:pt>
                <c:pt idx="165">
                  <c:v>44685</c:v>
                </c:pt>
                <c:pt idx="166">
                  <c:v>44686</c:v>
                </c:pt>
                <c:pt idx="167">
                  <c:v>44687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44697</c:v>
                </c:pt>
                <c:pt idx="174">
                  <c:v>44698</c:v>
                </c:pt>
                <c:pt idx="175">
                  <c:v>44699</c:v>
                </c:pt>
                <c:pt idx="176">
                  <c:v>44700</c:v>
                </c:pt>
                <c:pt idx="177">
                  <c:v>44701</c:v>
                </c:pt>
                <c:pt idx="178">
                  <c:v>44704</c:v>
                </c:pt>
                <c:pt idx="179">
                  <c:v>44705</c:v>
                </c:pt>
                <c:pt idx="180">
                  <c:v>44706</c:v>
                </c:pt>
                <c:pt idx="181">
                  <c:v>44707</c:v>
                </c:pt>
                <c:pt idx="182">
                  <c:v>44708</c:v>
                </c:pt>
                <c:pt idx="183">
                  <c:v>44711</c:v>
                </c:pt>
                <c:pt idx="184">
                  <c:v>44712</c:v>
                </c:pt>
                <c:pt idx="185">
                  <c:v>44713</c:v>
                </c:pt>
                <c:pt idx="186">
                  <c:v>44714</c:v>
                </c:pt>
                <c:pt idx="187">
                  <c:v>44715</c:v>
                </c:pt>
                <c:pt idx="188">
                  <c:v>44718</c:v>
                </c:pt>
                <c:pt idx="189">
                  <c:v>44719</c:v>
                </c:pt>
                <c:pt idx="190">
                  <c:v>44720</c:v>
                </c:pt>
                <c:pt idx="191">
                  <c:v>44721</c:v>
                </c:pt>
                <c:pt idx="192">
                  <c:v>44722</c:v>
                </c:pt>
                <c:pt idx="193">
                  <c:v>44725</c:v>
                </c:pt>
                <c:pt idx="194">
                  <c:v>44726</c:v>
                </c:pt>
                <c:pt idx="195">
                  <c:v>44727</c:v>
                </c:pt>
                <c:pt idx="196">
                  <c:v>44729</c:v>
                </c:pt>
                <c:pt idx="197">
                  <c:v>44732</c:v>
                </c:pt>
                <c:pt idx="198">
                  <c:v>44733</c:v>
                </c:pt>
                <c:pt idx="199">
                  <c:v>44734</c:v>
                </c:pt>
                <c:pt idx="200">
                  <c:v>44735</c:v>
                </c:pt>
                <c:pt idx="201">
                  <c:v>44736</c:v>
                </c:pt>
                <c:pt idx="202">
                  <c:v>44739</c:v>
                </c:pt>
                <c:pt idx="203">
                  <c:v>44740</c:v>
                </c:pt>
                <c:pt idx="204">
                  <c:v>44741</c:v>
                </c:pt>
                <c:pt idx="205">
                  <c:v>44742</c:v>
                </c:pt>
                <c:pt idx="206">
                  <c:v>44743</c:v>
                </c:pt>
                <c:pt idx="207">
                  <c:v>44746</c:v>
                </c:pt>
                <c:pt idx="208">
                  <c:v>44747</c:v>
                </c:pt>
                <c:pt idx="209">
                  <c:v>44748</c:v>
                </c:pt>
                <c:pt idx="210">
                  <c:v>44749</c:v>
                </c:pt>
                <c:pt idx="211">
                  <c:v>44750</c:v>
                </c:pt>
                <c:pt idx="212">
                  <c:v>44753</c:v>
                </c:pt>
                <c:pt idx="213">
                  <c:v>44754</c:v>
                </c:pt>
                <c:pt idx="214">
                  <c:v>44755</c:v>
                </c:pt>
                <c:pt idx="215">
                  <c:v>44756</c:v>
                </c:pt>
                <c:pt idx="216">
                  <c:v>44757</c:v>
                </c:pt>
                <c:pt idx="217">
                  <c:v>44760</c:v>
                </c:pt>
                <c:pt idx="218">
                  <c:v>44761</c:v>
                </c:pt>
                <c:pt idx="219">
                  <c:v>44762</c:v>
                </c:pt>
                <c:pt idx="220">
                  <c:v>44763</c:v>
                </c:pt>
                <c:pt idx="221">
                  <c:v>44764</c:v>
                </c:pt>
                <c:pt idx="222">
                  <c:v>44767</c:v>
                </c:pt>
                <c:pt idx="223">
                  <c:v>44768</c:v>
                </c:pt>
                <c:pt idx="224">
                  <c:v>44769</c:v>
                </c:pt>
                <c:pt idx="225">
                  <c:v>44770</c:v>
                </c:pt>
                <c:pt idx="226">
                  <c:v>44771</c:v>
                </c:pt>
                <c:pt idx="227">
                  <c:v>44774</c:v>
                </c:pt>
                <c:pt idx="228">
                  <c:v>44775</c:v>
                </c:pt>
                <c:pt idx="229">
                  <c:v>44776</c:v>
                </c:pt>
                <c:pt idx="230">
                  <c:v>44777</c:v>
                </c:pt>
                <c:pt idx="231">
                  <c:v>44778</c:v>
                </c:pt>
                <c:pt idx="232">
                  <c:v>44781</c:v>
                </c:pt>
                <c:pt idx="233">
                  <c:v>44782</c:v>
                </c:pt>
                <c:pt idx="234">
                  <c:v>44783</c:v>
                </c:pt>
                <c:pt idx="235">
                  <c:v>44784</c:v>
                </c:pt>
                <c:pt idx="236">
                  <c:v>44785</c:v>
                </c:pt>
                <c:pt idx="237">
                  <c:v>44788</c:v>
                </c:pt>
                <c:pt idx="238">
                  <c:v>44789</c:v>
                </c:pt>
                <c:pt idx="239">
                  <c:v>44790</c:v>
                </c:pt>
                <c:pt idx="240">
                  <c:v>44791</c:v>
                </c:pt>
                <c:pt idx="241">
                  <c:v>44792</c:v>
                </c:pt>
                <c:pt idx="242">
                  <c:v>44795</c:v>
                </c:pt>
                <c:pt idx="243">
                  <c:v>44796</c:v>
                </c:pt>
                <c:pt idx="244">
                  <c:v>44797</c:v>
                </c:pt>
                <c:pt idx="245">
                  <c:v>44798</c:v>
                </c:pt>
                <c:pt idx="246">
                  <c:v>44799</c:v>
                </c:pt>
                <c:pt idx="247">
                  <c:v>44802</c:v>
                </c:pt>
                <c:pt idx="248">
                  <c:v>44803</c:v>
                </c:pt>
                <c:pt idx="249">
                  <c:v>44804</c:v>
                </c:pt>
                <c:pt idx="250">
                  <c:v>44805</c:v>
                </c:pt>
                <c:pt idx="251">
                  <c:v>44806</c:v>
                </c:pt>
                <c:pt idx="252">
                  <c:v>44809</c:v>
                </c:pt>
                <c:pt idx="253">
                  <c:v>44810</c:v>
                </c:pt>
                <c:pt idx="254">
                  <c:v>44812</c:v>
                </c:pt>
                <c:pt idx="255">
                  <c:v>44813</c:v>
                </c:pt>
                <c:pt idx="256">
                  <c:v>44816</c:v>
                </c:pt>
                <c:pt idx="257">
                  <c:v>44817</c:v>
                </c:pt>
                <c:pt idx="258">
                  <c:v>44818</c:v>
                </c:pt>
                <c:pt idx="259">
                  <c:v>44819</c:v>
                </c:pt>
                <c:pt idx="260">
                  <c:v>44820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44830</c:v>
                </c:pt>
                <c:pt idx="267">
                  <c:v>44831</c:v>
                </c:pt>
                <c:pt idx="268">
                  <c:v>44832</c:v>
                </c:pt>
                <c:pt idx="269">
                  <c:v>44833</c:v>
                </c:pt>
                <c:pt idx="270">
                  <c:v>44834</c:v>
                </c:pt>
                <c:pt idx="271">
                  <c:v>44837</c:v>
                </c:pt>
                <c:pt idx="272">
                  <c:v>44838</c:v>
                </c:pt>
                <c:pt idx="273">
                  <c:v>44839</c:v>
                </c:pt>
                <c:pt idx="274">
                  <c:v>44840</c:v>
                </c:pt>
                <c:pt idx="275">
                  <c:v>44841</c:v>
                </c:pt>
                <c:pt idx="276">
                  <c:v>44844</c:v>
                </c:pt>
                <c:pt idx="277">
                  <c:v>44845</c:v>
                </c:pt>
                <c:pt idx="278">
                  <c:v>44847</c:v>
                </c:pt>
                <c:pt idx="279">
                  <c:v>44848</c:v>
                </c:pt>
                <c:pt idx="280">
                  <c:v>44851</c:v>
                </c:pt>
                <c:pt idx="281">
                  <c:v>44852</c:v>
                </c:pt>
                <c:pt idx="282">
                  <c:v>44853</c:v>
                </c:pt>
                <c:pt idx="283">
                  <c:v>44854</c:v>
                </c:pt>
                <c:pt idx="284">
                  <c:v>44855</c:v>
                </c:pt>
                <c:pt idx="285">
                  <c:v>44858</c:v>
                </c:pt>
                <c:pt idx="286">
                  <c:v>44859</c:v>
                </c:pt>
                <c:pt idx="287">
                  <c:v>44860</c:v>
                </c:pt>
                <c:pt idx="288">
                  <c:v>44861</c:v>
                </c:pt>
                <c:pt idx="289">
                  <c:v>44862</c:v>
                </c:pt>
                <c:pt idx="290">
                  <c:v>44865</c:v>
                </c:pt>
                <c:pt idx="291">
                  <c:v>44866</c:v>
                </c:pt>
                <c:pt idx="292">
                  <c:v>44868</c:v>
                </c:pt>
                <c:pt idx="293">
                  <c:v>44869</c:v>
                </c:pt>
                <c:pt idx="294">
                  <c:v>44872</c:v>
                </c:pt>
                <c:pt idx="295">
                  <c:v>44873</c:v>
                </c:pt>
                <c:pt idx="296">
                  <c:v>44874</c:v>
                </c:pt>
                <c:pt idx="297">
                  <c:v>44875</c:v>
                </c:pt>
                <c:pt idx="298">
                  <c:v>44876</c:v>
                </c:pt>
                <c:pt idx="299">
                  <c:v>44879</c:v>
                </c:pt>
                <c:pt idx="300">
                  <c:v>44881</c:v>
                </c:pt>
                <c:pt idx="301">
                  <c:v>44882</c:v>
                </c:pt>
                <c:pt idx="302">
                  <c:v>44883</c:v>
                </c:pt>
                <c:pt idx="303">
                  <c:v>44886</c:v>
                </c:pt>
                <c:pt idx="304">
                  <c:v>44887</c:v>
                </c:pt>
                <c:pt idx="305">
                  <c:v>44888</c:v>
                </c:pt>
                <c:pt idx="306">
                  <c:v>44889</c:v>
                </c:pt>
                <c:pt idx="307">
                  <c:v>44890</c:v>
                </c:pt>
                <c:pt idx="308">
                  <c:v>44893</c:v>
                </c:pt>
                <c:pt idx="309">
                  <c:v>44894</c:v>
                </c:pt>
                <c:pt idx="310">
                  <c:v>44895</c:v>
                </c:pt>
                <c:pt idx="311">
                  <c:v>44896</c:v>
                </c:pt>
                <c:pt idx="312">
                  <c:v>44897</c:v>
                </c:pt>
                <c:pt idx="313">
                  <c:v>44900</c:v>
                </c:pt>
                <c:pt idx="314">
                  <c:v>44901</c:v>
                </c:pt>
                <c:pt idx="315">
                  <c:v>44902</c:v>
                </c:pt>
                <c:pt idx="316">
                  <c:v>44903</c:v>
                </c:pt>
                <c:pt idx="317">
                  <c:v>44904</c:v>
                </c:pt>
                <c:pt idx="318">
                  <c:v>44907</c:v>
                </c:pt>
                <c:pt idx="319">
                  <c:v>44908</c:v>
                </c:pt>
                <c:pt idx="320">
                  <c:v>44909</c:v>
                </c:pt>
                <c:pt idx="321">
                  <c:v>44910</c:v>
                </c:pt>
                <c:pt idx="322">
                  <c:v>44911</c:v>
                </c:pt>
                <c:pt idx="323">
                  <c:v>44914</c:v>
                </c:pt>
                <c:pt idx="324">
                  <c:v>44915</c:v>
                </c:pt>
                <c:pt idx="325">
                  <c:v>44916</c:v>
                </c:pt>
                <c:pt idx="326">
                  <c:v>44917</c:v>
                </c:pt>
                <c:pt idx="327">
                  <c:v>44918</c:v>
                </c:pt>
                <c:pt idx="328">
                  <c:v>44921</c:v>
                </c:pt>
                <c:pt idx="329">
                  <c:v>44922</c:v>
                </c:pt>
                <c:pt idx="330">
                  <c:v>44923</c:v>
                </c:pt>
                <c:pt idx="331">
                  <c:v>44924</c:v>
                </c:pt>
                <c:pt idx="332">
                  <c:v>44928</c:v>
                </c:pt>
                <c:pt idx="333">
                  <c:v>44929</c:v>
                </c:pt>
                <c:pt idx="334">
                  <c:v>44930</c:v>
                </c:pt>
                <c:pt idx="335">
                  <c:v>44931</c:v>
                </c:pt>
                <c:pt idx="336">
                  <c:v>44932</c:v>
                </c:pt>
                <c:pt idx="337">
                  <c:v>44935</c:v>
                </c:pt>
                <c:pt idx="338">
                  <c:v>44936</c:v>
                </c:pt>
                <c:pt idx="339">
                  <c:v>44937</c:v>
                </c:pt>
                <c:pt idx="340">
                  <c:v>44938</c:v>
                </c:pt>
                <c:pt idx="341">
                  <c:v>44939</c:v>
                </c:pt>
                <c:pt idx="342">
                  <c:v>44942</c:v>
                </c:pt>
                <c:pt idx="343">
                  <c:v>44943</c:v>
                </c:pt>
                <c:pt idx="344">
                  <c:v>44944</c:v>
                </c:pt>
                <c:pt idx="345">
                  <c:v>44945</c:v>
                </c:pt>
                <c:pt idx="346">
                  <c:v>44946</c:v>
                </c:pt>
                <c:pt idx="347">
                  <c:v>44949</c:v>
                </c:pt>
                <c:pt idx="348">
                  <c:v>44950</c:v>
                </c:pt>
                <c:pt idx="349">
                  <c:v>44951</c:v>
                </c:pt>
                <c:pt idx="350">
                  <c:v>44952</c:v>
                </c:pt>
                <c:pt idx="351">
                  <c:v>44953</c:v>
                </c:pt>
                <c:pt idx="352">
                  <c:v>44956</c:v>
                </c:pt>
                <c:pt idx="353">
                  <c:v>44957</c:v>
                </c:pt>
                <c:pt idx="354">
                  <c:v>44958</c:v>
                </c:pt>
                <c:pt idx="355">
                  <c:v>44959</c:v>
                </c:pt>
                <c:pt idx="356">
                  <c:v>44960</c:v>
                </c:pt>
                <c:pt idx="357">
                  <c:v>44963</c:v>
                </c:pt>
                <c:pt idx="358">
                  <c:v>44964</c:v>
                </c:pt>
                <c:pt idx="359">
                  <c:v>44965</c:v>
                </c:pt>
                <c:pt idx="360">
                  <c:v>44966</c:v>
                </c:pt>
                <c:pt idx="361">
                  <c:v>44967</c:v>
                </c:pt>
                <c:pt idx="362">
                  <c:v>44970</c:v>
                </c:pt>
                <c:pt idx="363">
                  <c:v>44971</c:v>
                </c:pt>
                <c:pt idx="364">
                  <c:v>44972</c:v>
                </c:pt>
                <c:pt idx="365">
                  <c:v>44973</c:v>
                </c:pt>
                <c:pt idx="366">
                  <c:v>44974</c:v>
                </c:pt>
                <c:pt idx="367">
                  <c:v>44979</c:v>
                </c:pt>
                <c:pt idx="368">
                  <c:v>44980</c:v>
                </c:pt>
                <c:pt idx="369">
                  <c:v>44981</c:v>
                </c:pt>
                <c:pt idx="370">
                  <c:v>44984</c:v>
                </c:pt>
                <c:pt idx="371">
                  <c:v>44985</c:v>
                </c:pt>
                <c:pt idx="372">
                  <c:v>44986</c:v>
                </c:pt>
                <c:pt idx="373">
                  <c:v>44987</c:v>
                </c:pt>
                <c:pt idx="374">
                  <c:v>44988</c:v>
                </c:pt>
                <c:pt idx="375">
                  <c:v>44991</c:v>
                </c:pt>
                <c:pt idx="376">
                  <c:v>44992</c:v>
                </c:pt>
                <c:pt idx="377">
                  <c:v>44993</c:v>
                </c:pt>
                <c:pt idx="378">
                  <c:v>44994</c:v>
                </c:pt>
                <c:pt idx="379">
                  <c:v>44995</c:v>
                </c:pt>
                <c:pt idx="380">
                  <c:v>44998</c:v>
                </c:pt>
                <c:pt idx="381">
                  <c:v>44999</c:v>
                </c:pt>
                <c:pt idx="382">
                  <c:v>45000</c:v>
                </c:pt>
                <c:pt idx="383">
                  <c:v>45001</c:v>
                </c:pt>
                <c:pt idx="384">
                  <c:v>45002</c:v>
                </c:pt>
                <c:pt idx="385">
                  <c:v>45005</c:v>
                </c:pt>
                <c:pt idx="386">
                  <c:v>45006</c:v>
                </c:pt>
                <c:pt idx="387">
                  <c:v>45007</c:v>
                </c:pt>
                <c:pt idx="388">
                  <c:v>45008</c:v>
                </c:pt>
                <c:pt idx="389">
                  <c:v>45009</c:v>
                </c:pt>
                <c:pt idx="390">
                  <c:v>45012</c:v>
                </c:pt>
                <c:pt idx="391">
                  <c:v>45013</c:v>
                </c:pt>
                <c:pt idx="392">
                  <c:v>45014</c:v>
                </c:pt>
                <c:pt idx="393">
                  <c:v>45015</c:v>
                </c:pt>
                <c:pt idx="394">
                  <c:v>45016</c:v>
                </c:pt>
                <c:pt idx="395">
                  <c:v>45019</c:v>
                </c:pt>
                <c:pt idx="396">
                  <c:v>45020</c:v>
                </c:pt>
                <c:pt idx="397">
                  <c:v>45021</c:v>
                </c:pt>
                <c:pt idx="398">
                  <c:v>45022</c:v>
                </c:pt>
                <c:pt idx="399">
                  <c:v>45026</c:v>
                </c:pt>
                <c:pt idx="400">
                  <c:v>45027</c:v>
                </c:pt>
                <c:pt idx="401">
                  <c:v>45028</c:v>
                </c:pt>
                <c:pt idx="402">
                  <c:v>45029</c:v>
                </c:pt>
                <c:pt idx="403">
                  <c:v>45030</c:v>
                </c:pt>
                <c:pt idx="404">
                  <c:v>45033</c:v>
                </c:pt>
                <c:pt idx="405">
                  <c:v>45034</c:v>
                </c:pt>
                <c:pt idx="406">
                  <c:v>45035</c:v>
                </c:pt>
                <c:pt idx="407">
                  <c:v>45036</c:v>
                </c:pt>
                <c:pt idx="408">
                  <c:v>45040</c:v>
                </c:pt>
                <c:pt idx="409">
                  <c:v>45041</c:v>
                </c:pt>
                <c:pt idx="410">
                  <c:v>45042</c:v>
                </c:pt>
                <c:pt idx="411">
                  <c:v>45043</c:v>
                </c:pt>
                <c:pt idx="412">
                  <c:v>45044</c:v>
                </c:pt>
                <c:pt idx="413">
                  <c:v>45048</c:v>
                </c:pt>
                <c:pt idx="414">
                  <c:v>45049</c:v>
                </c:pt>
                <c:pt idx="415">
                  <c:v>45050</c:v>
                </c:pt>
                <c:pt idx="416">
                  <c:v>45051</c:v>
                </c:pt>
                <c:pt idx="417">
                  <c:v>45054</c:v>
                </c:pt>
                <c:pt idx="418">
                  <c:v>45055</c:v>
                </c:pt>
                <c:pt idx="419">
                  <c:v>45056</c:v>
                </c:pt>
                <c:pt idx="420">
                  <c:v>45057</c:v>
                </c:pt>
                <c:pt idx="421">
                  <c:v>45058</c:v>
                </c:pt>
                <c:pt idx="422">
                  <c:v>45061</c:v>
                </c:pt>
                <c:pt idx="423">
                  <c:v>45062</c:v>
                </c:pt>
                <c:pt idx="424">
                  <c:v>45063</c:v>
                </c:pt>
                <c:pt idx="425">
                  <c:v>45064</c:v>
                </c:pt>
                <c:pt idx="426">
                  <c:v>45065</c:v>
                </c:pt>
                <c:pt idx="427">
                  <c:v>45068</c:v>
                </c:pt>
                <c:pt idx="428">
                  <c:v>45069</c:v>
                </c:pt>
                <c:pt idx="429">
                  <c:v>45070</c:v>
                </c:pt>
                <c:pt idx="430">
                  <c:v>45071</c:v>
                </c:pt>
                <c:pt idx="431">
                  <c:v>45072</c:v>
                </c:pt>
                <c:pt idx="432">
                  <c:v>45075</c:v>
                </c:pt>
                <c:pt idx="433">
                  <c:v>45076</c:v>
                </c:pt>
                <c:pt idx="434">
                  <c:v>45077</c:v>
                </c:pt>
                <c:pt idx="435">
                  <c:v>45078</c:v>
                </c:pt>
                <c:pt idx="436">
                  <c:v>45079</c:v>
                </c:pt>
                <c:pt idx="437">
                  <c:v>45082</c:v>
                </c:pt>
                <c:pt idx="438">
                  <c:v>45083</c:v>
                </c:pt>
                <c:pt idx="439">
                  <c:v>45084</c:v>
                </c:pt>
                <c:pt idx="440">
                  <c:v>45086</c:v>
                </c:pt>
                <c:pt idx="441">
                  <c:v>45089</c:v>
                </c:pt>
                <c:pt idx="442">
                  <c:v>45090</c:v>
                </c:pt>
                <c:pt idx="443">
                  <c:v>45091</c:v>
                </c:pt>
                <c:pt idx="444">
                  <c:v>45092</c:v>
                </c:pt>
                <c:pt idx="445">
                  <c:v>45093</c:v>
                </c:pt>
                <c:pt idx="446">
                  <c:v>45096</c:v>
                </c:pt>
                <c:pt idx="447">
                  <c:v>45097</c:v>
                </c:pt>
                <c:pt idx="448">
                  <c:v>45098</c:v>
                </c:pt>
                <c:pt idx="449">
                  <c:v>45099</c:v>
                </c:pt>
                <c:pt idx="450">
                  <c:v>45100</c:v>
                </c:pt>
                <c:pt idx="451">
                  <c:v>45103</c:v>
                </c:pt>
                <c:pt idx="452">
                  <c:v>45104</c:v>
                </c:pt>
                <c:pt idx="453">
                  <c:v>45105</c:v>
                </c:pt>
                <c:pt idx="454">
                  <c:v>45106</c:v>
                </c:pt>
                <c:pt idx="455">
                  <c:v>45107</c:v>
                </c:pt>
                <c:pt idx="456">
                  <c:v>45110</c:v>
                </c:pt>
                <c:pt idx="457">
                  <c:v>45111</c:v>
                </c:pt>
                <c:pt idx="458">
                  <c:v>45112</c:v>
                </c:pt>
                <c:pt idx="459">
                  <c:v>45113</c:v>
                </c:pt>
                <c:pt idx="460">
                  <c:v>45114</c:v>
                </c:pt>
                <c:pt idx="461">
                  <c:v>45117</c:v>
                </c:pt>
                <c:pt idx="462">
                  <c:v>45118</c:v>
                </c:pt>
                <c:pt idx="463">
                  <c:v>45119</c:v>
                </c:pt>
                <c:pt idx="464">
                  <c:v>45120</c:v>
                </c:pt>
                <c:pt idx="465">
                  <c:v>45121</c:v>
                </c:pt>
                <c:pt idx="466">
                  <c:v>45124</c:v>
                </c:pt>
                <c:pt idx="467">
                  <c:v>45125</c:v>
                </c:pt>
                <c:pt idx="468">
                  <c:v>45126</c:v>
                </c:pt>
                <c:pt idx="469">
                  <c:v>45127</c:v>
                </c:pt>
                <c:pt idx="470">
                  <c:v>45128</c:v>
                </c:pt>
                <c:pt idx="471">
                  <c:v>45131</c:v>
                </c:pt>
                <c:pt idx="472">
                  <c:v>45132</c:v>
                </c:pt>
                <c:pt idx="473">
                  <c:v>45133</c:v>
                </c:pt>
                <c:pt idx="474">
                  <c:v>45134</c:v>
                </c:pt>
                <c:pt idx="475">
                  <c:v>45135</c:v>
                </c:pt>
                <c:pt idx="476">
                  <c:v>45138</c:v>
                </c:pt>
                <c:pt idx="477">
                  <c:v>45139</c:v>
                </c:pt>
                <c:pt idx="478">
                  <c:v>45140</c:v>
                </c:pt>
                <c:pt idx="479">
                  <c:v>45141</c:v>
                </c:pt>
                <c:pt idx="480">
                  <c:v>45142</c:v>
                </c:pt>
                <c:pt idx="481">
                  <c:v>45145</c:v>
                </c:pt>
                <c:pt idx="482">
                  <c:v>45146</c:v>
                </c:pt>
                <c:pt idx="483">
                  <c:v>45147</c:v>
                </c:pt>
                <c:pt idx="484">
                  <c:v>45148</c:v>
                </c:pt>
                <c:pt idx="485">
                  <c:v>45149</c:v>
                </c:pt>
                <c:pt idx="486">
                  <c:v>45152</c:v>
                </c:pt>
                <c:pt idx="487">
                  <c:v>45153</c:v>
                </c:pt>
                <c:pt idx="488">
                  <c:v>45154</c:v>
                </c:pt>
                <c:pt idx="489">
                  <c:v>45155</c:v>
                </c:pt>
                <c:pt idx="490">
                  <c:v>45156</c:v>
                </c:pt>
                <c:pt idx="491">
                  <c:v>45159</c:v>
                </c:pt>
                <c:pt idx="492">
                  <c:v>45160</c:v>
                </c:pt>
                <c:pt idx="493">
                  <c:v>45161</c:v>
                </c:pt>
                <c:pt idx="494">
                  <c:v>45162</c:v>
                </c:pt>
                <c:pt idx="495">
                  <c:v>45163</c:v>
                </c:pt>
                <c:pt idx="496">
                  <c:v>45166</c:v>
                </c:pt>
                <c:pt idx="497">
                  <c:v>45167</c:v>
                </c:pt>
                <c:pt idx="498">
                  <c:v>45168</c:v>
                </c:pt>
                <c:pt idx="499">
                  <c:v>45169</c:v>
                </c:pt>
                <c:pt idx="500">
                  <c:v>45170</c:v>
                </c:pt>
                <c:pt idx="501">
                  <c:v>45173</c:v>
                </c:pt>
                <c:pt idx="502">
                  <c:v>45174</c:v>
                </c:pt>
                <c:pt idx="503">
                  <c:v>45175</c:v>
                </c:pt>
                <c:pt idx="504">
                  <c:v>45177</c:v>
                </c:pt>
                <c:pt idx="505">
                  <c:v>45180</c:v>
                </c:pt>
                <c:pt idx="506">
                  <c:v>45181</c:v>
                </c:pt>
                <c:pt idx="507">
                  <c:v>45182</c:v>
                </c:pt>
                <c:pt idx="508">
                  <c:v>45183</c:v>
                </c:pt>
                <c:pt idx="509">
                  <c:v>45184</c:v>
                </c:pt>
                <c:pt idx="510">
                  <c:v>45187</c:v>
                </c:pt>
                <c:pt idx="511">
                  <c:v>45188</c:v>
                </c:pt>
                <c:pt idx="512">
                  <c:v>45189</c:v>
                </c:pt>
                <c:pt idx="513">
                  <c:v>45190</c:v>
                </c:pt>
                <c:pt idx="514">
                  <c:v>45191</c:v>
                </c:pt>
                <c:pt idx="515">
                  <c:v>45194</c:v>
                </c:pt>
                <c:pt idx="516">
                  <c:v>45195</c:v>
                </c:pt>
                <c:pt idx="517">
                  <c:v>45196</c:v>
                </c:pt>
                <c:pt idx="518">
                  <c:v>45197</c:v>
                </c:pt>
                <c:pt idx="519">
                  <c:v>45198</c:v>
                </c:pt>
                <c:pt idx="520">
                  <c:v>45201</c:v>
                </c:pt>
                <c:pt idx="521">
                  <c:v>45202</c:v>
                </c:pt>
                <c:pt idx="522">
                  <c:v>45203</c:v>
                </c:pt>
                <c:pt idx="523">
                  <c:v>45204</c:v>
                </c:pt>
                <c:pt idx="524">
                  <c:v>45205</c:v>
                </c:pt>
                <c:pt idx="525">
                  <c:v>45208</c:v>
                </c:pt>
                <c:pt idx="526">
                  <c:v>45209</c:v>
                </c:pt>
                <c:pt idx="527">
                  <c:v>45210</c:v>
                </c:pt>
                <c:pt idx="528">
                  <c:v>45212</c:v>
                </c:pt>
                <c:pt idx="529">
                  <c:v>45215</c:v>
                </c:pt>
                <c:pt idx="530">
                  <c:v>45216</c:v>
                </c:pt>
                <c:pt idx="531">
                  <c:v>45217</c:v>
                </c:pt>
                <c:pt idx="532">
                  <c:v>45218</c:v>
                </c:pt>
                <c:pt idx="533">
                  <c:v>45219</c:v>
                </c:pt>
                <c:pt idx="534">
                  <c:v>45222</c:v>
                </c:pt>
                <c:pt idx="535">
                  <c:v>45223</c:v>
                </c:pt>
                <c:pt idx="536">
                  <c:v>45224</c:v>
                </c:pt>
                <c:pt idx="537">
                  <c:v>45225</c:v>
                </c:pt>
                <c:pt idx="538">
                  <c:v>45226</c:v>
                </c:pt>
                <c:pt idx="539">
                  <c:v>45229</c:v>
                </c:pt>
                <c:pt idx="540">
                  <c:v>45230</c:v>
                </c:pt>
                <c:pt idx="541">
                  <c:v>45231</c:v>
                </c:pt>
                <c:pt idx="542">
                  <c:v>45233</c:v>
                </c:pt>
                <c:pt idx="543">
                  <c:v>45236</c:v>
                </c:pt>
                <c:pt idx="544">
                  <c:v>45237</c:v>
                </c:pt>
                <c:pt idx="545">
                  <c:v>45238</c:v>
                </c:pt>
                <c:pt idx="546">
                  <c:v>45239</c:v>
                </c:pt>
                <c:pt idx="547">
                  <c:v>45240</c:v>
                </c:pt>
                <c:pt idx="548">
                  <c:v>45243</c:v>
                </c:pt>
                <c:pt idx="549">
                  <c:v>45244</c:v>
                </c:pt>
                <c:pt idx="550">
                  <c:v>45246</c:v>
                </c:pt>
                <c:pt idx="551">
                  <c:v>45247</c:v>
                </c:pt>
                <c:pt idx="552">
                  <c:v>45250</c:v>
                </c:pt>
                <c:pt idx="553">
                  <c:v>45251</c:v>
                </c:pt>
                <c:pt idx="554">
                  <c:v>45252</c:v>
                </c:pt>
                <c:pt idx="555">
                  <c:v>45253</c:v>
                </c:pt>
                <c:pt idx="556">
                  <c:v>45254</c:v>
                </c:pt>
                <c:pt idx="557">
                  <c:v>45257</c:v>
                </c:pt>
                <c:pt idx="558">
                  <c:v>45258</c:v>
                </c:pt>
                <c:pt idx="559">
                  <c:v>45259</c:v>
                </c:pt>
                <c:pt idx="560">
                  <c:v>45260</c:v>
                </c:pt>
                <c:pt idx="561">
                  <c:v>45261</c:v>
                </c:pt>
                <c:pt idx="562">
                  <c:v>45264</c:v>
                </c:pt>
                <c:pt idx="563">
                  <c:v>45265</c:v>
                </c:pt>
                <c:pt idx="564">
                  <c:v>45266</c:v>
                </c:pt>
                <c:pt idx="565">
                  <c:v>45267</c:v>
                </c:pt>
                <c:pt idx="566">
                  <c:v>45268</c:v>
                </c:pt>
                <c:pt idx="567">
                  <c:v>45271</c:v>
                </c:pt>
                <c:pt idx="568">
                  <c:v>45272</c:v>
                </c:pt>
                <c:pt idx="569">
                  <c:v>45273</c:v>
                </c:pt>
                <c:pt idx="570">
                  <c:v>45274</c:v>
                </c:pt>
                <c:pt idx="571">
                  <c:v>45275</c:v>
                </c:pt>
                <c:pt idx="572">
                  <c:v>45278</c:v>
                </c:pt>
                <c:pt idx="573">
                  <c:v>45279</c:v>
                </c:pt>
                <c:pt idx="574">
                  <c:v>45280</c:v>
                </c:pt>
                <c:pt idx="575">
                  <c:v>45281</c:v>
                </c:pt>
                <c:pt idx="576">
                  <c:v>45282</c:v>
                </c:pt>
                <c:pt idx="577">
                  <c:v>45286</c:v>
                </c:pt>
                <c:pt idx="578">
                  <c:v>45287</c:v>
                </c:pt>
                <c:pt idx="579">
                  <c:v>45288</c:v>
                </c:pt>
                <c:pt idx="580">
                  <c:v>45293</c:v>
                </c:pt>
                <c:pt idx="581">
                  <c:v>45294</c:v>
                </c:pt>
                <c:pt idx="582">
                  <c:v>45295</c:v>
                </c:pt>
                <c:pt idx="583">
                  <c:v>45296</c:v>
                </c:pt>
                <c:pt idx="584">
                  <c:v>45299</c:v>
                </c:pt>
                <c:pt idx="585">
                  <c:v>45300</c:v>
                </c:pt>
                <c:pt idx="586">
                  <c:v>45301</c:v>
                </c:pt>
                <c:pt idx="587">
                  <c:v>45302</c:v>
                </c:pt>
                <c:pt idx="588">
                  <c:v>45303</c:v>
                </c:pt>
                <c:pt idx="589">
                  <c:v>45306</c:v>
                </c:pt>
                <c:pt idx="590">
                  <c:v>45307</c:v>
                </c:pt>
                <c:pt idx="591">
                  <c:v>45308</c:v>
                </c:pt>
                <c:pt idx="592">
                  <c:v>45309</c:v>
                </c:pt>
                <c:pt idx="593">
                  <c:v>45310</c:v>
                </c:pt>
                <c:pt idx="594">
                  <c:v>45313</c:v>
                </c:pt>
                <c:pt idx="595">
                  <c:v>45314</c:v>
                </c:pt>
                <c:pt idx="596">
                  <c:v>45315</c:v>
                </c:pt>
                <c:pt idx="597">
                  <c:v>45316</c:v>
                </c:pt>
                <c:pt idx="598">
                  <c:v>45317</c:v>
                </c:pt>
                <c:pt idx="599">
                  <c:v>45320</c:v>
                </c:pt>
                <c:pt idx="600">
                  <c:v>45321</c:v>
                </c:pt>
                <c:pt idx="601">
                  <c:v>45322</c:v>
                </c:pt>
                <c:pt idx="602">
                  <c:v>45323</c:v>
                </c:pt>
                <c:pt idx="603">
                  <c:v>45324</c:v>
                </c:pt>
                <c:pt idx="604">
                  <c:v>45327</c:v>
                </c:pt>
                <c:pt idx="605">
                  <c:v>45328</c:v>
                </c:pt>
                <c:pt idx="606">
                  <c:v>45329</c:v>
                </c:pt>
                <c:pt idx="607">
                  <c:v>45330</c:v>
                </c:pt>
                <c:pt idx="608">
                  <c:v>45331</c:v>
                </c:pt>
                <c:pt idx="609">
                  <c:v>45336</c:v>
                </c:pt>
                <c:pt idx="610">
                  <c:v>45337</c:v>
                </c:pt>
                <c:pt idx="611">
                  <c:v>45338</c:v>
                </c:pt>
                <c:pt idx="612">
                  <c:v>45341</c:v>
                </c:pt>
                <c:pt idx="613">
                  <c:v>45342</c:v>
                </c:pt>
                <c:pt idx="614">
                  <c:v>45343</c:v>
                </c:pt>
                <c:pt idx="615">
                  <c:v>45344</c:v>
                </c:pt>
                <c:pt idx="616">
                  <c:v>45345</c:v>
                </c:pt>
                <c:pt idx="617">
                  <c:v>45348</c:v>
                </c:pt>
                <c:pt idx="618">
                  <c:v>45349</c:v>
                </c:pt>
                <c:pt idx="619">
                  <c:v>45350</c:v>
                </c:pt>
                <c:pt idx="620">
                  <c:v>45351</c:v>
                </c:pt>
                <c:pt idx="621">
                  <c:v>45352</c:v>
                </c:pt>
                <c:pt idx="622">
                  <c:v>45355</c:v>
                </c:pt>
                <c:pt idx="623">
                  <c:v>45356</c:v>
                </c:pt>
                <c:pt idx="624">
                  <c:v>45357</c:v>
                </c:pt>
                <c:pt idx="625">
                  <c:v>45358</c:v>
                </c:pt>
                <c:pt idx="626">
                  <c:v>45359</c:v>
                </c:pt>
                <c:pt idx="627">
                  <c:v>45362</c:v>
                </c:pt>
                <c:pt idx="628">
                  <c:v>45363</c:v>
                </c:pt>
                <c:pt idx="629">
                  <c:v>45364</c:v>
                </c:pt>
                <c:pt idx="630">
                  <c:v>45365</c:v>
                </c:pt>
                <c:pt idx="631">
                  <c:v>45366</c:v>
                </c:pt>
                <c:pt idx="632">
                  <c:v>45369</c:v>
                </c:pt>
                <c:pt idx="633">
                  <c:v>45370</c:v>
                </c:pt>
                <c:pt idx="634">
                  <c:v>45371</c:v>
                </c:pt>
                <c:pt idx="635">
                  <c:v>45372</c:v>
                </c:pt>
                <c:pt idx="636">
                  <c:v>45373</c:v>
                </c:pt>
                <c:pt idx="637">
                  <c:v>45376</c:v>
                </c:pt>
                <c:pt idx="638">
                  <c:v>45377</c:v>
                </c:pt>
                <c:pt idx="639">
                  <c:v>45378</c:v>
                </c:pt>
                <c:pt idx="640">
                  <c:v>45379</c:v>
                </c:pt>
                <c:pt idx="641">
                  <c:v>45383</c:v>
                </c:pt>
                <c:pt idx="642">
                  <c:v>45384</c:v>
                </c:pt>
                <c:pt idx="643">
                  <c:v>45385</c:v>
                </c:pt>
                <c:pt idx="644">
                  <c:v>45386</c:v>
                </c:pt>
                <c:pt idx="645">
                  <c:v>45387</c:v>
                </c:pt>
                <c:pt idx="646">
                  <c:v>45390</c:v>
                </c:pt>
                <c:pt idx="647">
                  <c:v>45391</c:v>
                </c:pt>
                <c:pt idx="648">
                  <c:v>45392</c:v>
                </c:pt>
                <c:pt idx="649">
                  <c:v>45393</c:v>
                </c:pt>
                <c:pt idx="650">
                  <c:v>45394</c:v>
                </c:pt>
                <c:pt idx="651">
                  <c:v>45397</c:v>
                </c:pt>
                <c:pt idx="652">
                  <c:v>45398</c:v>
                </c:pt>
                <c:pt idx="653">
                  <c:v>45399</c:v>
                </c:pt>
                <c:pt idx="654">
                  <c:v>45400</c:v>
                </c:pt>
                <c:pt idx="655">
                  <c:v>45401</c:v>
                </c:pt>
                <c:pt idx="656">
                  <c:v>45404</c:v>
                </c:pt>
                <c:pt idx="657">
                  <c:v>45405</c:v>
                </c:pt>
                <c:pt idx="658">
                  <c:v>45406</c:v>
                </c:pt>
                <c:pt idx="659">
                  <c:v>45407</c:v>
                </c:pt>
                <c:pt idx="660">
                  <c:v>45408</c:v>
                </c:pt>
                <c:pt idx="661">
                  <c:v>45411</c:v>
                </c:pt>
                <c:pt idx="662">
                  <c:v>45412</c:v>
                </c:pt>
                <c:pt idx="663">
                  <c:v>45414</c:v>
                </c:pt>
                <c:pt idx="664">
                  <c:v>45415</c:v>
                </c:pt>
                <c:pt idx="665">
                  <c:v>45418</c:v>
                </c:pt>
                <c:pt idx="666">
                  <c:v>45419</c:v>
                </c:pt>
                <c:pt idx="667">
                  <c:v>45420</c:v>
                </c:pt>
                <c:pt idx="668">
                  <c:v>45421</c:v>
                </c:pt>
                <c:pt idx="669">
                  <c:v>45422</c:v>
                </c:pt>
                <c:pt idx="670">
                  <c:v>45425</c:v>
                </c:pt>
                <c:pt idx="671">
                  <c:v>45426</c:v>
                </c:pt>
                <c:pt idx="672">
                  <c:v>45427</c:v>
                </c:pt>
                <c:pt idx="673">
                  <c:v>45428</c:v>
                </c:pt>
                <c:pt idx="674">
                  <c:v>45429</c:v>
                </c:pt>
                <c:pt idx="675">
                  <c:v>45432</c:v>
                </c:pt>
                <c:pt idx="676">
                  <c:v>45433</c:v>
                </c:pt>
                <c:pt idx="677">
                  <c:v>45434</c:v>
                </c:pt>
                <c:pt idx="678">
                  <c:v>45435</c:v>
                </c:pt>
                <c:pt idx="679">
                  <c:v>45436</c:v>
                </c:pt>
                <c:pt idx="680">
                  <c:v>45439</c:v>
                </c:pt>
                <c:pt idx="681">
                  <c:v>45440</c:v>
                </c:pt>
                <c:pt idx="682">
                  <c:v>45441</c:v>
                </c:pt>
                <c:pt idx="683">
                  <c:v>45443</c:v>
                </c:pt>
                <c:pt idx="684">
                  <c:v>45446</c:v>
                </c:pt>
                <c:pt idx="685">
                  <c:v>45447</c:v>
                </c:pt>
                <c:pt idx="686">
                  <c:v>45448</c:v>
                </c:pt>
                <c:pt idx="687">
                  <c:v>45449</c:v>
                </c:pt>
                <c:pt idx="688">
                  <c:v>45450</c:v>
                </c:pt>
                <c:pt idx="689">
                  <c:v>45453</c:v>
                </c:pt>
                <c:pt idx="690">
                  <c:v>45454</c:v>
                </c:pt>
                <c:pt idx="691">
                  <c:v>45455</c:v>
                </c:pt>
                <c:pt idx="692">
                  <c:v>45456</c:v>
                </c:pt>
                <c:pt idx="693">
                  <c:v>45457</c:v>
                </c:pt>
                <c:pt idx="694">
                  <c:v>45460</c:v>
                </c:pt>
                <c:pt idx="695">
                  <c:v>45461</c:v>
                </c:pt>
                <c:pt idx="696">
                  <c:v>45462</c:v>
                </c:pt>
                <c:pt idx="697">
                  <c:v>45463</c:v>
                </c:pt>
                <c:pt idx="698">
                  <c:v>45464</c:v>
                </c:pt>
                <c:pt idx="699">
                  <c:v>45467</c:v>
                </c:pt>
                <c:pt idx="700">
                  <c:v>45468</c:v>
                </c:pt>
                <c:pt idx="701">
                  <c:v>45469</c:v>
                </c:pt>
                <c:pt idx="702">
                  <c:v>45470</c:v>
                </c:pt>
                <c:pt idx="703">
                  <c:v>45471</c:v>
                </c:pt>
                <c:pt idx="704">
                  <c:v>45474</c:v>
                </c:pt>
                <c:pt idx="705">
                  <c:v>45475</c:v>
                </c:pt>
                <c:pt idx="706">
                  <c:v>45476</c:v>
                </c:pt>
                <c:pt idx="707">
                  <c:v>45477</c:v>
                </c:pt>
                <c:pt idx="708">
                  <c:v>45478</c:v>
                </c:pt>
                <c:pt idx="709">
                  <c:v>45481</c:v>
                </c:pt>
                <c:pt idx="710">
                  <c:v>45482</c:v>
                </c:pt>
                <c:pt idx="711">
                  <c:v>45483</c:v>
                </c:pt>
                <c:pt idx="712">
                  <c:v>45484</c:v>
                </c:pt>
                <c:pt idx="713">
                  <c:v>45485</c:v>
                </c:pt>
                <c:pt idx="714">
                  <c:v>45488</c:v>
                </c:pt>
                <c:pt idx="715">
                  <c:v>45489</c:v>
                </c:pt>
                <c:pt idx="716">
                  <c:v>45490</c:v>
                </c:pt>
                <c:pt idx="717">
                  <c:v>45491</c:v>
                </c:pt>
                <c:pt idx="718">
                  <c:v>45492</c:v>
                </c:pt>
                <c:pt idx="719">
                  <c:v>45495</c:v>
                </c:pt>
                <c:pt idx="720">
                  <c:v>45496</c:v>
                </c:pt>
                <c:pt idx="721">
                  <c:v>45497</c:v>
                </c:pt>
                <c:pt idx="722">
                  <c:v>45498</c:v>
                </c:pt>
                <c:pt idx="723">
                  <c:v>45499</c:v>
                </c:pt>
                <c:pt idx="724">
                  <c:v>45502</c:v>
                </c:pt>
                <c:pt idx="725">
                  <c:v>45503</c:v>
                </c:pt>
                <c:pt idx="726">
                  <c:v>45504</c:v>
                </c:pt>
                <c:pt idx="727">
                  <c:v>45505</c:v>
                </c:pt>
                <c:pt idx="728">
                  <c:v>45506</c:v>
                </c:pt>
                <c:pt idx="729">
                  <c:v>45509</c:v>
                </c:pt>
                <c:pt idx="730">
                  <c:v>45510</c:v>
                </c:pt>
                <c:pt idx="731">
                  <c:v>45511</c:v>
                </c:pt>
                <c:pt idx="732">
                  <c:v>45512</c:v>
                </c:pt>
                <c:pt idx="733">
                  <c:v>45513</c:v>
                </c:pt>
                <c:pt idx="734">
                  <c:v>45516</c:v>
                </c:pt>
                <c:pt idx="735">
                  <c:v>45517</c:v>
                </c:pt>
                <c:pt idx="736">
                  <c:v>45518</c:v>
                </c:pt>
                <c:pt idx="737">
                  <c:v>45519</c:v>
                </c:pt>
                <c:pt idx="738">
                  <c:v>45520</c:v>
                </c:pt>
                <c:pt idx="739">
                  <c:v>45523</c:v>
                </c:pt>
                <c:pt idx="740">
                  <c:v>45524</c:v>
                </c:pt>
                <c:pt idx="741">
                  <c:v>45525</c:v>
                </c:pt>
                <c:pt idx="742">
                  <c:v>45526</c:v>
                </c:pt>
                <c:pt idx="743">
                  <c:v>45527</c:v>
                </c:pt>
                <c:pt idx="744">
                  <c:v>45530</c:v>
                </c:pt>
                <c:pt idx="745">
                  <c:v>45531</c:v>
                </c:pt>
                <c:pt idx="746">
                  <c:v>45532</c:v>
                </c:pt>
                <c:pt idx="747">
                  <c:v>45533</c:v>
                </c:pt>
                <c:pt idx="748">
                  <c:v>45534</c:v>
                </c:pt>
                <c:pt idx="749">
                  <c:v>45537</c:v>
                </c:pt>
                <c:pt idx="750">
                  <c:v>45538</c:v>
                </c:pt>
                <c:pt idx="751">
                  <c:v>45539</c:v>
                </c:pt>
                <c:pt idx="752">
                  <c:v>45540</c:v>
                </c:pt>
                <c:pt idx="753">
                  <c:v>45541</c:v>
                </c:pt>
                <c:pt idx="754">
                  <c:v>45544</c:v>
                </c:pt>
                <c:pt idx="755">
                  <c:v>45545</c:v>
                </c:pt>
                <c:pt idx="756">
                  <c:v>45546</c:v>
                </c:pt>
                <c:pt idx="757">
                  <c:v>45547</c:v>
                </c:pt>
                <c:pt idx="758">
                  <c:v>45548</c:v>
                </c:pt>
                <c:pt idx="759">
                  <c:v>45551</c:v>
                </c:pt>
                <c:pt idx="760">
                  <c:v>45552</c:v>
                </c:pt>
                <c:pt idx="761">
                  <c:v>45553</c:v>
                </c:pt>
                <c:pt idx="762">
                  <c:v>45554</c:v>
                </c:pt>
                <c:pt idx="763">
                  <c:v>45555</c:v>
                </c:pt>
                <c:pt idx="764">
                  <c:v>45558</c:v>
                </c:pt>
                <c:pt idx="765">
                  <c:v>45559</c:v>
                </c:pt>
                <c:pt idx="766">
                  <c:v>45560</c:v>
                </c:pt>
                <c:pt idx="767">
                  <c:v>45561</c:v>
                </c:pt>
                <c:pt idx="768">
                  <c:v>45562</c:v>
                </c:pt>
                <c:pt idx="769">
                  <c:v>45565</c:v>
                </c:pt>
                <c:pt idx="770">
                  <c:v>45566</c:v>
                </c:pt>
                <c:pt idx="771">
                  <c:v>45567</c:v>
                </c:pt>
                <c:pt idx="772">
                  <c:v>45568</c:v>
                </c:pt>
                <c:pt idx="773">
                  <c:v>45569</c:v>
                </c:pt>
                <c:pt idx="774">
                  <c:v>45572</c:v>
                </c:pt>
                <c:pt idx="775">
                  <c:v>45573</c:v>
                </c:pt>
                <c:pt idx="776">
                  <c:v>45574</c:v>
                </c:pt>
                <c:pt idx="777">
                  <c:v>45575</c:v>
                </c:pt>
                <c:pt idx="778">
                  <c:v>45576</c:v>
                </c:pt>
                <c:pt idx="779">
                  <c:v>45579</c:v>
                </c:pt>
                <c:pt idx="780">
                  <c:v>45580</c:v>
                </c:pt>
                <c:pt idx="781">
                  <c:v>45581</c:v>
                </c:pt>
                <c:pt idx="782">
                  <c:v>45582</c:v>
                </c:pt>
                <c:pt idx="783">
                  <c:v>45583</c:v>
                </c:pt>
                <c:pt idx="784">
                  <c:v>45586</c:v>
                </c:pt>
                <c:pt idx="785">
                  <c:v>45587</c:v>
                </c:pt>
                <c:pt idx="786">
                  <c:v>45588</c:v>
                </c:pt>
                <c:pt idx="787">
                  <c:v>45589</c:v>
                </c:pt>
                <c:pt idx="788">
                  <c:v>45590</c:v>
                </c:pt>
                <c:pt idx="789">
                  <c:v>45593</c:v>
                </c:pt>
                <c:pt idx="790">
                  <c:v>45594</c:v>
                </c:pt>
                <c:pt idx="791">
                  <c:v>45595</c:v>
                </c:pt>
                <c:pt idx="792">
                  <c:v>45596</c:v>
                </c:pt>
                <c:pt idx="793">
                  <c:v>45597</c:v>
                </c:pt>
                <c:pt idx="794">
                  <c:v>45600</c:v>
                </c:pt>
                <c:pt idx="795">
                  <c:v>45601</c:v>
                </c:pt>
                <c:pt idx="796">
                  <c:v>45602</c:v>
                </c:pt>
                <c:pt idx="797">
                  <c:v>45603</c:v>
                </c:pt>
                <c:pt idx="798">
                  <c:v>45604</c:v>
                </c:pt>
                <c:pt idx="799">
                  <c:v>45607</c:v>
                </c:pt>
                <c:pt idx="800">
                  <c:v>45608</c:v>
                </c:pt>
                <c:pt idx="801">
                  <c:v>45609</c:v>
                </c:pt>
                <c:pt idx="802">
                  <c:v>45610</c:v>
                </c:pt>
                <c:pt idx="803">
                  <c:v>45614</c:v>
                </c:pt>
                <c:pt idx="804">
                  <c:v>45615</c:v>
                </c:pt>
                <c:pt idx="805">
                  <c:v>45617</c:v>
                </c:pt>
                <c:pt idx="806">
                  <c:v>45618</c:v>
                </c:pt>
                <c:pt idx="807">
                  <c:v>45621</c:v>
                </c:pt>
                <c:pt idx="808">
                  <c:v>45622</c:v>
                </c:pt>
                <c:pt idx="809">
                  <c:v>45623</c:v>
                </c:pt>
                <c:pt idx="810">
                  <c:v>45624</c:v>
                </c:pt>
                <c:pt idx="811">
                  <c:v>45625</c:v>
                </c:pt>
                <c:pt idx="812">
                  <c:v>45628</c:v>
                </c:pt>
                <c:pt idx="813">
                  <c:v>45629</c:v>
                </c:pt>
                <c:pt idx="814">
                  <c:v>45630</c:v>
                </c:pt>
                <c:pt idx="815">
                  <c:v>45631</c:v>
                </c:pt>
                <c:pt idx="816">
                  <c:v>45632</c:v>
                </c:pt>
                <c:pt idx="817">
                  <c:v>45635</c:v>
                </c:pt>
                <c:pt idx="818">
                  <c:v>45636</c:v>
                </c:pt>
                <c:pt idx="819">
                  <c:v>45637</c:v>
                </c:pt>
                <c:pt idx="820">
                  <c:v>45638</c:v>
                </c:pt>
                <c:pt idx="821">
                  <c:v>45639</c:v>
                </c:pt>
                <c:pt idx="822">
                  <c:v>45642</c:v>
                </c:pt>
                <c:pt idx="823">
                  <c:v>45643</c:v>
                </c:pt>
                <c:pt idx="824">
                  <c:v>45644</c:v>
                </c:pt>
                <c:pt idx="825">
                  <c:v>45645</c:v>
                </c:pt>
                <c:pt idx="826">
                  <c:v>45646</c:v>
                </c:pt>
                <c:pt idx="827">
                  <c:v>45649</c:v>
                </c:pt>
                <c:pt idx="828">
                  <c:v>45652</c:v>
                </c:pt>
                <c:pt idx="829">
                  <c:v>45653</c:v>
                </c:pt>
                <c:pt idx="830">
                  <c:v>45656</c:v>
                </c:pt>
                <c:pt idx="831">
                  <c:v>45659</c:v>
                </c:pt>
                <c:pt idx="832">
                  <c:v>45660</c:v>
                </c:pt>
                <c:pt idx="833">
                  <c:v>45663</c:v>
                </c:pt>
                <c:pt idx="834">
                  <c:v>45664</c:v>
                </c:pt>
                <c:pt idx="835">
                  <c:v>45665</c:v>
                </c:pt>
                <c:pt idx="836">
                  <c:v>45666</c:v>
                </c:pt>
                <c:pt idx="837">
                  <c:v>45667</c:v>
                </c:pt>
                <c:pt idx="838">
                  <c:v>45670</c:v>
                </c:pt>
                <c:pt idx="839">
                  <c:v>45671</c:v>
                </c:pt>
                <c:pt idx="840">
                  <c:v>45672</c:v>
                </c:pt>
                <c:pt idx="841">
                  <c:v>45673</c:v>
                </c:pt>
                <c:pt idx="842">
                  <c:v>45674</c:v>
                </c:pt>
                <c:pt idx="843">
                  <c:v>45677</c:v>
                </c:pt>
                <c:pt idx="844">
                  <c:v>45678</c:v>
                </c:pt>
                <c:pt idx="845">
                  <c:v>45679</c:v>
                </c:pt>
                <c:pt idx="846">
                  <c:v>45680</c:v>
                </c:pt>
                <c:pt idx="847">
                  <c:v>45681</c:v>
                </c:pt>
                <c:pt idx="848">
                  <c:v>45684</c:v>
                </c:pt>
                <c:pt idx="849">
                  <c:v>45685</c:v>
                </c:pt>
                <c:pt idx="850">
                  <c:v>45686</c:v>
                </c:pt>
                <c:pt idx="851">
                  <c:v>45687</c:v>
                </c:pt>
                <c:pt idx="852">
                  <c:v>45688</c:v>
                </c:pt>
                <c:pt idx="853">
                  <c:v>45691</c:v>
                </c:pt>
                <c:pt idx="854">
                  <c:v>45692</c:v>
                </c:pt>
                <c:pt idx="855">
                  <c:v>45693</c:v>
                </c:pt>
                <c:pt idx="856">
                  <c:v>45694</c:v>
                </c:pt>
                <c:pt idx="857">
                  <c:v>45695</c:v>
                </c:pt>
                <c:pt idx="858">
                  <c:v>45698</c:v>
                </c:pt>
                <c:pt idx="859">
                  <c:v>45699</c:v>
                </c:pt>
                <c:pt idx="860">
                  <c:v>45700</c:v>
                </c:pt>
                <c:pt idx="861">
                  <c:v>45701</c:v>
                </c:pt>
                <c:pt idx="862">
                  <c:v>45702</c:v>
                </c:pt>
                <c:pt idx="863">
                  <c:v>45705</c:v>
                </c:pt>
                <c:pt idx="864">
                  <c:v>45706</c:v>
                </c:pt>
                <c:pt idx="865">
                  <c:v>45707</c:v>
                </c:pt>
                <c:pt idx="866">
                  <c:v>45708</c:v>
                </c:pt>
                <c:pt idx="867">
                  <c:v>45709</c:v>
                </c:pt>
                <c:pt idx="868">
                  <c:v>45712</c:v>
                </c:pt>
                <c:pt idx="869">
                  <c:v>45713</c:v>
                </c:pt>
                <c:pt idx="870">
                  <c:v>45714</c:v>
                </c:pt>
                <c:pt idx="871">
                  <c:v>45715</c:v>
                </c:pt>
                <c:pt idx="872">
                  <c:v>45716</c:v>
                </c:pt>
                <c:pt idx="873">
                  <c:v>45721</c:v>
                </c:pt>
                <c:pt idx="874">
                  <c:v>45722</c:v>
                </c:pt>
                <c:pt idx="875">
                  <c:v>45723</c:v>
                </c:pt>
                <c:pt idx="876">
                  <c:v>45726</c:v>
                </c:pt>
                <c:pt idx="877">
                  <c:v>45727</c:v>
                </c:pt>
                <c:pt idx="878">
                  <c:v>45728</c:v>
                </c:pt>
                <c:pt idx="879">
                  <c:v>45729</c:v>
                </c:pt>
                <c:pt idx="880">
                  <c:v>45730</c:v>
                </c:pt>
                <c:pt idx="881">
                  <c:v>45733</c:v>
                </c:pt>
                <c:pt idx="882">
                  <c:v>45734</c:v>
                </c:pt>
                <c:pt idx="883">
                  <c:v>45735</c:v>
                </c:pt>
                <c:pt idx="884">
                  <c:v>45736</c:v>
                </c:pt>
                <c:pt idx="885">
                  <c:v>45737</c:v>
                </c:pt>
                <c:pt idx="886">
                  <c:v>45740</c:v>
                </c:pt>
                <c:pt idx="887">
                  <c:v>45741</c:v>
                </c:pt>
                <c:pt idx="888">
                  <c:v>45742</c:v>
                </c:pt>
                <c:pt idx="889">
                  <c:v>45743</c:v>
                </c:pt>
                <c:pt idx="890">
                  <c:v>45744</c:v>
                </c:pt>
                <c:pt idx="891">
                  <c:v>45747</c:v>
                </c:pt>
                <c:pt idx="892">
                  <c:v>45748</c:v>
                </c:pt>
                <c:pt idx="893">
                  <c:v>45749</c:v>
                </c:pt>
                <c:pt idx="894">
                  <c:v>45750</c:v>
                </c:pt>
                <c:pt idx="895">
                  <c:v>45751</c:v>
                </c:pt>
                <c:pt idx="896">
                  <c:v>45754</c:v>
                </c:pt>
                <c:pt idx="897">
                  <c:v>45755</c:v>
                </c:pt>
                <c:pt idx="898">
                  <c:v>45756</c:v>
                </c:pt>
                <c:pt idx="899">
                  <c:v>45757</c:v>
                </c:pt>
                <c:pt idx="900">
                  <c:v>45758</c:v>
                </c:pt>
                <c:pt idx="901">
                  <c:v>45761</c:v>
                </c:pt>
                <c:pt idx="902">
                  <c:v>45762</c:v>
                </c:pt>
                <c:pt idx="903">
                  <c:v>45763</c:v>
                </c:pt>
                <c:pt idx="904">
                  <c:v>45764</c:v>
                </c:pt>
                <c:pt idx="905">
                  <c:v>45769</c:v>
                </c:pt>
                <c:pt idx="906">
                  <c:v>45770</c:v>
                </c:pt>
                <c:pt idx="907">
                  <c:v>45771</c:v>
                </c:pt>
                <c:pt idx="908">
                  <c:v>45772</c:v>
                </c:pt>
                <c:pt idx="909">
                  <c:v>45775</c:v>
                </c:pt>
                <c:pt idx="910">
                  <c:v>45776</c:v>
                </c:pt>
                <c:pt idx="911">
                  <c:v>45777</c:v>
                </c:pt>
                <c:pt idx="912">
                  <c:v>45779</c:v>
                </c:pt>
                <c:pt idx="913">
                  <c:v>45782</c:v>
                </c:pt>
                <c:pt idx="914">
                  <c:v>45783</c:v>
                </c:pt>
                <c:pt idx="915">
                  <c:v>45784</c:v>
                </c:pt>
                <c:pt idx="916">
                  <c:v>45785</c:v>
                </c:pt>
                <c:pt idx="917">
                  <c:v>45786</c:v>
                </c:pt>
                <c:pt idx="918">
                  <c:v>45789</c:v>
                </c:pt>
                <c:pt idx="919">
                  <c:v>45790</c:v>
                </c:pt>
                <c:pt idx="920">
                  <c:v>45791</c:v>
                </c:pt>
                <c:pt idx="921">
                  <c:v>45792</c:v>
                </c:pt>
                <c:pt idx="922">
                  <c:v>45793</c:v>
                </c:pt>
                <c:pt idx="923">
                  <c:v>45796</c:v>
                </c:pt>
                <c:pt idx="924">
                  <c:v>45797</c:v>
                </c:pt>
                <c:pt idx="925">
                  <c:v>45798</c:v>
                </c:pt>
                <c:pt idx="926">
                  <c:v>45799</c:v>
                </c:pt>
                <c:pt idx="927">
                  <c:v>45800</c:v>
                </c:pt>
                <c:pt idx="928">
                  <c:v>45803</c:v>
                </c:pt>
                <c:pt idx="929">
                  <c:v>45804</c:v>
                </c:pt>
                <c:pt idx="930">
                  <c:v>45805</c:v>
                </c:pt>
                <c:pt idx="931">
                  <c:v>45806</c:v>
                </c:pt>
                <c:pt idx="932">
                  <c:v>45807</c:v>
                </c:pt>
                <c:pt idx="933">
                  <c:v>45810</c:v>
                </c:pt>
                <c:pt idx="934">
                  <c:v>45811</c:v>
                </c:pt>
                <c:pt idx="935">
                  <c:v>45812</c:v>
                </c:pt>
                <c:pt idx="936">
                  <c:v>45813</c:v>
                </c:pt>
                <c:pt idx="937">
                  <c:v>45814</c:v>
                </c:pt>
                <c:pt idx="938">
                  <c:v>45817</c:v>
                </c:pt>
                <c:pt idx="939">
                  <c:v>45818</c:v>
                </c:pt>
                <c:pt idx="940">
                  <c:v>45819</c:v>
                </c:pt>
                <c:pt idx="941">
                  <c:v>45820</c:v>
                </c:pt>
                <c:pt idx="942">
                  <c:v>45821</c:v>
                </c:pt>
                <c:pt idx="943">
                  <c:v>45824</c:v>
                </c:pt>
                <c:pt idx="944">
                  <c:v>45825</c:v>
                </c:pt>
                <c:pt idx="945">
                  <c:v>45826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45982</c:v>
                </c:pt>
                <c:pt idx="1056">
                  <c:v>45985</c:v>
                </c:pt>
                <c:pt idx="1057">
                  <c:v>45986</c:v>
                </c:pt>
                <c:pt idx="1058">
                  <c:v>45987</c:v>
                </c:pt>
                <c:pt idx="1059">
                  <c:v>45988</c:v>
                </c:pt>
                <c:pt idx="1060">
                  <c:v>45989</c:v>
                </c:pt>
                <c:pt idx="1061">
                  <c:v>45992</c:v>
                </c:pt>
                <c:pt idx="1062">
                  <c:v>45993</c:v>
                </c:pt>
                <c:pt idx="1063">
                  <c:v>45994</c:v>
                </c:pt>
                <c:pt idx="1064">
                  <c:v>45995</c:v>
                </c:pt>
                <c:pt idx="1065">
                  <c:v>45996</c:v>
                </c:pt>
                <c:pt idx="1066">
                  <c:v>45999</c:v>
                </c:pt>
                <c:pt idx="1067">
                  <c:v>46000</c:v>
                </c:pt>
                <c:pt idx="1068">
                  <c:v>46001</c:v>
                </c:pt>
                <c:pt idx="1069">
                  <c:v>46002</c:v>
                </c:pt>
                <c:pt idx="1070">
                  <c:v>46003</c:v>
                </c:pt>
                <c:pt idx="1071">
                  <c:v>46006</c:v>
                </c:pt>
                <c:pt idx="1072">
                  <c:v>46007</c:v>
                </c:pt>
                <c:pt idx="1073">
                  <c:v>46008</c:v>
                </c:pt>
                <c:pt idx="1074">
                  <c:v>46009</c:v>
                </c:pt>
                <c:pt idx="1075">
                  <c:v>46010</c:v>
                </c:pt>
                <c:pt idx="1076">
                  <c:v>46013</c:v>
                </c:pt>
                <c:pt idx="1077">
                  <c:v>46014</c:v>
                </c:pt>
                <c:pt idx="1078">
                  <c:v>46017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46118</c:v>
                </c:pt>
                <c:pt idx="1145">
                  <c:v>46119</c:v>
                </c:pt>
                <c:pt idx="1146">
                  <c:v>46120</c:v>
                </c:pt>
                <c:pt idx="1147">
                  <c:v>46121</c:v>
                </c:pt>
                <c:pt idx="1148">
                  <c:v>46122</c:v>
                </c:pt>
                <c:pt idx="1149">
                  <c:v>46125</c:v>
                </c:pt>
                <c:pt idx="1150">
                  <c:v>46126</c:v>
                </c:pt>
                <c:pt idx="1151">
                  <c:v>46127</c:v>
                </c:pt>
                <c:pt idx="1152">
                  <c:v>46128</c:v>
                </c:pt>
                <c:pt idx="1153">
                  <c:v>46129</c:v>
                </c:pt>
                <c:pt idx="1154">
                  <c:v>46132</c:v>
                </c:pt>
                <c:pt idx="1155">
                  <c:v>46134</c:v>
                </c:pt>
                <c:pt idx="1156">
                  <c:v>46135</c:v>
                </c:pt>
                <c:pt idx="1157">
                  <c:v>46136</c:v>
                </c:pt>
                <c:pt idx="1158">
                  <c:v>46139</c:v>
                </c:pt>
                <c:pt idx="1159">
                  <c:v>46140</c:v>
                </c:pt>
                <c:pt idx="1160">
                  <c:v>46141</c:v>
                </c:pt>
                <c:pt idx="1161">
                  <c:v>46142</c:v>
                </c:pt>
                <c:pt idx="1162">
                  <c:v>46146</c:v>
                </c:pt>
                <c:pt idx="1163">
                  <c:v>46147</c:v>
                </c:pt>
                <c:pt idx="1164">
                  <c:v>46148</c:v>
                </c:pt>
                <c:pt idx="1165">
                  <c:v>46149</c:v>
                </c:pt>
                <c:pt idx="1166">
                  <c:v>46150</c:v>
                </c:pt>
                <c:pt idx="1167">
                  <c:v>46153</c:v>
                </c:pt>
                <c:pt idx="1168">
                  <c:v>46154</c:v>
                </c:pt>
                <c:pt idx="1169">
                  <c:v>46155</c:v>
                </c:pt>
                <c:pt idx="1170">
                  <c:v>46156</c:v>
                </c:pt>
                <c:pt idx="1171">
                  <c:v>46157</c:v>
                </c:pt>
                <c:pt idx="1172">
                  <c:v>46160</c:v>
                </c:pt>
                <c:pt idx="1173">
                  <c:v>46161</c:v>
                </c:pt>
                <c:pt idx="1174">
                  <c:v>46162</c:v>
                </c:pt>
                <c:pt idx="1175">
                  <c:v>46163</c:v>
                </c:pt>
                <c:pt idx="1176">
                  <c:v>46164</c:v>
                </c:pt>
                <c:pt idx="1177">
                  <c:v>46167</c:v>
                </c:pt>
                <c:pt idx="1178">
                  <c:v>46168</c:v>
                </c:pt>
                <c:pt idx="1179">
                  <c:v>46169</c:v>
                </c:pt>
                <c:pt idx="1180">
                  <c:v>46170</c:v>
                </c:pt>
                <c:pt idx="1181">
                  <c:v>46171</c:v>
                </c:pt>
                <c:pt idx="1182">
                  <c:v>46174</c:v>
                </c:pt>
                <c:pt idx="1183">
                  <c:v>46175</c:v>
                </c:pt>
                <c:pt idx="1184">
                  <c:v>46176</c:v>
                </c:pt>
                <c:pt idx="1185">
                  <c:v>46178</c:v>
                </c:pt>
                <c:pt idx="1186">
                  <c:v>46181</c:v>
                </c:pt>
                <c:pt idx="1187">
                  <c:v>46182</c:v>
                </c:pt>
                <c:pt idx="1188">
                  <c:v>46183</c:v>
                </c:pt>
                <c:pt idx="1189">
                  <c:v>46184</c:v>
                </c:pt>
                <c:pt idx="1190">
                  <c:v>46185</c:v>
                </c:pt>
                <c:pt idx="1191">
                  <c:v>46188</c:v>
                </c:pt>
                <c:pt idx="1192">
                  <c:v>46189</c:v>
                </c:pt>
                <c:pt idx="1193">
                  <c:v>46190</c:v>
                </c:pt>
                <c:pt idx="1194">
                  <c:v>46191</c:v>
                </c:pt>
                <c:pt idx="1195">
                  <c:v>46192</c:v>
                </c:pt>
                <c:pt idx="1196">
                  <c:v>46195</c:v>
                </c:pt>
                <c:pt idx="1197">
                  <c:v>46196</c:v>
                </c:pt>
                <c:pt idx="1198">
                  <c:v>46197</c:v>
                </c:pt>
                <c:pt idx="1199">
                  <c:v>46198</c:v>
                </c:pt>
                <c:pt idx="1200">
                  <c:v>46199</c:v>
                </c:pt>
                <c:pt idx="1201">
                  <c:v>46202</c:v>
                </c:pt>
                <c:pt idx="1202">
                  <c:v>46203</c:v>
                </c:pt>
                <c:pt idx="1203">
                  <c:v>46204</c:v>
                </c:pt>
                <c:pt idx="1204">
                  <c:v>46205</c:v>
                </c:pt>
                <c:pt idx="1205">
                  <c:v>46206</c:v>
                </c:pt>
                <c:pt idx="1206">
                  <c:v>46209</c:v>
                </c:pt>
                <c:pt idx="1207">
                  <c:v>46210</c:v>
                </c:pt>
                <c:pt idx="1208">
                  <c:v>46211</c:v>
                </c:pt>
                <c:pt idx="1209">
                  <c:v>46212</c:v>
                </c:pt>
                <c:pt idx="1210">
                  <c:v>46213</c:v>
                </c:pt>
                <c:pt idx="1211">
                  <c:v>46216</c:v>
                </c:pt>
                <c:pt idx="1212">
                  <c:v>46217</c:v>
                </c:pt>
                <c:pt idx="1213">
                  <c:v>46218</c:v>
                </c:pt>
                <c:pt idx="1214">
                  <c:v>46219</c:v>
                </c:pt>
                <c:pt idx="1215">
                  <c:v>46220</c:v>
                </c:pt>
                <c:pt idx="1216">
                  <c:v>46223</c:v>
                </c:pt>
                <c:pt idx="1217">
                  <c:v>46224</c:v>
                </c:pt>
                <c:pt idx="1218">
                  <c:v>46225</c:v>
                </c:pt>
                <c:pt idx="1219">
                  <c:v>46226</c:v>
                </c:pt>
                <c:pt idx="1220">
                  <c:v>46227</c:v>
                </c:pt>
                <c:pt idx="1221">
                  <c:v>46230</c:v>
                </c:pt>
                <c:pt idx="1222">
                  <c:v>46231</c:v>
                </c:pt>
                <c:pt idx="1223">
                  <c:v>46232</c:v>
                </c:pt>
                <c:pt idx="1224">
                  <c:v>46233</c:v>
                </c:pt>
                <c:pt idx="1225">
                  <c:v>46234</c:v>
                </c:pt>
                <c:pt idx="1226">
                  <c:v>46237</c:v>
                </c:pt>
                <c:pt idx="1227">
                  <c:v>46238</c:v>
                </c:pt>
                <c:pt idx="1228">
                  <c:v>46239</c:v>
                </c:pt>
                <c:pt idx="1229">
                  <c:v>46240</c:v>
                </c:pt>
                <c:pt idx="1230">
                  <c:v>46241</c:v>
                </c:pt>
                <c:pt idx="1231">
                  <c:v>46244</c:v>
                </c:pt>
                <c:pt idx="1232">
                  <c:v>46245</c:v>
                </c:pt>
                <c:pt idx="1233">
                  <c:v>46246</c:v>
                </c:pt>
                <c:pt idx="1234">
                  <c:v>46247</c:v>
                </c:pt>
                <c:pt idx="1235">
                  <c:v>46248</c:v>
                </c:pt>
                <c:pt idx="1236">
                  <c:v>46251</c:v>
                </c:pt>
                <c:pt idx="1237">
                  <c:v>46252</c:v>
                </c:pt>
                <c:pt idx="1238">
                  <c:v>46253</c:v>
                </c:pt>
                <c:pt idx="1239">
                  <c:v>46254</c:v>
                </c:pt>
                <c:pt idx="1240">
                  <c:v>46255</c:v>
                </c:pt>
                <c:pt idx="1241">
                  <c:v>46258</c:v>
                </c:pt>
                <c:pt idx="1242">
                  <c:v>46259</c:v>
                </c:pt>
                <c:pt idx="1243">
                  <c:v>46260</c:v>
                </c:pt>
                <c:pt idx="1244">
                  <c:v>46261</c:v>
                </c:pt>
                <c:pt idx="1245">
                  <c:v>46262</c:v>
                </c:pt>
                <c:pt idx="1246">
                  <c:v>46265</c:v>
                </c:pt>
              </c:numCache>
            </c:numRef>
          </c:cat>
          <c:val>
            <c:numRef>
              <c:f>Dados!$D$2:$D$1248</c:f>
              <c:numCache>
                <c:formatCode>0.0000</c:formatCode>
                <c:ptCount val="1247"/>
                <c:pt idx="1">
                  <c:v>-2.773948084821316E-2</c:v>
                </c:pt>
                <c:pt idx="2">
                  <c:v>2.293205426518397E-3</c:v>
                </c:pt>
                <c:pt idx="3">
                  <c:v>1.4756035012116918E-2</c:v>
                </c:pt>
                <c:pt idx="4">
                  <c:v>-4.1824344424264498E-2</c:v>
                </c:pt>
                <c:pt idx="5">
                  <c:v>2.134915640467714E-2</c:v>
                </c:pt>
                <c:pt idx="6">
                  <c:v>-1.143262013574416E-2</c:v>
                </c:pt>
                <c:pt idx="7">
                  <c:v>1.9945604622447887E-2</c:v>
                </c:pt>
                <c:pt idx="8">
                  <c:v>-1.2992979581822664E-3</c:v>
                </c:pt>
                <c:pt idx="9">
                  <c:v>-1.2700723857921738E-2</c:v>
                </c:pt>
                <c:pt idx="10">
                  <c:v>-3.9365937003038639E-3</c:v>
                </c:pt>
                <c:pt idx="11">
                  <c:v>-1.762446088070602E-2</c:v>
                </c:pt>
                <c:pt idx="12">
                  <c:v>-2.2417695141026529E-2</c:v>
                </c:pt>
                <c:pt idx="13">
                  <c:v>1.2420557650686379E-2</c:v>
                </c:pt>
                <c:pt idx="14">
                  <c:v>1.4710927408640292E-2</c:v>
                </c:pt>
                <c:pt idx="15">
                  <c:v>1.4471511876592145E-2</c:v>
                </c:pt>
                <c:pt idx="16">
                  <c:v>-6.9024729865596402E-3</c:v>
                </c:pt>
                <c:pt idx="17">
                  <c:v>1.034732278260125E-3</c:v>
                </c:pt>
                <c:pt idx="18">
                  <c:v>-2.9248472946288604E-2</c:v>
                </c:pt>
                <c:pt idx="19">
                  <c:v>4.6770362815153404E-3</c:v>
                </c:pt>
                <c:pt idx="20">
                  <c:v>-5.9547667007601836E-3</c:v>
                </c:pt>
                <c:pt idx="21">
                  <c:v>1.9023218707732891E-2</c:v>
                </c:pt>
                <c:pt idx="22">
                  <c:v>-2.8341659521283185E-2</c:v>
                </c:pt>
                <c:pt idx="23">
                  <c:v>2.2229165697983761E-3</c:v>
                </c:pt>
                <c:pt idx="24">
                  <c:v>1.1505345324355806E-3</c:v>
                </c:pt>
                <c:pt idx="25">
                  <c:v>-4.1626649534909702E-3</c:v>
                </c:pt>
                <c:pt idx="26">
                  <c:v>2.3137666683797364E-2</c:v>
                </c:pt>
                <c:pt idx="27">
                  <c:v>-1.4639701009300001E-2</c:v>
                </c:pt>
                <c:pt idx="28">
                  <c:v>2.1000754358885328E-2</c:v>
                </c:pt>
                <c:pt idx="29">
                  <c:v>-3.5689433604083891E-3</c:v>
                </c:pt>
                <c:pt idx="30">
                  <c:v>1.602657215375565E-2</c:v>
                </c:pt>
                <c:pt idx="31">
                  <c:v>6.4747004880362513E-4</c:v>
                </c:pt>
                <c:pt idx="32">
                  <c:v>-3.5550361578267325E-2</c:v>
                </c:pt>
                <c:pt idx="33">
                  <c:v>9.7856073823778048E-3</c:v>
                </c:pt>
                <c:pt idx="34">
                  <c:v>-3.3084847803382909E-2</c:v>
                </c:pt>
                <c:pt idx="35">
                  <c:v>-2.1103451724836873E-2</c:v>
                </c:pt>
                <c:pt idx="36">
                  <c:v>1.9854922239685845E-2</c:v>
                </c:pt>
                <c:pt idx="37">
                  <c:v>-2.4475169348037121E-2</c:v>
                </c:pt>
                <c:pt idx="38">
                  <c:v>4.241182841948311E-3</c:v>
                </c:pt>
                <c:pt idx="39">
                  <c:v>-6.1324296936207277E-3</c:v>
                </c:pt>
                <c:pt idx="40">
                  <c:v>-1.3489554610304103E-2</c:v>
                </c:pt>
                <c:pt idx="41">
                  <c:v>2.2437793692078739E-2</c:v>
                </c:pt>
                <c:pt idx="42">
                  <c:v>1.7251062241163791E-2</c:v>
                </c:pt>
                <c:pt idx="43">
                  <c:v>-2.2382375458497542E-2</c:v>
                </c:pt>
                <c:pt idx="44">
                  <c:v>2.0741281065620263E-2</c:v>
                </c:pt>
                <c:pt idx="45">
                  <c:v>-1.1850520591590233E-2</c:v>
                </c:pt>
                <c:pt idx="46">
                  <c:v>1.1487545870190166E-2</c:v>
                </c:pt>
                <c:pt idx="47">
                  <c:v>1.0859960916470351E-2</c:v>
                </c:pt>
                <c:pt idx="48">
                  <c:v>1.1981407361946576E-2</c:v>
                </c:pt>
                <c:pt idx="49">
                  <c:v>-1.6956978300336351E-2</c:v>
                </c:pt>
                <c:pt idx="50">
                  <c:v>-1.8182064382724968E-2</c:v>
                </c:pt>
                <c:pt idx="51">
                  <c:v>-1.1888021142251399E-2</c:v>
                </c:pt>
                <c:pt idx="52">
                  <c:v>-1.2977738768742259E-3</c:v>
                </c:pt>
                <c:pt idx="53">
                  <c:v>4.8392122014561719E-3</c:v>
                </c:pt>
                <c:pt idx="54">
                  <c:v>-2.1084392173395385E-2</c:v>
                </c:pt>
                <c:pt idx="55">
                  <c:v>1.0907439404032743E-2</c:v>
                </c:pt>
                <c:pt idx="56">
                  <c:v>6.883483404590187E-3</c:v>
                </c:pt>
                <c:pt idx="57">
                  <c:v>1.437870532583101E-2</c:v>
                </c:pt>
                <c:pt idx="58">
                  <c:v>-3.3004640441145691E-2</c:v>
                </c:pt>
                <c:pt idx="59">
                  <c:v>3.2530077679463192E-4</c:v>
                </c:pt>
                <c:pt idx="60">
                  <c:v>-9.8901285510818449E-3</c:v>
                </c:pt>
                <c:pt idx="61">
                  <c:v>-1.5865189887040602E-2</c:v>
                </c:pt>
                <c:pt idx="62">
                  <c:v>2.8213913613099339E-2</c:v>
                </c:pt>
                <c:pt idx="63">
                  <c:v>8.7664391634629749E-3</c:v>
                </c:pt>
                <c:pt idx="64">
                  <c:v>1.0459342865588639E-2</c:v>
                </c:pt>
                <c:pt idx="65">
                  <c:v>5.5101353508659103E-3</c:v>
                </c:pt>
                <c:pt idx="66">
                  <c:v>7.4141889925638292E-3</c:v>
                </c:pt>
                <c:pt idx="67">
                  <c:v>-2.2855651287445558E-2</c:v>
                </c:pt>
                <c:pt idx="68">
                  <c:v>1.4954677522729044E-2</c:v>
                </c:pt>
                <c:pt idx="69">
                  <c:v>-1.0158160873544143E-2</c:v>
                </c:pt>
                <c:pt idx="70">
                  <c:v>-3.6742633235770971E-3</c:v>
                </c:pt>
                <c:pt idx="71">
                  <c:v>9.5973850327733361E-3</c:v>
                </c:pt>
                <c:pt idx="72">
                  <c:v>2.4939560600980657E-3</c:v>
                </c:pt>
                <c:pt idx="73">
                  <c:v>-7.7248726866489701E-3</c:v>
                </c:pt>
                <c:pt idx="74">
                  <c:v>-2.1489344019319307E-2</c:v>
                </c:pt>
                <c:pt idx="75">
                  <c:v>-3.355225016300385E-3</c:v>
                </c:pt>
                <c:pt idx="76">
                  <c:v>-1.2336500185664884E-3</c:v>
                </c:pt>
                <c:pt idx="77">
                  <c:v>-1.2154586308541205E-3</c:v>
                </c:pt>
                <c:pt idx="78">
                  <c:v>6.0189449821481892E-3</c:v>
                </c:pt>
                <c:pt idx="79">
                  <c:v>-3.3399771438257439E-3</c:v>
                </c:pt>
                <c:pt idx="80">
                  <c:v>-8.9021796762096209E-3</c:v>
                </c:pt>
                <c:pt idx="81">
                  <c:v>5.987732496677744E-3</c:v>
                </c:pt>
                <c:pt idx="82">
                  <c:v>-1.2920478235984093E-2</c:v>
                </c:pt>
                <c:pt idx="83">
                  <c:v>-3.9333669504594071E-3</c:v>
                </c:pt>
                <c:pt idx="84">
                  <c:v>-2.7324145732314356E-2</c:v>
                </c:pt>
                <c:pt idx="85">
                  <c:v>1.3986768647395174E-3</c:v>
                </c:pt>
                <c:pt idx="86">
                  <c:v>2.6842771257991624E-3</c:v>
                </c:pt>
                <c:pt idx="87">
                  <c:v>-6.8707664405948466E-3</c:v>
                </c:pt>
                <c:pt idx="88">
                  <c:v>1.4895830487220795E-2</c:v>
                </c:pt>
                <c:pt idx="89">
                  <c:v>1.9144525466939837E-2</c:v>
                </c:pt>
                <c:pt idx="90">
                  <c:v>-2.109159705027396E-3</c:v>
                </c:pt>
                <c:pt idx="91">
                  <c:v>1.3832067407531791E-2</c:v>
                </c:pt>
                <c:pt idx="92">
                  <c:v>-6.251963457927512E-3</c:v>
                </c:pt>
                <c:pt idx="93">
                  <c:v>-2.8060426756552218E-3</c:v>
                </c:pt>
                <c:pt idx="94">
                  <c:v>1.1691890573545362E-2</c:v>
                </c:pt>
                <c:pt idx="95">
                  <c:v>1.8360942753227288E-2</c:v>
                </c:pt>
                <c:pt idx="96">
                  <c:v>2.9964726016725408E-3</c:v>
                </c:pt>
                <c:pt idx="97">
                  <c:v>-8.5279426778565592E-3</c:v>
                </c:pt>
                <c:pt idx="98">
                  <c:v>2.3821011725883235E-2</c:v>
                </c:pt>
                <c:pt idx="99">
                  <c:v>8.9647067990506653E-3</c:v>
                </c:pt>
                <c:pt idx="100">
                  <c:v>1.6242480299135675E-2</c:v>
                </c:pt>
                <c:pt idx="101">
                  <c:v>-2.7111870166782025E-3</c:v>
                </c:pt>
                <c:pt idx="102">
                  <c:v>1.0334751690941866E-2</c:v>
                </c:pt>
                <c:pt idx="103">
                  <c:v>-5.7135939698335712E-4</c:v>
                </c:pt>
                <c:pt idx="104">
                  <c:v>-1.6331833701384767E-2</c:v>
                </c:pt>
                <c:pt idx="105">
                  <c:v>-1.3859049199532302E-3</c:v>
                </c:pt>
                <c:pt idx="106">
                  <c:v>-4.211337643780194E-3</c:v>
                </c:pt>
                <c:pt idx="107">
                  <c:v>-8.1416198452532174E-3</c:v>
                </c:pt>
                <c:pt idx="108">
                  <c:v>2.8277646426185881E-3</c:v>
                </c:pt>
                <c:pt idx="109">
                  <c:v>1.5351212759341193E-3</c:v>
                </c:pt>
                <c:pt idx="110">
                  <c:v>3.7226964637489973E-3</c:v>
                </c:pt>
                <c:pt idx="111">
                  <c:v>1.6204531693230864E-3</c:v>
                </c:pt>
                <c:pt idx="112">
                  <c:v>5.8391054708598561E-3</c:v>
                </c:pt>
                <c:pt idx="113">
                  <c:v>1.8290508264119612E-2</c:v>
                </c:pt>
                <c:pt idx="114">
                  <c:v>1.4883766695860882E-3</c:v>
                </c:pt>
                <c:pt idx="115">
                  <c:v>-1.0782546952969823E-2</c:v>
                </c:pt>
                <c:pt idx="116">
                  <c:v>-7.5546703831117961E-3</c:v>
                </c:pt>
                <c:pt idx="117">
                  <c:v>-1.7071718103446619E-2</c:v>
                </c:pt>
                <c:pt idx="118">
                  <c:v>8.2685904153156735E-3</c:v>
                </c:pt>
                <c:pt idx="119">
                  <c:v>-7.7267448200409273E-3</c:v>
                </c:pt>
                <c:pt idx="120">
                  <c:v>-2.7164188895911767E-3</c:v>
                </c:pt>
                <c:pt idx="121">
                  <c:v>4.0295363051423326E-3</c:v>
                </c:pt>
                <c:pt idx="122">
                  <c:v>-1.2895696653514904E-3</c:v>
                </c:pt>
                <c:pt idx="123">
                  <c:v>3.178467469609942E-3</c:v>
                </c:pt>
                <c:pt idx="124">
                  <c:v>-1.3498231744701085E-2</c:v>
                </c:pt>
                <c:pt idx="125">
                  <c:v>-3.6690430271883172E-2</c:v>
                </c:pt>
                <c:pt idx="126">
                  <c:v>5.930471122632959E-3</c:v>
                </c:pt>
                <c:pt idx="127">
                  <c:v>4.0142000285953536E-2</c:v>
                </c:pt>
                <c:pt idx="128">
                  <c:v>-1.4237904299519764E-2</c:v>
                </c:pt>
                <c:pt idx="129">
                  <c:v>-1.7835347876672934E-2</c:v>
                </c:pt>
                <c:pt idx="130">
                  <c:v>-6.2841977202476801E-3</c:v>
                </c:pt>
                <c:pt idx="131">
                  <c:v>-3.5968702368580651E-3</c:v>
                </c:pt>
                <c:pt idx="132">
                  <c:v>2.1418552122166552E-2</c:v>
                </c:pt>
                <c:pt idx="133">
                  <c:v>1.9417993324068458E-2</c:v>
                </c:pt>
                <c:pt idx="134">
                  <c:v>1.8533981494704563E-2</c:v>
                </c:pt>
                <c:pt idx="135">
                  <c:v>6.1135273382851283E-4</c:v>
                </c:pt>
                <c:pt idx="136">
                  <c:v>1.7590001673201332E-2</c:v>
                </c:pt>
                <c:pt idx="137">
                  <c:v>1.7280042646779792E-4</c:v>
                </c:pt>
                <c:pt idx="138">
                  <c:v>2.0892973363075221E-2</c:v>
                </c:pt>
                <c:pt idx="139">
                  <c:v>3.4947990133869021E-3</c:v>
                </c:pt>
                <c:pt idx="140">
                  <c:v>-1.1280861600742596E-3</c:v>
                </c:pt>
                <c:pt idx="141">
                  <c:v>1.3462005481758084E-2</c:v>
                </c:pt>
                <c:pt idx="142">
                  <c:v>-2.8669858953767769E-3</c:v>
                </c:pt>
                <c:pt idx="143">
                  <c:v>-2.4255670228740707E-3</c:v>
                </c:pt>
                <c:pt idx="144">
                  <c:v>1.360980578147877E-2</c:v>
                </c:pt>
                <c:pt idx="145">
                  <c:v>-5.4147035196203527E-3</c:v>
                </c:pt>
                <c:pt idx="146">
                  <c:v>-1.9288190779455271E-2</c:v>
                </c:pt>
                <c:pt idx="147">
                  <c:v>-8.3463858536995238E-3</c:v>
                </c:pt>
                <c:pt idx="148">
                  <c:v>3.1722057259916561E-3</c:v>
                </c:pt>
                <c:pt idx="149">
                  <c:v>-1.8832201792198574E-3</c:v>
                </c:pt>
                <c:pt idx="150">
                  <c:v>-1.1302099244370579E-2</c:v>
                </c:pt>
                <c:pt idx="151">
                  <c:v>-8.8084203380876733E-3</c:v>
                </c:pt>
                <c:pt idx="152">
                  <c:v>6.1403066358341439E-3</c:v>
                </c:pt>
                <c:pt idx="153">
                  <c:v>-1.9588983079632367E-3</c:v>
                </c:pt>
                <c:pt idx="154">
                  <c:v>1.1985827269537835E-3</c:v>
                </c:pt>
                <c:pt idx="155">
                  <c:v>-4.1168850193981608E-3</c:v>
                </c:pt>
                <c:pt idx="156">
                  <c:v>-4.2165727705751974E-3</c:v>
                </c:pt>
                <c:pt idx="157">
                  <c:v>-2.0172057158757251E-2</c:v>
                </c:pt>
                <c:pt idx="158">
                  <c:v>-3.5154904588375496E-4</c:v>
                </c:pt>
                <c:pt idx="159">
                  <c:v>-2.6864408154853664E-2</c:v>
                </c:pt>
                <c:pt idx="160">
                  <c:v>4.6077642704579575E-3</c:v>
                </c:pt>
                <c:pt idx="161">
                  <c:v>1.9682068191369975E-3</c:v>
                </c:pt>
                <c:pt idx="162">
                  <c:v>-2.2943234640721111E-2</c:v>
                </c:pt>
                <c:pt idx="163">
                  <c:v>-1.3707250746470116E-2</c:v>
                </c:pt>
                <c:pt idx="164">
                  <c:v>-2.9373911339880716E-3</c:v>
                </c:pt>
                <c:pt idx="165">
                  <c:v>1.8082815354841943E-2</c:v>
                </c:pt>
                <c:pt idx="166">
                  <c:v>-3.1824863001593255E-2</c:v>
                </c:pt>
                <c:pt idx="167">
                  <c:v>-5.2213891525317389E-3</c:v>
                </c:pt>
                <c:pt idx="168">
                  <c:v>-1.0889325745002326E-2</c:v>
                </c:pt>
                <c:pt idx="169">
                  <c:v>1.1583151399387156E-3</c:v>
                </c:pt>
                <c:pt idx="170">
                  <c:v>6.031236603950582E-3</c:v>
                </c:pt>
                <c:pt idx="171">
                  <c:v>1.9572484074691438E-2</c:v>
                </c:pt>
                <c:pt idx="172">
                  <c:v>1.2912622335484731E-2</c:v>
                </c:pt>
                <c:pt idx="173">
                  <c:v>9.9703385683389285E-3</c:v>
                </c:pt>
                <c:pt idx="174">
                  <c:v>1.3744503406249988E-2</c:v>
                </c:pt>
                <c:pt idx="175">
                  <c:v>-2.5633977423541648E-2</c:v>
                </c:pt>
                <c:pt idx="176">
                  <c:v>1.6923366037427847E-3</c:v>
                </c:pt>
                <c:pt idx="177">
                  <c:v>1.2327423848110225E-2</c:v>
                </c:pt>
                <c:pt idx="178">
                  <c:v>1.4363623748249423E-2</c:v>
                </c:pt>
                <c:pt idx="179">
                  <c:v>1.4197595087300223E-3</c:v>
                </c:pt>
                <c:pt idx="180">
                  <c:v>-3.0146965173846697E-3</c:v>
                </c:pt>
                <c:pt idx="181">
                  <c:v>1.4329600803875634E-2</c:v>
                </c:pt>
                <c:pt idx="182">
                  <c:v>2.792245935982365E-3</c:v>
                </c:pt>
                <c:pt idx="183">
                  <c:v>-1.1063332441492242E-2</c:v>
                </c:pt>
                <c:pt idx="184">
                  <c:v>5.4946897788860413E-3</c:v>
                </c:pt>
                <c:pt idx="185">
                  <c:v>-5.102867343536815E-3</c:v>
                </c:pt>
                <c:pt idx="186">
                  <c:v>9.3851840721697905E-3</c:v>
                </c:pt>
                <c:pt idx="187">
                  <c:v>-1.3621568521329048E-2</c:v>
                </c:pt>
                <c:pt idx="188">
                  <c:v>-1.0493315691532477E-2</c:v>
                </c:pt>
                <c:pt idx="189">
                  <c:v>-8.6419242960708437E-3</c:v>
                </c:pt>
                <c:pt idx="190">
                  <c:v>-1.5338865180363039E-2</c:v>
                </c:pt>
                <c:pt idx="191">
                  <c:v>-5.7764482188127431E-3</c:v>
                </c:pt>
                <c:pt idx="192">
                  <c:v>-1.9134539124233171E-2</c:v>
                </c:pt>
                <c:pt idx="193">
                  <c:v>-2.7371683358008495E-2</c:v>
                </c:pt>
                <c:pt idx="194">
                  <c:v>-8.3007303170715106E-3</c:v>
                </c:pt>
                <c:pt idx="195">
                  <c:v>1.02607517469072E-2</c:v>
                </c:pt>
                <c:pt idx="196">
                  <c:v>-2.0670470031205732E-2</c:v>
                </c:pt>
                <c:pt idx="197">
                  <c:v>6.334098607973555E-3</c:v>
                </c:pt>
                <c:pt idx="198">
                  <c:v>-7.2065200927216974E-4</c:v>
                </c:pt>
                <c:pt idx="199">
                  <c:v>3.666791491623442E-3</c:v>
                </c:pt>
                <c:pt idx="200">
                  <c:v>-8.8005403509183386E-3</c:v>
                </c:pt>
                <c:pt idx="201">
                  <c:v>2.9049217850620401E-3</c:v>
                </c:pt>
                <c:pt idx="202">
                  <c:v>1.1451998764328168E-2</c:v>
                </c:pt>
                <c:pt idx="203">
                  <c:v>-6.2855347705147299E-3</c:v>
                </c:pt>
                <c:pt idx="204">
                  <c:v>-1.0792417821252087E-2</c:v>
                </c:pt>
                <c:pt idx="205">
                  <c:v>-7.1041494632095217E-3</c:v>
                </c:pt>
                <c:pt idx="206">
                  <c:v>8.076087676268353E-3</c:v>
                </c:pt>
                <c:pt idx="207">
                  <c:v>-8.0599456696553041E-3</c:v>
                </c:pt>
                <c:pt idx="208">
                  <c:v>1.0540468843590173E-3</c:v>
                </c:pt>
                <c:pt idx="209">
                  <c:v>4.4030781562621217E-3</c:v>
                </c:pt>
                <c:pt idx="210">
                  <c:v>1.6474173706745841E-2</c:v>
                </c:pt>
                <c:pt idx="211">
                  <c:v>-1.8071516471016421E-3</c:v>
                </c:pt>
                <c:pt idx="212">
                  <c:v>-2.1653359569686937E-2</c:v>
                </c:pt>
                <c:pt idx="213">
                  <c:v>2.3198517720325763E-3</c:v>
                </c:pt>
                <c:pt idx="214">
                  <c:v>-2.627117873925694E-3</c:v>
                </c:pt>
                <c:pt idx="215">
                  <c:v>-5.6435937864501799E-3</c:v>
                </c:pt>
                <c:pt idx="216">
                  <c:v>2.2796506467832409E-3</c:v>
                </c:pt>
                <c:pt idx="217">
                  <c:v>1.518631246514525E-3</c:v>
                </c:pt>
                <c:pt idx="218">
                  <c:v>1.642231464279666E-2</c:v>
                </c:pt>
                <c:pt idx="219">
                  <c:v>2.541459230942828E-3</c:v>
                </c:pt>
                <c:pt idx="220">
                  <c:v>6.3017845262487784E-3</c:v>
                </c:pt>
                <c:pt idx="221">
                  <c:v>-4.2848917092198563E-3</c:v>
                </c:pt>
                <c:pt idx="222">
                  <c:v>8.9867068611890494E-3</c:v>
                </c:pt>
                <c:pt idx="223">
                  <c:v>-7.7605623502129484E-3</c:v>
                </c:pt>
                <c:pt idx="224">
                  <c:v>1.8660004073887532E-2</c:v>
                </c:pt>
                <c:pt idx="225">
                  <c:v>1.0802335345422961E-2</c:v>
                </c:pt>
                <c:pt idx="226">
                  <c:v>9.9956181384961763E-4</c:v>
                </c:pt>
                <c:pt idx="227">
                  <c:v>-4.8430721513556367E-3</c:v>
                </c:pt>
                <c:pt idx="228">
                  <c:v>7.1101652313051589E-3</c:v>
                </c:pt>
                <c:pt idx="229">
                  <c:v>1.3485536311856715E-2</c:v>
                </c:pt>
                <c:pt idx="230">
                  <c:v>2.7841376057545521E-2</c:v>
                </c:pt>
                <c:pt idx="231">
                  <c:v>3.231969906025907E-3</c:v>
                </c:pt>
                <c:pt idx="232">
                  <c:v>1.5374554438139768E-2</c:v>
                </c:pt>
                <c:pt idx="233">
                  <c:v>-1.6045391349870559E-3</c:v>
                </c:pt>
                <c:pt idx="234">
                  <c:v>1.9454993237478228E-2</c:v>
                </c:pt>
                <c:pt idx="235">
                  <c:v>-8.4155432929803407E-3</c:v>
                </c:pt>
                <c:pt idx="236">
                  <c:v>2.5437031315960212E-2</c:v>
                </c:pt>
                <c:pt idx="237">
                  <c:v>5.9012810534311609E-3</c:v>
                </c:pt>
                <c:pt idx="238">
                  <c:v>3.4928506108376088E-3</c:v>
                </c:pt>
                <c:pt idx="239">
                  <c:v>4.6365559627583467E-3</c:v>
                </c:pt>
                <c:pt idx="240">
                  <c:v>-8.1640149543904734E-4</c:v>
                </c:pt>
                <c:pt idx="241">
                  <c:v>-1.9637137474951456E-2</c:v>
                </c:pt>
                <c:pt idx="242">
                  <c:v>-9.5209484998369058E-3</c:v>
                </c:pt>
                <c:pt idx="243">
                  <c:v>1.210064233017402E-2</c:v>
                </c:pt>
                <c:pt idx="244">
                  <c:v>4.9258425389110735E-3</c:v>
                </c:pt>
                <c:pt idx="245">
                  <c:v>5.02656781807814E-3</c:v>
                </c:pt>
                <c:pt idx="246">
                  <c:v>-1.2672495786523633E-2</c:v>
                </c:pt>
                <c:pt idx="247">
                  <c:v>2.2112163916372315E-3</c:v>
                </c:pt>
                <c:pt idx="248">
                  <c:v>-1.0751179591280691E-2</c:v>
                </c:pt>
                <c:pt idx="249">
                  <c:v>-1.3912364468627314E-2</c:v>
                </c:pt>
                <c:pt idx="250">
                  <c:v>8.8442227511957294E-3</c:v>
                </c:pt>
                <c:pt idx="251">
                  <c:v>9.9134566962325692E-3</c:v>
                </c:pt>
                <c:pt idx="252">
                  <c:v>8.5128321447618706E-3</c:v>
                </c:pt>
                <c:pt idx="253">
                  <c:v>-2.0924841242432841E-2</c:v>
                </c:pt>
                <c:pt idx="254">
                  <c:v>4.8975204357968477E-4</c:v>
                </c:pt>
                <c:pt idx="255">
                  <c:v>1.2607838243165071E-2</c:v>
                </c:pt>
                <c:pt idx="256">
                  <c:v>1.3312794936266924E-2</c:v>
                </c:pt>
                <c:pt idx="257">
                  <c:v>-2.1750922463280316E-2</c:v>
                </c:pt>
                <c:pt idx="258">
                  <c:v>-2.3555351652671426E-3</c:v>
                </c:pt>
                <c:pt idx="259">
                  <c:v>-9.358175678290722E-3</c:v>
                </c:pt>
                <c:pt idx="260">
                  <c:v>-6.2750531120647733E-3</c:v>
                </c:pt>
                <c:pt idx="261">
                  <c:v>2.0315243701053008E-2</c:v>
                </c:pt>
                <c:pt idx="262">
                  <c:v>1.0509724093294703E-2</c:v>
                </c:pt>
                <c:pt idx="263">
                  <c:v>-5.8496693574552469E-3</c:v>
                </c:pt>
                <c:pt idx="264">
                  <c:v>1.7091518752895968E-2</c:v>
                </c:pt>
                <c:pt idx="265">
                  <c:v>-1.7256019265373981E-2</c:v>
                </c:pt>
                <c:pt idx="266">
                  <c:v>-2.8103403834678031E-2</c:v>
                </c:pt>
                <c:pt idx="267">
                  <c:v>-9.2791112641503574E-3</c:v>
                </c:pt>
                <c:pt idx="268">
                  <c:v>-1.0738411763110793E-4</c:v>
                </c:pt>
                <c:pt idx="269">
                  <c:v>-9.8501703962276827E-3</c:v>
                </c:pt>
                <c:pt idx="270">
                  <c:v>1.6020607595660343E-2</c:v>
                </c:pt>
                <c:pt idx="271">
                  <c:v>5.6676129165379091E-2</c:v>
                </c:pt>
                <c:pt idx="272">
                  <c:v>-3.9270862935721611E-3</c:v>
                </c:pt>
                <c:pt idx="273">
                  <c:v>2.3167984565369911E-3</c:v>
                </c:pt>
                <c:pt idx="274">
                  <c:v>6.1564114096099741E-3</c:v>
                </c:pt>
                <c:pt idx="275">
                  <c:v>-1.3243005371826749E-2</c:v>
                </c:pt>
                <c:pt idx="276">
                  <c:v>-4.0242071794767469E-4</c:v>
                </c:pt>
                <c:pt idx="277">
                  <c:v>-1.1248513683927725E-2</c:v>
                </c:pt>
                <c:pt idx="278">
                  <c:v>-6.1896857520096311E-3</c:v>
                </c:pt>
                <c:pt idx="279">
                  <c:v>-1.7005370342568306E-2</c:v>
                </c:pt>
                <c:pt idx="280">
                  <c:v>1.5606229797535245E-2</c:v>
                </c:pt>
                <c:pt idx="281">
                  <c:v>1.9193472752880344E-2</c:v>
                </c:pt>
                <c:pt idx="282">
                  <c:v>4.806879289171651E-3</c:v>
                </c:pt>
                <c:pt idx="283">
                  <c:v>5.8459575674954505E-3</c:v>
                </c:pt>
                <c:pt idx="284">
                  <c:v>2.2117593647024109E-2</c:v>
                </c:pt>
                <c:pt idx="285">
                  <c:v>-2.7839302167545498E-2</c:v>
                </c:pt>
                <c:pt idx="286">
                  <c:v>-1.3182417828749545E-2</c:v>
                </c:pt>
                <c:pt idx="287">
                  <c:v>-2.4725786313926489E-2</c:v>
                </c:pt>
                <c:pt idx="288">
                  <c:v>2.7933209241057105E-2</c:v>
                </c:pt>
                <c:pt idx="289">
                  <c:v>9.307596307308803E-3</c:v>
                </c:pt>
                <c:pt idx="290">
                  <c:v>2.1550486803242064E-2</c:v>
                </c:pt>
                <c:pt idx="291">
                  <c:v>5.0659414026958645E-3</c:v>
                </c:pt>
                <c:pt idx="292">
                  <c:v>6.4222647058870498E-3</c:v>
                </c:pt>
                <c:pt idx="293">
                  <c:v>5.4824072500084392E-3</c:v>
                </c:pt>
                <c:pt idx="294">
                  <c:v>-2.7029780038852116E-2</c:v>
                </c:pt>
                <c:pt idx="295">
                  <c:v>1.669141991691489E-3</c:v>
                </c:pt>
                <c:pt idx="296">
                  <c:v>-2.8734198557595955E-2</c:v>
                </c:pt>
                <c:pt idx="297">
                  <c:v>-4.6142772119280591E-2</c:v>
                </c:pt>
                <c:pt idx="298">
                  <c:v>4.5981322960419752E-3</c:v>
                </c:pt>
                <c:pt idx="299">
                  <c:v>2.9549653343584523E-3</c:v>
                </c:pt>
                <c:pt idx="300">
                  <c:v>-2.8148100523869988E-2</c:v>
                </c:pt>
                <c:pt idx="301">
                  <c:v>-6.8982571436945785E-3</c:v>
                </c:pt>
                <c:pt idx="302">
                  <c:v>-1.7585013437424063E-3</c:v>
                </c:pt>
                <c:pt idx="303">
                  <c:v>1.4534090460672677E-2</c:v>
                </c:pt>
                <c:pt idx="304">
                  <c:v>-9.2527865320764409E-3</c:v>
                </c:pt>
                <c:pt idx="305">
                  <c:v>-5.4225212218971417E-3</c:v>
                </c:pt>
                <c:pt idx="306">
                  <c:v>3.0900344495763492E-2</c:v>
                </c:pt>
                <c:pt idx="307">
                  <c:v>-2.9222157752666535E-2</c:v>
                </c:pt>
                <c:pt idx="308">
                  <c:v>-4.7344203980061329E-3</c:v>
                </c:pt>
                <c:pt idx="309">
                  <c:v>1.2783712218616208E-2</c:v>
                </c:pt>
                <c:pt idx="310">
                  <c:v>1.0449706643820441E-2</c:v>
                </c:pt>
                <c:pt idx="311">
                  <c:v>-1.7588010936313819E-2</c:v>
                </c:pt>
                <c:pt idx="312">
                  <c:v>7.702580623091179E-3</c:v>
                </c:pt>
                <c:pt idx="313">
                  <c:v>-3.0019837148474508E-2</c:v>
                </c:pt>
                <c:pt idx="314">
                  <c:v>9.2783378949895627E-3</c:v>
                </c:pt>
                <c:pt idx="315">
                  <c:v>-1.7752661184200346E-3</c:v>
                </c:pt>
                <c:pt idx="316">
                  <c:v>-2.5960437635848564E-2</c:v>
                </c:pt>
                <c:pt idx="317">
                  <c:v>-5.8757231191460231E-3</c:v>
                </c:pt>
                <c:pt idx="318">
                  <c:v>-1.7885492550202244E-2</c:v>
                </c:pt>
                <c:pt idx="319">
                  <c:v>-2.3289943509087453E-2</c:v>
                </c:pt>
                <c:pt idx="320">
                  <c:v>5.0677958953466752E-3</c:v>
                </c:pt>
                <c:pt idx="321">
                  <c:v>-2.7964392377093773E-3</c:v>
                </c:pt>
                <c:pt idx="322">
                  <c:v>-6.4599885436037894E-3</c:v>
                </c:pt>
                <c:pt idx="323">
                  <c:v>2.5265269952638034E-2</c:v>
                </c:pt>
                <c:pt idx="324">
                  <c:v>2.2946318104748013E-2</c:v>
                </c:pt>
                <c:pt idx="325">
                  <c:v>1.9008817988615267E-3</c:v>
                </c:pt>
                <c:pt idx="326">
                  <c:v>3.5453476656627666E-3</c:v>
                </c:pt>
                <c:pt idx="327">
                  <c:v>2.2602438363283451E-2</c:v>
                </c:pt>
                <c:pt idx="328">
                  <c:v>-1.4262853233177197E-2</c:v>
                </c:pt>
                <c:pt idx="329">
                  <c:v>-1.0390867900663694E-2</c:v>
                </c:pt>
                <c:pt idx="330">
                  <c:v>2.2284778548533439E-2</c:v>
                </c:pt>
                <c:pt idx="331">
                  <c:v>-3.068183563368204E-3</c:v>
                </c:pt>
                <c:pt idx="332">
                  <c:v>-3.5769469271360772E-2</c:v>
                </c:pt>
                <c:pt idx="333">
                  <c:v>-2.5130744451097448E-2</c:v>
                </c:pt>
                <c:pt idx="334">
                  <c:v>1.3307381876662146E-2</c:v>
                </c:pt>
                <c:pt idx="335">
                  <c:v>2.0751803961763259E-2</c:v>
                </c:pt>
                <c:pt idx="336">
                  <c:v>1.4208126984459099E-2</c:v>
                </c:pt>
                <c:pt idx="337">
                  <c:v>2.0274492284927401E-3</c:v>
                </c:pt>
                <c:pt idx="338">
                  <c:v>1.8508041676938834E-2</c:v>
                </c:pt>
                <c:pt idx="339">
                  <c:v>1.7610848557875348E-2</c:v>
                </c:pt>
                <c:pt idx="340">
                  <c:v>-1.3312217244174602E-2</c:v>
                </c:pt>
                <c:pt idx="341">
                  <c:v>-1.0886620850884147E-2</c:v>
                </c:pt>
                <c:pt idx="342">
                  <c:v>-1.4447248941325413E-2</c:v>
                </c:pt>
                <c:pt idx="343">
                  <c:v>2.1254432203309494E-2</c:v>
                </c:pt>
                <c:pt idx="344">
                  <c:v>6.690279382325243E-3</c:v>
                </c:pt>
                <c:pt idx="345">
                  <c:v>2.7403787948762255E-3</c:v>
                </c:pt>
                <c:pt idx="346">
                  <c:v>-1.2411727545662629E-2</c:v>
                </c:pt>
                <c:pt idx="347">
                  <c:v>-5.0224836636512818E-3</c:v>
                </c:pt>
                <c:pt idx="348">
                  <c:v>1.4617884777765178E-2</c:v>
                </c:pt>
                <c:pt idx="349">
                  <c:v>1.0626988951864839E-2</c:v>
                </c:pt>
                <c:pt idx="350">
                  <c:v>-2.6285601085772928E-3</c:v>
                </c:pt>
                <c:pt idx="351">
                  <c:v>-1.4052251020125498E-2</c:v>
                </c:pt>
                <c:pt idx="352">
                  <c:v>-1.0397395471934215E-3</c:v>
                </c:pt>
                <c:pt idx="353">
                  <c:v>1.2501828465531739E-2</c:v>
                </c:pt>
                <c:pt idx="354">
                  <c:v>-1.1151396249459253E-2</c:v>
                </c:pt>
                <c:pt idx="355">
                  <c:v>-7.7861074522305165E-3</c:v>
                </c:pt>
                <c:pt idx="356">
                  <c:v>-2.0009738542375533E-2</c:v>
                </c:pt>
                <c:pt idx="357">
                  <c:v>7.9556580960359611E-4</c:v>
                </c:pt>
                <c:pt idx="358">
                  <c:v>-1.2879827571768292E-2</c:v>
                </c:pt>
                <c:pt idx="359">
                  <c:v>2.3009684683283353E-2</c:v>
                </c:pt>
                <c:pt idx="360">
                  <c:v>-2.1558613071968845E-2</c:v>
                </c:pt>
                <c:pt idx="361">
                  <c:v>5.8724412261189297E-4</c:v>
                </c:pt>
                <c:pt idx="362">
                  <c:v>9.9202724964897113E-3</c:v>
                </c:pt>
                <c:pt idx="363">
                  <c:v>-1.3183574927308223E-2</c:v>
                </c:pt>
                <c:pt idx="364">
                  <c:v>1.6440692815592562E-2</c:v>
                </c:pt>
                <c:pt idx="365">
                  <c:v>2.486753283671849E-3</c:v>
                </c:pt>
                <c:pt idx="366">
                  <c:v>-3.0349195210913693E-3</c:v>
                </c:pt>
                <c:pt idx="367">
                  <c:v>-1.9714996589676455E-2</c:v>
                </c:pt>
                <c:pt idx="368">
                  <c:v>4.2734502433113084E-3</c:v>
                </c:pt>
                <c:pt idx="369">
                  <c:v>-1.527446097069437E-2</c:v>
                </c:pt>
                <c:pt idx="370">
                  <c:v>-1.2663857162834521E-3</c:v>
                </c:pt>
                <c:pt idx="371">
                  <c:v>-3.678961838822741E-3</c:v>
                </c:pt>
                <c:pt idx="372">
                  <c:v>-1.1775461005475456E-2</c:v>
                </c:pt>
                <c:pt idx="373">
                  <c:v>-1.1168063696936499E-2</c:v>
                </c:pt>
                <c:pt idx="374">
                  <c:v>2.0137205300054775E-3</c:v>
                </c:pt>
                <c:pt idx="375">
                  <c:v>1.8165838627827627E-2</c:v>
                </c:pt>
                <c:pt idx="376">
                  <c:v>4.3950201332004654E-4</c:v>
                </c:pt>
                <c:pt idx="377">
                  <c:v>2.5800766094418007E-2</c:v>
                </c:pt>
                <c:pt idx="378">
                  <c:v>-1.0421106385882171E-2</c:v>
                </c:pt>
                <c:pt idx="379">
                  <c:v>-1.8313328352467455E-2</c:v>
                </c:pt>
                <c:pt idx="380">
                  <c:v>-1.9660227605425512E-3</c:v>
                </c:pt>
                <c:pt idx="381">
                  <c:v>-3.2980803851346604E-3</c:v>
                </c:pt>
                <c:pt idx="382">
                  <c:v>6.3462160356991303E-3</c:v>
                </c:pt>
                <c:pt idx="383">
                  <c:v>9.8266139617074234E-3</c:v>
                </c:pt>
                <c:pt idx="384">
                  <c:v>-2.0080144596772341E-2</c:v>
                </c:pt>
                <c:pt idx="385">
                  <c:v>-1.4139532805100595E-2</c:v>
                </c:pt>
                <c:pt idx="386">
                  <c:v>5.0108569613684876E-4</c:v>
                </c:pt>
                <c:pt idx="387">
                  <c:v>-6.3881210967468545E-3</c:v>
                </c:pt>
                <c:pt idx="388">
                  <c:v>-2.2633795987259449E-2</c:v>
                </c:pt>
                <c:pt idx="389">
                  <c:v>1.3754701855838068E-2</c:v>
                </c:pt>
                <c:pt idx="390">
                  <c:v>9.1647500076529557E-3</c:v>
                </c:pt>
                <c:pt idx="391">
                  <c:v>1.4902847626809688E-2</c:v>
                </c:pt>
                <c:pt idx="392">
                  <c:v>2.6723362211478153E-3</c:v>
                </c:pt>
                <c:pt idx="393">
                  <c:v>2.0662409702984878E-2</c:v>
                </c:pt>
                <c:pt idx="394">
                  <c:v>-1.6417820938418159E-2</c:v>
                </c:pt>
                <c:pt idx="395">
                  <c:v>-1.0077954735841176E-2</c:v>
                </c:pt>
                <c:pt idx="396">
                  <c:v>1.0280672802276297E-2</c:v>
                </c:pt>
                <c:pt idx="397">
                  <c:v>-7.268680594629537E-3</c:v>
                </c:pt>
                <c:pt idx="398">
                  <c:v>-2.5969591512240765E-3</c:v>
                </c:pt>
                <c:pt idx="399">
                  <c:v>7.2380795871712913E-3</c:v>
                </c:pt>
                <c:pt idx="400">
                  <c:v>4.0691259122471263E-2</c:v>
                </c:pt>
                <c:pt idx="401">
                  <c:v>1.2697287868048128E-2</c:v>
                </c:pt>
                <c:pt idx="402">
                  <c:v>-4.6033524416661297E-3</c:v>
                </c:pt>
                <c:pt idx="403">
                  <c:v>-1.3715125428964017E-3</c:v>
                </c:pt>
                <c:pt idx="404">
                  <c:v>-1.4144605035491055E-4</c:v>
                </c:pt>
                <c:pt idx="405">
                  <c:v>-2.5336987438528327E-3</c:v>
                </c:pt>
                <c:pt idx="406">
                  <c:v>-1.9609147440641898E-2</c:v>
                </c:pt>
                <c:pt idx="407">
                  <c:v>8.3159786124383274E-3</c:v>
                </c:pt>
                <c:pt idx="408">
                  <c:v>-4.6225576318254977E-4</c:v>
                </c:pt>
                <c:pt idx="409">
                  <c:v>-3.625748354376557E-3</c:v>
                </c:pt>
                <c:pt idx="410">
                  <c:v>-9.6849553377922684E-3</c:v>
                </c:pt>
                <c:pt idx="411">
                  <c:v>7.2283846482351193E-3</c:v>
                </c:pt>
                <c:pt idx="412">
                  <c:v>1.4860455080003776E-2</c:v>
                </c:pt>
                <c:pt idx="413">
                  <c:v>-1.9818642343581386E-2</c:v>
                </c:pt>
                <c:pt idx="414">
                  <c:v>1.2780789745161548E-3</c:v>
                </c:pt>
                <c:pt idx="415">
                  <c:v>1.1498764735420133E-2</c:v>
                </c:pt>
                <c:pt idx="416">
                  <c:v>2.6454564743517772E-2</c:v>
                </c:pt>
                <c:pt idx="417">
                  <c:v>6.4069625346179849E-3</c:v>
                </c:pt>
                <c:pt idx="418">
                  <c:v>1.19364034100126E-2</c:v>
                </c:pt>
                <c:pt idx="419">
                  <c:v>8.7629257498377765E-3</c:v>
                </c:pt>
                <c:pt idx="420">
                  <c:v>1.1897047127648502E-2</c:v>
                </c:pt>
                <c:pt idx="421">
                  <c:v>-3.5542760865974535E-3</c:v>
                </c:pt>
                <c:pt idx="422">
                  <c:v>7.2544018268415429E-3</c:v>
                </c:pt>
                <c:pt idx="423">
                  <c:v>-1.1191768881019349E-2</c:v>
                </c:pt>
                <c:pt idx="424">
                  <c:v>1.0860010982014815E-2</c:v>
                </c:pt>
                <c:pt idx="425">
                  <c:v>8.5459436463867725E-3</c:v>
                </c:pt>
                <c:pt idx="426">
                  <c:v>1.0759326115461198E-2</c:v>
                </c:pt>
                <c:pt idx="427">
                  <c:v>-1.4730284189019519E-3</c:v>
                </c:pt>
                <c:pt idx="428">
                  <c:v>-1.5725504032415146E-3</c:v>
                </c:pt>
                <c:pt idx="429">
                  <c:v>-1.0408163253865723E-2</c:v>
                </c:pt>
                <c:pt idx="430">
                  <c:v>1.5637339658368041E-2</c:v>
                </c:pt>
                <c:pt idx="431">
                  <c:v>4.8160919758374809E-3</c:v>
                </c:pt>
                <c:pt idx="432">
                  <c:v>-4.118395008837452E-3</c:v>
                </c:pt>
                <c:pt idx="433">
                  <c:v>-1.072815433770387E-2</c:v>
                </c:pt>
                <c:pt idx="434">
                  <c:v>-4.1162113473408425E-3</c:v>
                </c:pt>
                <c:pt idx="435">
                  <c:v>2.116969829802437E-2</c:v>
                </c:pt>
                <c:pt idx="436">
                  <c:v>1.1628164863870132E-2</c:v>
                </c:pt>
                <c:pt idx="437">
                  <c:v>2.8221104967809658E-3</c:v>
                </c:pt>
                <c:pt idx="438">
                  <c:v>1.9827277143502235E-2</c:v>
                </c:pt>
                <c:pt idx="439">
                  <c:v>4.9549603799716032E-3</c:v>
                </c:pt>
                <c:pt idx="440">
                  <c:v>1.3505626890166234E-2</c:v>
                </c:pt>
                <c:pt idx="441">
                  <c:v>6.6123382750494578E-3</c:v>
                </c:pt>
                <c:pt idx="442">
                  <c:v>-9.506821369012191E-3</c:v>
                </c:pt>
                <c:pt idx="443">
                  <c:v>1.8164583415343057E-2</c:v>
                </c:pt>
                <c:pt idx="444">
                  <c:v>1.8060682586378623E-3</c:v>
                </c:pt>
                <c:pt idx="445">
                  <c:v>-6.8868545727546046E-3</c:v>
                </c:pt>
                <c:pt idx="446">
                  <c:v>1.0842411403359059E-2</c:v>
                </c:pt>
                <c:pt idx="447">
                  <c:v>3.2095337704470626E-3</c:v>
                </c:pt>
                <c:pt idx="448">
                  <c:v>5.8122275247884953E-3</c:v>
                </c:pt>
                <c:pt idx="449">
                  <c:v>-1.3960906357350557E-2</c:v>
                </c:pt>
                <c:pt idx="450">
                  <c:v>3.6014419383590597E-3</c:v>
                </c:pt>
                <c:pt idx="451">
                  <c:v>-1.0151185081659462E-2</c:v>
                </c:pt>
                <c:pt idx="452">
                  <c:v>-8.9495298118573863E-3</c:v>
                </c:pt>
                <c:pt idx="453">
                  <c:v>-5.2799063604672776E-3</c:v>
                </c:pt>
                <c:pt idx="454">
                  <c:v>1.7913035415083347E-2</c:v>
                </c:pt>
                <c:pt idx="455">
                  <c:v>3.2884931063239787E-3</c:v>
                </c:pt>
                <c:pt idx="456">
                  <c:v>9.3338270482433826E-3</c:v>
                </c:pt>
                <c:pt idx="457">
                  <c:v>-5.8950620657066454E-3</c:v>
                </c:pt>
                <c:pt idx="458">
                  <c:v>6.5089418663645685E-3</c:v>
                </c:pt>
                <c:pt idx="459">
                  <c:v>-2.0794113120081399E-2</c:v>
                </c:pt>
                <c:pt idx="460">
                  <c:v>1.4146413227349256E-2</c:v>
                </c:pt>
                <c:pt idx="461">
                  <c:v>-8.0585249027812032E-3</c:v>
                </c:pt>
                <c:pt idx="462">
                  <c:v>-1.0469730435608143E-2</c:v>
                </c:pt>
                <c:pt idx="463">
                  <c:v>3.6525641745525115E-5</c:v>
                </c:pt>
                <c:pt idx="464">
                  <c:v>1.1006140155811261E-2</c:v>
                </c:pt>
                <c:pt idx="465">
                  <c:v>-1.496738224358022E-2</c:v>
                </c:pt>
                <c:pt idx="466">
                  <c:v>7.4298344745706959E-3</c:v>
                </c:pt>
                <c:pt idx="467">
                  <c:v>-2.7028187813313265E-3</c:v>
                </c:pt>
                <c:pt idx="468">
                  <c:v>-3.1945992849519728E-3</c:v>
                </c:pt>
                <c:pt idx="469">
                  <c:v>5.1610429327421494E-3</c:v>
                </c:pt>
                <c:pt idx="470">
                  <c:v>2.0332803173883168E-2</c:v>
                </c:pt>
                <c:pt idx="471">
                  <c:v>3.4741005290947736E-3</c:v>
                </c:pt>
                <c:pt idx="472">
                  <c:v>-1.0085012616912309E-3</c:v>
                </c:pt>
                <c:pt idx="473">
                  <c:v>5.2446758487841392E-3</c:v>
                </c:pt>
                <c:pt idx="474">
                  <c:v>-1.8016343682780416E-2</c:v>
                </c:pt>
                <c:pt idx="475">
                  <c:v>8.7051905916309055E-3</c:v>
                </c:pt>
                <c:pt idx="476">
                  <c:v>1.0371760566947958E-2</c:v>
                </c:pt>
                <c:pt idx="477">
                  <c:v>-2.5519291748402812E-3</c:v>
                </c:pt>
                <c:pt idx="478">
                  <c:v>2.6570851180049437E-4</c:v>
                </c:pt>
                <c:pt idx="479">
                  <c:v>-6.0925260262456914E-3</c:v>
                </c:pt>
                <c:pt idx="480">
                  <c:v>-7.9511458267690072E-3</c:v>
                </c:pt>
                <c:pt idx="481">
                  <c:v>-3.4630606277293312E-3</c:v>
                </c:pt>
                <c:pt idx="482">
                  <c:v>-1.8986379906756113E-3</c:v>
                </c:pt>
                <c:pt idx="483">
                  <c:v>-6.9710863064820251E-3</c:v>
                </c:pt>
                <c:pt idx="484">
                  <c:v>1.1402639288035708E-3</c:v>
                </c:pt>
                <c:pt idx="485">
                  <c:v>-1.4311711966969445E-3</c:v>
                </c:pt>
                <c:pt idx="486">
                  <c:v>-1.1298820016346594E-2</c:v>
                </c:pt>
                <c:pt idx="487">
                  <c:v>-2.0484123709584336E-3</c:v>
                </c:pt>
                <c:pt idx="488">
                  <c:v>-6.5739369510265698E-3</c:v>
                </c:pt>
                <c:pt idx="489">
                  <c:v>-9.0530401572642208E-3</c:v>
                </c:pt>
                <c:pt idx="490">
                  <c:v>5.6241614522908679E-3</c:v>
                </c:pt>
                <c:pt idx="491">
                  <c:v>-9.7938223205005625E-3</c:v>
                </c:pt>
                <c:pt idx="492">
                  <c:v>1.5224434675670123E-2</c:v>
                </c:pt>
                <c:pt idx="493">
                  <c:v>1.3613363077855595E-2</c:v>
                </c:pt>
                <c:pt idx="494">
                  <c:v>-1.0742872823393668E-2</c:v>
                </c:pt>
                <c:pt idx="495">
                  <c:v>-1.335908814389943E-2</c:v>
                </c:pt>
                <c:pt idx="496">
                  <c:v>1.0831085836284043E-2</c:v>
                </c:pt>
                <c:pt idx="497">
                  <c:v>7.6384389469678453E-3</c:v>
                </c:pt>
                <c:pt idx="498">
                  <c:v>-1.0015175439697058E-2</c:v>
                </c:pt>
                <c:pt idx="499">
                  <c:v>-1.842081879028697E-2</c:v>
                </c:pt>
                <c:pt idx="500">
                  <c:v>1.0681919216905906E-2</c:v>
                </c:pt>
                <c:pt idx="501">
                  <c:v>-2.1853167719349345E-3</c:v>
                </c:pt>
                <c:pt idx="502">
                  <c:v>-7.5615551050095863E-3</c:v>
                </c:pt>
                <c:pt idx="503">
                  <c:v>-1.1020890433722116E-2</c:v>
                </c:pt>
                <c:pt idx="504">
                  <c:v>-4.3045582651968306E-3</c:v>
                </c:pt>
                <c:pt idx="505">
                  <c:v>1.4182541530296154E-2</c:v>
                </c:pt>
                <c:pt idx="506">
                  <c:v>1.1254367973024407E-2</c:v>
                </c:pt>
                <c:pt idx="507">
                  <c:v>4.1360845536035085E-3</c:v>
                </c:pt>
                <c:pt idx="508">
                  <c:v>1.6460226352320493E-3</c:v>
                </c:pt>
                <c:pt idx="509">
                  <c:v>-6.3103627006653581E-3</c:v>
                </c:pt>
                <c:pt idx="510">
                  <c:v>-1.7125548547662296E-3</c:v>
                </c:pt>
                <c:pt idx="511">
                  <c:v>-6.4697167247199485E-3</c:v>
                </c:pt>
                <c:pt idx="512">
                  <c:v>7.1438772098060387E-3</c:v>
                </c:pt>
                <c:pt idx="513">
                  <c:v>-2.0936461525879732E-2</c:v>
                </c:pt>
                <c:pt idx="514">
                  <c:v>-3.9601548643967491E-3</c:v>
                </c:pt>
                <c:pt idx="515">
                  <c:v>1.1029963211121303E-3</c:v>
                </c:pt>
                <c:pt idx="516">
                  <c:v>-1.4132717480157266E-2</c:v>
                </c:pt>
                <c:pt idx="517">
                  <c:v>-3.1060394980926866E-3</c:v>
                </c:pt>
                <c:pt idx="518">
                  <c:v>1.4709764611376927E-2</c:v>
                </c:pt>
                <c:pt idx="519">
                  <c:v>5.5343401240174053E-3</c:v>
                </c:pt>
                <c:pt idx="520">
                  <c:v>-1.2221022560713326E-2</c:v>
                </c:pt>
                <c:pt idx="521">
                  <c:v>-1.686349245950312E-2</c:v>
                </c:pt>
                <c:pt idx="522">
                  <c:v>9.6397259739793382E-3</c:v>
                </c:pt>
                <c:pt idx="523">
                  <c:v>-3.3723881946771139E-3</c:v>
                </c:pt>
                <c:pt idx="524">
                  <c:v>4.4048156660298704E-3</c:v>
                </c:pt>
                <c:pt idx="525">
                  <c:v>6.0993320579543495E-3</c:v>
                </c:pt>
                <c:pt idx="526">
                  <c:v>1.6533045930887072E-2</c:v>
                </c:pt>
                <c:pt idx="527">
                  <c:v>2.3904598347275173E-3</c:v>
                </c:pt>
                <c:pt idx="528">
                  <c:v>-1.778243460006346E-2</c:v>
                </c:pt>
                <c:pt idx="529">
                  <c:v>5.6087402397639883E-3</c:v>
                </c:pt>
                <c:pt idx="530">
                  <c:v>-1.2182656798254322E-2</c:v>
                </c:pt>
                <c:pt idx="531">
                  <c:v>-1.7012036317699882E-2</c:v>
                </c:pt>
                <c:pt idx="532">
                  <c:v>2.1695573768480193E-3</c:v>
                </c:pt>
                <c:pt idx="533">
                  <c:v>-2.9664076334445311E-3</c:v>
                </c:pt>
                <c:pt idx="534">
                  <c:v>3.2970616228056803E-3</c:v>
                </c:pt>
                <c:pt idx="535">
                  <c:v>5.9340840339494449E-3</c:v>
                </c:pt>
                <c:pt idx="536">
                  <c:v>-1.0573912930288623E-2</c:v>
                </c:pt>
                <c:pt idx="537">
                  <c:v>1.9851818254608005E-2</c:v>
                </c:pt>
                <c:pt idx="538">
                  <c:v>-2.3189111237148712E-2</c:v>
                </c:pt>
                <c:pt idx="539">
                  <c:v>-8.8238744787847902E-3</c:v>
                </c:pt>
                <c:pt idx="540">
                  <c:v>5.0959486271790486E-3</c:v>
                </c:pt>
                <c:pt idx="541">
                  <c:v>1.6515059067311193E-2</c:v>
                </c:pt>
                <c:pt idx="542">
                  <c:v>3.258082993266273E-2</c:v>
                </c:pt>
                <c:pt idx="543">
                  <c:v>3.1137768865844013E-3</c:v>
                </c:pt>
                <c:pt idx="544">
                  <c:v>1.6954243297593756E-2</c:v>
                </c:pt>
                <c:pt idx="545">
                  <c:v>2.1038725563992089E-3</c:v>
                </c:pt>
                <c:pt idx="546">
                  <c:v>-4.9922144628260735E-3</c:v>
                </c:pt>
                <c:pt idx="547">
                  <c:v>1.4317818722979894E-2</c:v>
                </c:pt>
                <c:pt idx="548">
                  <c:v>-3.4378617269392371E-3</c:v>
                </c:pt>
                <c:pt idx="549">
                  <c:v>2.1252917934987341E-2</c:v>
                </c:pt>
                <c:pt idx="550">
                  <c:v>1.9329099182951361E-2</c:v>
                </c:pt>
                <c:pt idx="551">
                  <c:v>-3.9447337299219117E-3</c:v>
                </c:pt>
                <c:pt idx="552">
                  <c:v>7.4141497553333992E-3</c:v>
                </c:pt>
                <c:pt idx="553">
                  <c:v>-9.108906597937021E-3</c:v>
                </c:pt>
                <c:pt idx="554">
                  <c:v>7.6126599927899535E-3</c:v>
                </c:pt>
                <c:pt idx="555">
                  <c:v>6.7151535526884902E-3</c:v>
                </c:pt>
                <c:pt idx="556">
                  <c:v>-9.9007861757831311E-3</c:v>
                </c:pt>
                <c:pt idx="557">
                  <c:v>5.7118641776630107E-3</c:v>
                </c:pt>
                <c:pt idx="558">
                  <c:v>7.8739100093024664E-3</c:v>
                </c:pt>
                <c:pt idx="559">
                  <c:v>-1.0922083650568245E-3</c:v>
                </c:pt>
                <c:pt idx="560">
                  <c:v>9.700269759862953E-3</c:v>
                </c:pt>
                <c:pt idx="561">
                  <c:v>8.336339276927526E-3</c:v>
                </c:pt>
                <c:pt idx="562">
                  <c:v>-6.6036241919898197E-3</c:v>
                </c:pt>
                <c:pt idx="563">
                  <c:v>3.3613185826762222E-3</c:v>
                </c:pt>
                <c:pt idx="564">
                  <c:v>-7.2478237551838048E-3</c:v>
                </c:pt>
                <c:pt idx="565">
                  <c:v>2.7317388747839073E-3</c:v>
                </c:pt>
                <c:pt idx="566">
                  <c:v>6.4903941081535443E-3</c:v>
                </c:pt>
                <c:pt idx="567">
                  <c:v>-1.3734519408154882E-3</c:v>
                </c:pt>
                <c:pt idx="568">
                  <c:v>-5.0214244231938368E-3</c:v>
                </c:pt>
                <c:pt idx="569">
                  <c:v>2.9344177434845985E-2</c:v>
                </c:pt>
                <c:pt idx="570">
                  <c:v>8.5592591473223605E-3</c:v>
                </c:pt>
                <c:pt idx="571">
                  <c:v>-6.330571114409737E-3</c:v>
                </c:pt>
                <c:pt idx="572">
                  <c:v>5.690530933177838E-3</c:v>
                </c:pt>
                <c:pt idx="573">
                  <c:v>5.3003388884896281E-3</c:v>
                </c:pt>
                <c:pt idx="574">
                  <c:v>-9.6996556822382743E-3</c:v>
                </c:pt>
                <c:pt idx="575">
                  <c:v>7.2491549196106106E-3</c:v>
                </c:pt>
                <c:pt idx="576">
                  <c:v>5.9782224998441037E-3</c:v>
                </c:pt>
                <c:pt idx="577">
                  <c:v>5.117787440418152E-3</c:v>
                </c:pt>
                <c:pt idx="578">
                  <c:v>4.8782099649264327E-3</c:v>
                </c:pt>
                <c:pt idx="579">
                  <c:v>-3.3683682693712644E-4</c:v>
                </c:pt>
                <c:pt idx="580">
                  <c:v>-1.4248796885029532E-2</c:v>
                </c:pt>
                <c:pt idx="581">
                  <c:v>-1.9061348606088521E-3</c:v>
                </c:pt>
                <c:pt idx="582">
                  <c:v>-1.3458055918229125E-2</c:v>
                </c:pt>
                <c:pt idx="583">
                  <c:v>1.0271699935126463E-2</c:v>
                </c:pt>
                <c:pt idx="584">
                  <c:v>7.2652554719140616E-3</c:v>
                </c:pt>
                <c:pt idx="585">
                  <c:v>-6.0681099353359236E-3</c:v>
                </c:pt>
                <c:pt idx="586">
                  <c:v>-1.6872412172604066E-3</c:v>
                </c:pt>
                <c:pt idx="587">
                  <c:v>-5.1336238335903586E-3</c:v>
                </c:pt>
                <c:pt idx="588">
                  <c:v>6.2015637535390187E-3</c:v>
                </c:pt>
                <c:pt idx="589">
                  <c:v>3.1302331022121919E-3</c:v>
                </c:pt>
                <c:pt idx="590">
                  <c:v>-1.8938545299342333E-2</c:v>
                </c:pt>
                <c:pt idx="591">
                  <c:v>-2.9129636358151819E-3</c:v>
                </c:pt>
                <c:pt idx="592">
                  <c:v>-1.0866033124951349E-2</c:v>
                </c:pt>
                <c:pt idx="593">
                  <c:v>6.9346393410379664E-3</c:v>
                </c:pt>
                <c:pt idx="594">
                  <c:v>-1.0173473741816373E-2</c:v>
                </c:pt>
                <c:pt idx="595">
                  <c:v>1.2081275344522201E-2</c:v>
                </c:pt>
                <c:pt idx="596">
                  <c:v>-6.3578177313406339E-3</c:v>
                </c:pt>
                <c:pt idx="597">
                  <c:v>2.8645867460989987E-3</c:v>
                </c:pt>
                <c:pt idx="598">
                  <c:v>2.0776568832490197E-3</c:v>
                </c:pt>
                <c:pt idx="599">
                  <c:v>-5.135753588112359E-3</c:v>
                </c:pt>
                <c:pt idx="600">
                  <c:v>-9.4086918886243549E-3</c:v>
                </c:pt>
                <c:pt idx="601">
                  <c:v>5.6246996695191202E-3</c:v>
                </c:pt>
                <c:pt idx="602">
                  <c:v>6.0311986594890014E-3</c:v>
                </c:pt>
                <c:pt idx="603">
                  <c:v>-8.5949545912276069E-3</c:v>
                </c:pt>
                <c:pt idx="604">
                  <c:v>3.8626434946111656E-3</c:v>
                </c:pt>
                <c:pt idx="605">
                  <c:v>2.1361870498490587E-2</c:v>
                </c:pt>
                <c:pt idx="606">
                  <c:v>1.47771708638901E-4</c:v>
                </c:pt>
                <c:pt idx="607">
                  <c:v>-1.4068498751747392E-2</c:v>
                </c:pt>
                <c:pt idx="608">
                  <c:v>1.7021207910623655E-3</c:v>
                </c:pt>
                <c:pt idx="609">
                  <c:v>-8.6517401387079286E-3</c:v>
                </c:pt>
                <c:pt idx="610">
                  <c:v>3.4293245561540695E-3</c:v>
                </c:pt>
                <c:pt idx="611">
                  <c:v>1.4850697108440352E-3</c:v>
                </c:pt>
                <c:pt idx="612">
                  <c:v>2.5958335752637339E-3</c:v>
                </c:pt>
                <c:pt idx="613">
                  <c:v>1.3761047865804647E-2</c:v>
                </c:pt>
                <c:pt idx="614">
                  <c:v>8.983840805162212E-4</c:v>
                </c:pt>
                <c:pt idx="615">
                  <c:v>1.7395172426599736E-3</c:v>
                </c:pt>
                <c:pt idx="616">
                  <c:v>-7.5698949396933498E-3</c:v>
                </c:pt>
                <c:pt idx="617">
                  <c:v>4.7209982238736823E-3</c:v>
                </c:pt>
                <c:pt idx="618">
                  <c:v>1.7715389230575244E-2</c:v>
                </c:pt>
                <c:pt idx="619">
                  <c:v>-7.1947212433331126E-3</c:v>
                </c:pt>
                <c:pt idx="620">
                  <c:v>-1.0335031886931379E-2</c:v>
                </c:pt>
                <c:pt idx="621">
                  <c:v>2.9493451907334216E-3</c:v>
                </c:pt>
                <c:pt idx="622">
                  <c:v>-7.546526118264436E-3</c:v>
                </c:pt>
                <c:pt idx="623">
                  <c:v>7.2060615725491926E-5</c:v>
                </c:pt>
                <c:pt idx="624">
                  <c:v>3.1106489614098867E-3</c:v>
                </c:pt>
                <c:pt idx="625">
                  <c:v>-2.7970338239426975E-3</c:v>
                </c:pt>
                <c:pt idx="626">
                  <c:v>-1.8449178320979036E-3</c:v>
                </c:pt>
                <c:pt idx="627">
                  <c:v>-2.8823975775554697E-3</c:v>
                </c:pt>
                <c:pt idx="628">
                  <c:v>1.2678838078478668E-2</c:v>
                </c:pt>
                <c:pt idx="629">
                  <c:v>3.5584986124623029E-3</c:v>
                </c:pt>
                <c:pt idx="630">
                  <c:v>-1.1310629699944531E-4</c:v>
                </c:pt>
                <c:pt idx="631">
                  <c:v>-9.8683480387355485E-3</c:v>
                </c:pt>
                <c:pt idx="632">
                  <c:v>-1.6510357091970072E-4</c:v>
                </c:pt>
                <c:pt idx="633">
                  <c:v>4.563975805119946E-3</c:v>
                </c:pt>
                <c:pt idx="634">
                  <c:v>1.4336623487633678E-2</c:v>
                </c:pt>
                <c:pt idx="635">
                  <c:v>-6.9000848771092679E-3</c:v>
                </c:pt>
                <c:pt idx="636">
                  <c:v>-1.0550041939650014E-2</c:v>
                </c:pt>
                <c:pt idx="637">
                  <c:v>-2.8096984816941405E-3</c:v>
                </c:pt>
                <c:pt idx="638">
                  <c:v>2.4150035389151379E-4</c:v>
                </c:pt>
                <c:pt idx="639">
                  <c:v>6.0397279903880493E-3</c:v>
                </c:pt>
                <c:pt idx="640">
                  <c:v>1.6239758529621958E-3</c:v>
                </c:pt>
                <c:pt idx="641">
                  <c:v>-1.3245843896649435E-2</c:v>
                </c:pt>
                <c:pt idx="642">
                  <c:v>1.3197870171133318E-3</c:v>
                </c:pt>
                <c:pt idx="643">
                  <c:v>-1.2814046968659045E-3</c:v>
                </c:pt>
                <c:pt idx="644">
                  <c:v>3.5379601803694751E-3</c:v>
                </c:pt>
                <c:pt idx="645">
                  <c:v>-5.7213617142442665E-3</c:v>
                </c:pt>
                <c:pt idx="646">
                  <c:v>1.2498624260616983E-2</c:v>
                </c:pt>
                <c:pt idx="647">
                  <c:v>1.0785576593240399E-2</c:v>
                </c:pt>
                <c:pt idx="648">
                  <c:v>-1.8981622537416153E-2</c:v>
                </c:pt>
                <c:pt idx="649">
                  <c:v>-5.909086660037882E-3</c:v>
                </c:pt>
                <c:pt idx="650">
                  <c:v>-1.5513539798113008E-2</c:v>
                </c:pt>
                <c:pt idx="651">
                  <c:v>-7.5372363886139762E-3</c:v>
                </c:pt>
                <c:pt idx="652">
                  <c:v>-8.3928936701883547E-3</c:v>
                </c:pt>
                <c:pt idx="653">
                  <c:v>-4.7415883780448165E-3</c:v>
                </c:pt>
                <c:pt idx="654">
                  <c:v>-1.0957057862208588E-3</c:v>
                </c:pt>
                <c:pt idx="655">
                  <c:v>4.2783687795182376E-3</c:v>
                </c:pt>
                <c:pt idx="656">
                  <c:v>2.4410669286255519E-3</c:v>
                </c:pt>
                <c:pt idx="657">
                  <c:v>-3.8651274908161255E-3</c:v>
                </c:pt>
                <c:pt idx="658">
                  <c:v>-5.2672711329922245E-3</c:v>
                </c:pt>
                <c:pt idx="659">
                  <c:v>-2.0477360174072609E-4</c:v>
                </c:pt>
                <c:pt idx="660">
                  <c:v>1.7538970265366518E-2</c:v>
                </c:pt>
                <c:pt idx="661">
                  <c:v>4.0193028564632612E-3</c:v>
                </c:pt>
                <c:pt idx="662">
                  <c:v>-1.2269554373930638E-2</c:v>
                </c:pt>
                <c:pt idx="663">
                  <c:v>1.1690099931420062E-2</c:v>
                </c:pt>
                <c:pt idx="664">
                  <c:v>1.6830940318383423E-2</c:v>
                </c:pt>
                <c:pt idx="665">
                  <c:v>-3.1244017709741935E-3</c:v>
                </c:pt>
                <c:pt idx="666">
                  <c:v>4.648700931454434E-3</c:v>
                </c:pt>
                <c:pt idx="667">
                  <c:v>3.676958079398386E-3</c:v>
                </c:pt>
                <c:pt idx="668">
                  <c:v>-1.6864270752546706E-2</c:v>
                </c:pt>
                <c:pt idx="669">
                  <c:v>-7.3229247571168082E-3</c:v>
                </c:pt>
                <c:pt idx="670">
                  <c:v>4.4837162890904152E-3</c:v>
                </c:pt>
                <c:pt idx="671">
                  <c:v>5.9342207536624645E-3</c:v>
                </c:pt>
                <c:pt idx="672">
                  <c:v>3.2834646120509271E-3</c:v>
                </c:pt>
                <c:pt idx="673">
                  <c:v>3.1053389042218151E-3</c:v>
                </c:pt>
                <c:pt idx="674">
                  <c:v>-3.7947236649145946E-3</c:v>
                </c:pt>
                <c:pt idx="675">
                  <c:v>-3.0609946500098437E-3</c:v>
                </c:pt>
                <c:pt idx="676">
                  <c:v>-4.6713290992424965E-4</c:v>
                </c:pt>
                <c:pt idx="677">
                  <c:v>-1.7186581076961454E-2</c:v>
                </c:pt>
                <c:pt idx="678">
                  <c:v>-7.8067483353974803E-3</c:v>
                </c:pt>
                <c:pt idx="679">
                  <c:v>-5.76494739755707E-3</c:v>
                </c:pt>
                <c:pt idx="680">
                  <c:v>8.0384704645239871E-5</c:v>
                </c:pt>
                <c:pt idx="681">
                  <c:v>-5.0354280694641399E-3</c:v>
                </c:pt>
                <c:pt idx="682">
                  <c:v>-9.2149079040913431E-3</c:v>
                </c:pt>
                <c:pt idx="683">
                  <c:v>-8.6341013865882197E-3</c:v>
                </c:pt>
                <c:pt idx="684">
                  <c:v>4.9033205876919351E-3</c:v>
                </c:pt>
                <c:pt idx="685">
                  <c:v>-1.1360487116169903E-3</c:v>
                </c:pt>
                <c:pt idx="686">
                  <c:v>-2.4218611914635919E-3</c:v>
                </c:pt>
                <c:pt idx="687">
                  <c:v>1.3796568780577353E-2</c:v>
                </c:pt>
                <c:pt idx="688">
                  <c:v>-1.6681256386751785E-2</c:v>
                </c:pt>
                <c:pt idx="689">
                  <c:v>-5.2152928845986104E-3</c:v>
                </c:pt>
                <c:pt idx="690">
                  <c:v>9.1978079506007306E-3</c:v>
                </c:pt>
                <c:pt idx="691">
                  <c:v>-1.3692487098087017E-2</c:v>
                </c:pt>
                <c:pt idx="692">
                  <c:v>-5.1874846398788973E-3</c:v>
                </c:pt>
                <c:pt idx="693">
                  <c:v>3.2654697261819171E-3</c:v>
                </c:pt>
                <c:pt idx="694">
                  <c:v>-5.67175485496245E-3</c:v>
                </c:pt>
                <c:pt idx="695">
                  <c:v>2.5778882622322476E-3</c:v>
                </c:pt>
                <c:pt idx="696">
                  <c:v>7.3302170154297634E-3</c:v>
                </c:pt>
                <c:pt idx="697">
                  <c:v>-7.7401466946325887E-4</c:v>
                </c:pt>
                <c:pt idx="698">
                  <c:v>1.1040665299101941E-2</c:v>
                </c:pt>
                <c:pt idx="699">
                  <c:v>1.1911402161600632E-2</c:v>
                </c:pt>
                <c:pt idx="700">
                  <c:v>-1.8799355888163775E-3</c:v>
                </c:pt>
                <c:pt idx="701">
                  <c:v>-2.3006713025256663E-4</c:v>
                </c:pt>
                <c:pt idx="702">
                  <c:v>1.6086548759861215E-2</c:v>
                </c:pt>
                <c:pt idx="703">
                  <c:v>-9.0344926718651519E-3</c:v>
                </c:pt>
                <c:pt idx="704">
                  <c:v>2.4171900757667948E-3</c:v>
                </c:pt>
                <c:pt idx="705">
                  <c:v>6.9274519804091085E-4</c:v>
                </c:pt>
                <c:pt idx="706">
                  <c:v>7.4201407273237624E-3</c:v>
                </c:pt>
                <c:pt idx="707">
                  <c:v>8.8347874819124199E-3</c:v>
                </c:pt>
                <c:pt idx="708">
                  <c:v>5.7572011811119546E-4</c:v>
                </c:pt>
                <c:pt idx="709">
                  <c:v>3.1231273055761766E-3</c:v>
                </c:pt>
                <c:pt idx="710">
                  <c:v>5.494215991483406E-3</c:v>
                </c:pt>
                <c:pt idx="711">
                  <c:v>3.8820169556585005E-3</c:v>
                </c:pt>
                <c:pt idx="712">
                  <c:v>1.2272155559763956E-2</c:v>
                </c:pt>
                <c:pt idx="713">
                  <c:v>4.387509737263119E-3</c:v>
                </c:pt>
                <c:pt idx="714">
                  <c:v>3.3014365322185969E-3</c:v>
                </c:pt>
                <c:pt idx="715">
                  <c:v>-3.6585832350065356E-4</c:v>
                </c:pt>
                <c:pt idx="716">
                  <c:v>4.6392932923657298E-3</c:v>
                </c:pt>
                <c:pt idx="717">
                  <c:v>-1.7174562575988591E-2</c:v>
                </c:pt>
                <c:pt idx="718">
                  <c:v>-8.9644683748720119E-4</c:v>
                </c:pt>
                <c:pt idx="719">
                  <c:v>4.3326782218065943E-3</c:v>
                </c:pt>
                <c:pt idx="720">
                  <c:v>-9.3515036386811971E-3</c:v>
                </c:pt>
                <c:pt idx="721">
                  <c:v>-6.752948269023412E-3</c:v>
                </c:pt>
                <c:pt idx="722">
                  <c:v>-5.2098847031831538E-3</c:v>
                </c:pt>
                <c:pt idx="723">
                  <c:v>1.2790179347530174E-2</c:v>
                </c:pt>
                <c:pt idx="724">
                  <c:v>-4.5569635165231045E-3</c:v>
                </c:pt>
                <c:pt idx="725">
                  <c:v>-4.4161102962486272E-3</c:v>
                </c:pt>
                <c:pt idx="726">
                  <c:v>9.0207469862873049E-3</c:v>
                </c:pt>
                <c:pt idx="727">
                  <c:v>2.7025232055685874E-3</c:v>
                </c:pt>
                <c:pt idx="728">
                  <c:v>-7.7856729378875155E-3</c:v>
                </c:pt>
                <c:pt idx="729">
                  <c:v>-5.3716967061899429E-3</c:v>
                </c:pt>
                <c:pt idx="730">
                  <c:v>7.7102661255442819E-3</c:v>
                </c:pt>
                <c:pt idx="731">
                  <c:v>1.343406229966022E-2</c:v>
                </c:pt>
                <c:pt idx="732">
                  <c:v>9.0110057401311273E-3</c:v>
                </c:pt>
                <c:pt idx="733">
                  <c:v>1.8048939388400572E-2</c:v>
                </c:pt>
                <c:pt idx="734">
                  <c:v>3.5004417169416367E-3</c:v>
                </c:pt>
                <c:pt idx="735">
                  <c:v>1.2440996361259948E-2</c:v>
                </c:pt>
                <c:pt idx="736">
                  <c:v>7.5099747208151636E-3</c:v>
                </c:pt>
                <c:pt idx="737">
                  <c:v>5.8599033471944274E-3</c:v>
                </c:pt>
                <c:pt idx="738">
                  <c:v>-1.4100602827406977E-3</c:v>
                </c:pt>
                <c:pt idx="739">
                  <c:v>1.7245301488943886E-2</c:v>
                </c:pt>
                <c:pt idx="740">
                  <c:v>1.0038242160578714E-3</c:v>
                </c:pt>
                <c:pt idx="741">
                  <c:v>1.8377710920245225E-3</c:v>
                </c:pt>
                <c:pt idx="742">
                  <c:v>-1.2476727975007965E-2</c:v>
                </c:pt>
                <c:pt idx="743">
                  <c:v>8.6342892033680028E-3</c:v>
                </c:pt>
                <c:pt idx="744">
                  <c:v>3.9854571417965558E-3</c:v>
                </c:pt>
                <c:pt idx="745">
                  <c:v>-3.7141335901891546E-3</c:v>
                </c:pt>
                <c:pt idx="746">
                  <c:v>4.4728339091683065E-3</c:v>
                </c:pt>
                <c:pt idx="747">
                  <c:v>-1.10673106796573E-2</c:v>
                </c:pt>
                <c:pt idx="748">
                  <c:v>-9.9212928343492398E-4</c:v>
                </c:pt>
                <c:pt idx="749">
                  <c:v>-9.728281540431729E-3</c:v>
                </c:pt>
                <c:pt idx="750">
                  <c:v>1.9581346809291636E-3</c:v>
                </c:pt>
                <c:pt idx="751">
                  <c:v>1.7129950369249723E-2</c:v>
                </c:pt>
                <c:pt idx="752">
                  <c:v>4.0367738905103135E-3</c:v>
                </c:pt>
                <c:pt idx="753">
                  <c:v>-1.4828303118532836E-2</c:v>
                </c:pt>
                <c:pt idx="754">
                  <c:v>8.7694955919566582E-4</c:v>
                </c:pt>
                <c:pt idx="755">
                  <c:v>-1.3639886199636859E-3</c:v>
                </c:pt>
                <c:pt idx="756">
                  <c:v>1.0221099865234261E-3</c:v>
                </c:pt>
                <c:pt idx="757">
                  <c:v>-5.1617831053440977E-3</c:v>
                </c:pt>
                <c:pt idx="758">
                  <c:v>8.2261504403621805E-3</c:v>
                </c:pt>
                <c:pt idx="759">
                  <c:v>1.4038056066233888E-4</c:v>
                </c:pt>
                <c:pt idx="760">
                  <c:v>2.8463016171026331E-4</c:v>
                </c:pt>
                <c:pt idx="761">
                  <c:v>-7.9156625522378218E-3</c:v>
                </c:pt>
                <c:pt idx="762">
                  <c:v>-7.2173856125168348E-3</c:v>
                </c:pt>
                <c:pt idx="763">
                  <c:v>-1.8092612463474104E-2</c:v>
                </c:pt>
                <c:pt idx="764">
                  <c:v>-6.0765863768395571E-3</c:v>
                </c:pt>
                <c:pt idx="765">
                  <c:v>7.3685508875002935E-3</c:v>
                </c:pt>
                <c:pt idx="766">
                  <c:v>-5.8812908753633885E-3</c:v>
                </c:pt>
                <c:pt idx="767">
                  <c:v>7.3493757038705417E-3</c:v>
                </c:pt>
                <c:pt idx="768">
                  <c:v>-1.6542874622500702E-3</c:v>
                </c:pt>
                <c:pt idx="769">
                  <c:v>-7.7577909458773457E-3</c:v>
                </c:pt>
                <c:pt idx="770">
                  <c:v>2.1834160788211238E-3</c:v>
                </c:pt>
                <c:pt idx="771">
                  <c:v>7.0178928338976198E-3</c:v>
                </c:pt>
                <c:pt idx="772">
                  <c:v>-1.6187642853103701E-2</c:v>
                </c:pt>
                <c:pt idx="773">
                  <c:v>2.7685322694462663E-3</c:v>
                </c:pt>
                <c:pt idx="774">
                  <c:v>-2.1512314760047968E-3</c:v>
                </c:pt>
                <c:pt idx="775">
                  <c:v>3.8756570030528173E-3</c:v>
                </c:pt>
                <c:pt idx="776">
                  <c:v>-1.4108050818709642E-2</c:v>
                </c:pt>
                <c:pt idx="777">
                  <c:v>1.987107445392627E-3</c:v>
                </c:pt>
                <c:pt idx="778">
                  <c:v>-5.2624350586148692E-3</c:v>
                </c:pt>
                <c:pt idx="779">
                  <c:v>1.0497321802458603E-2</c:v>
                </c:pt>
                <c:pt idx="780">
                  <c:v>3.2621657262154025E-3</c:v>
                </c:pt>
                <c:pt idx="781">
                  <c:v>5.8669113862358608E-3</c:v>
                </c:pt>
                <c:pt idx="782">
                  <c:v>-6.5638096254224407E-3</c:v>
                </c:pt>
                <c:pt idx="783">
                  <c:v>-1.2186708038325013E-3</c:v>
                </c:pt>
                <c:pt idx="784">
                  <c:v>1.5084218089650263E-3</c:v>
                </c:pt>
                <c:pt idx="785">
                  <c:v>-5.182022570139405E-3</c:v>
                </c:pt>
                <c:pt idx="786">
                  <c:v>-1.0851715832628193E-3</c:v>
                </c:pt>
                <c:pt idx="787">
                  <c:v>7.6853844183666616E-3</c:v>
                </c:pt>
                <c:pt idx="788">
                  <c:v>-8.2306103651785447E-3</c:v>
                </c:pt>
                <c:pt idx="789">
                  <c:v>1.093123017089106E-2</c:v>
                </c:pt>
                <c:pt idx="790">
                  <c:v>-4.1523580995011999E-3</c:v>
                </c:pt>
                <c:pt idx="791">
                  <c:v>-1.6380948074449196E-4</c:v>
                </c:pt>
                <c:pt idx="792">
                  <c:v>-6.6616071545690441E-3</c:v>
                </c:pt>
                <c:pt idx="793">
                  <c:v>-1.168107673153421E-2</c:v>
                </c:pt>
                <c:pt idx="794">
                  <c:v>2.3682775860636059E-2</c:v>
                </c:pt>
                <c:pt idx="795">
                  <c:v>3.6358521336049515E-3</c:v>
                </c:pt>
                <c:pt idx="796">
                  <c:v>-5.1621928809043047E-4</c:v>
                </c:pt>
                <c:pt idx="797">
                  <c:v>-1.3528803358309725E-2</c:v>
                </c:pt>
                <c:pt idx="798">
                  <c:v>-1.1833166770590023E-2</c:v>
                </c:pt>
                <c:pt idx="799">
                  <c:v>6.0083429806457754E-3</c:v>
                </c:pt>
                <c:pt idx="800">
                  <c:v>-1.8824890213324436E-3</c:v>
                </c:pt>
                <c:pt idx="801">
                  <c:v>1.5386285493717657E-3</c:v>
                </c:pt>
                <c:pt idx="802">
                  <c:v>-2.19388359041076E-3</c:v>
                </c:pt>
                <c:pt idx="803">
                  <c:v>-6.1436024333902974E-3</c:v>
                </c:pt>
                <c:pt idx="804">
                  <c:v>4.9213410451293734E-3</c:v>
                </c:pt>
                <c:pt idx="805">
                  <c:v>-1.2866933125928983E-2</c:v>
                </c:pt>
                <c:pt idx="806">
                  <c:v>1.596866799263371E-2</c:v>
                </c:pt>
                <c:pt idx="807">
                  <c:v>1.1379829864045239E-3</c:v>
                </c:pt>
                <c:pt idx="808">
                  <c:v>1.2230968554612143E-2</c:v>
                </c:pt>
                <c:pt idx="809">
                  <c:v>-2.4411523152255893E-2</c:v>
                </c:pt>
                <c:pt idx="810">
                  <c:v>-2.9985090346317092E-2</c:v>
                </c:pt>
                <c:pt idx="811">
                  <c:v>7.4700598278712241E-3</c:v>
                </c:pt>
                <c:pt idx="812">
                  <c:v>-5.0430082983922032E-3</c:v>
                </c:pt>
                <c:pt idx="813">
                  <c:v>8.5251645398068156E-3</c:v>
                </c:pt>
                <c:pt idx="814">
                  <c:v>4.690968881434777E-3</c:v>
                </c:pt>
                <c:pt idx="815">
                  <c:v>1.4114219180583412E-2</c:v>
                </c:pt>
                <c:pt idx="816">
                  <c:v>-1.4619776452946532E-2</c:v>
                </c:pt>
                <c:pt idx="817">
                  <c:v>1.3114184584901564E-3</c:v>
                </c:pt>
                <c:pt idx="818">
                  <c:v>9.6108323901110491E-3</c:v>
                </c:pt>
                <c:pt idx="819">
                  <c:v>1.6360257563373694E-2</c:v>
                </c:pt>
                <c:pt idx="820">
                  <c:v>-3.0343358800668775E-2</c:v>
                </c:pt>
                <c:pt idx="821">
                  <c:v>-1.208120352751656E-2</c:v>
                </c:pt>
                <c:pt idx="822">
                  <c:v>-1.0908009597579741E-2</c:v>
                </c:pt>
                <c:pt idx="823">
                  <c:v>8.2265378360734404E-3</c:v>
                </c:pt>
                <c:pt idx="824">
                  <c:v>-3.4201599134042943E-2</c:v>
                </c:pt>
                <c:pt idx="825">
                  <c:v>9.2341829000946868E-3</c:v>
                </c:pt>
                <c:pt idx="826">
                  <c:v>8.5543865926182346E-3</c:v>
                </c:pt>
                <c:pt idx="827">
                  <c:v>-1.551783767334595E-2</c:v>
                </c:pt>
                <c:pt idx="828">
                  <c:v>5.0395340617696014E-4</c:v>
                </c:pt>
                <c:pt idx="829">
                  <c:v>-7.3870401575173734E-3</c:v>
                </c:pt>
                <c:pt idx="830">
                  <c:v>-1.3296062247804765E-3</c:v>
                </c:pt>
                <c:pt idx="831">
                  <c:v>-2.8314415263336113E-3</c:v>
                </c:pt>
                <c:pt idx="832">
                  <c:v>-1.4160913555136823E-2</c:v>
                </c:pt>
                <c:pt idx="833">
                  <c:v>2.3728511803286386E-2</c:v>
                </c:pt>
                <c:pt idx="834">
                  <c:v>8.9540886361376675E-3</c:v>
                </c:pt>
                <c:pt idx="835">
                  <c:v>-1.5542372676663196E-2</c:v>
                </c:pt>
                <c:pt idx="836">
                  <c:v>7.5260601858693273E-4</c:v>
                </c:pt>
                <c:pt idx="837">
                  <c:v>-1.6268314728064826E-2</c:v>
                </c:pt>
                <c:pt idx="838">
                  <c:v>-2.7436232097996262E-3</c:v>
                </c:pt>
                <c:pt idx="839">
                  <c:v>6.1111107313882012E-3</c:v>
                </c:pt>
                <c:pt idx="840">
                  <c:v>3.6966287741924751E-2</c:v>
                </c:pt>
                <c:pt idx="841">
                  <c:v>-1.8078314286640269E-2</c:v>
                </c:pt>
                <c:pt idx="842">
                  <c:v>4.0751448157372791E-3</c:v>
                </c:pt>
                <c:pt idx="843">
                  <c:v>5.518514168358123E-3</c:v>
                </c:pt>
                <c:pt idx="844">
                  <c:v>6.8746705894561465E-3</c:v>
                </c:pt>
                <c:pt idx="845">
                  <c:v>6.4826500871110445E-3</c:v>
                </c:pt>
                <c:pt idx="846">
                  <c:v>-4.85464151042649E-3</c:v>
                </c:pt>
                <c:pt idx="847">
                  <c:v>-1.1767836988133111E-3</c:v>
                </c:pt>
                <c:pt idx="848">
                  <c:v>2.6145164849642143E-2</c:v>
                </c:pt>
                <c:pt idx="849">
                  <c:v>-6.4237421223315334E-3</c:v>
                </c:pt>
                <c:pt idx="850">
                  <c:v>-3.0300542574590761E-3</c:v>
                </c:pt>
                <c:pt idx="851">
                  <c:v>3.2663916852114276E-2</c:v>
                </c:pt>
                <c:pt idx="852">
                  <c:v>-6.9070537581970926E-3</c:v>
                </c:pt>
                <c:pt idx="853">
                  <c:v>-1.9043461812203915E-3</c:v>
                </c:pt>
                <c:pt idx="854">
                  <c:v>-5.4862774792081934E-3</c:v>
                </c:pt>
                <c:pt idx="855">
                  <c:v>1.4538294698978292E-3</c:v>
                </c:pt>
                <c:pt idx="856">
                  <c:v>8.0228988894433147E-3</c:v>
                </c:pt>
                <c:pt idx="857">
                  <c:v>-1.5059015862755895E-2</c:v>
                </c:pt>
                <c:pt idx="858">
                  <c:v>7.8055935993738513E-3</c:v>
                </c:pt>
                <c:pt idx="859">
                  <c:v>1.5071370009525482E-2</c:v>
                </c:pt>
                <c:pt idx="860">
                  <c:v>-1.5984433610272082E-2</c:v>
                </c:pt>
                <c:pt idx="861">
                  <c:v>4.6048096880415158E-3</c:v>
                </c:pt>
                <c:pt idx="862">
                  <c:v>2.9822864477902337E-2</c:v>
                </c:pt>
                <c:pt idx="863">
                  <c:v>8.4831920013427389E-3</c:v>
                </c:pt>
                <c:pt idx="864">
                  <c:v>-5.3150272072640869E-3</c:v>
                </c:pt>
                <c:pt idx="865">
                  <c:v>-1.7377819356254848E-2</c:v>
                </c:pt>
                <c:pt idx="866">
                  <c:v>-1.6084616210455655E-3</c:v>
                </c:pt>
                <c:pt idx="867">
                  <c:v>-9.033148464567313E-3</c:v>
                </c:pt>
                <c:pt idx="868">
                  <c:v>-1.9148874248065478E-2</c:v>
                </c:pt>
                <c:pt idx="869">
                  <c:v>9.0503582020989848E-3</c:v>
                </c:pt>
                <c:pt idx="870">
                  <c:v>-1.5377134845929856E-2</c:v>
                </c:pt>
                <c:pt idx="871">
                  <c:v>7.5689722348624179E-3</c:v>
                </c:pt>
                <c:pt idx="872">
                  <c:v>-2.3302947316993814E-2</c:v>
                </c:pt>
                <c:pt idx="873">
                  <c:v>9.4202461795075236E-3</c:v>
                </c:pt>
                <c:pt idx="874">
                  <c:v>4.765590340248458E-3</c:v>
                </c:pt>
                <c:pt idx="875">
                  <c:v>1.4410787760395755E-2</c:v>
                </c:pt>
                <c:pt idx="876">
                  <c:v>-5.7631869165549465E-3</c:v>
                </c:pt>
                <c:pt idx="877">
                  <c:v>-8.97965687138437E-3</c:v>
                </c:pt>
                <c:pt idx="878">
                  <c:v>7.9302836579603145E-3</c:v>
                </c:pt>
                <c:pt idx="879">
                  <c:v>2.0205167490395672E-2</c:v>
                </c:pt>
                <c:pt idx="880">
                  <c:v>3.0489775919466177E-2</c:v>
                </c:pt>
                <c:pt idx="881">
                  <c:v>9.9394983882200114E-3</c:v>
                </c:pt>
                <c:pt idx="882">
                  <c:v>-3.5953414037208898E-3</c:v>
                </c:pt>
                <c:pt idx="883">
                  <c:v>1.1941511140856339E-2</c:v>
                </c:pt>
                <c:pt idx="884">
                  <c:v>-7.6724805272271957E-3</c:v>
                </c:pt>
                <c:pt idx="885">
                  <c:v>5.8132566591114956E-3</c:v>
                </c:pt>
                <c:pt idx="886">
                  <c:v>-8.9832885556056247E-3</c:v>
                </c:pt>
                <c:pt idx="887">
                  <c:v>7.1453773379930707E-3</c:v>
                </c:pt>
                <c:pt idx="888">
                  <c:v>5.7042467712773532E-3</c:v>
                </c:pt>
                <c:pt idx="889">
                  <c:v>3.76171915431919E-3</c:v>
                </c:pt>
                <c:pt idx="890">
                  <c:v>-8.5321765006308257E-3</c:v>
                </c:pt>
                <c:pt idx="891">
                  <c:v>-1.2532554870593985E-2</c:v>
                </c:pt>
                <c:pt idx="892">
                  <c:v>9.2541996356879427E-3</c:v>
                </c:pt>
                <c:pt idx="893">
                  <c:v>8.6583529289557676E-3</c:v>
                </c:pt>
                <c:pt idx="894">
                  <c:v>1.7601309265557991E-2</c:v>
                </c:pt>
                <c:pt idx="895">
                  <c:v>-3.0206917723147368E-2</c:v>
                </c:pt>
                <c:pt idx="896">
                  <c:v>-1.1957413231825885E-2</c:v>
                </c:pt>
                <c:pt idx="897">
                  <c:v>-6.8088844152984513E-3</c:v>
                </c:pt>
                <c:pt idx="898">
                  <c:v>3.0713300012326247E-2</c:v>
                </c:pt>
                <c:pt idx="899">
                  <c:v>-9.6842016045209107E-3</c:v>
                </c:pt>
                <c:pt idx="900">
                  <c:v>1.1327963586512314E-2</c:v>
                </c:pt>
                <c:pt idx="901">
                  <c:v>1.4516410764127064E-2</c:v>
                </c:pt>
                <c:pt idx="902">
                  <c:v>6.5301082135137845E-3</c:v>
                </c:pt>
                <c:pt idx="903">
                  <c:v>-6.7918390913519E-3</c:v>
                </c:pt>
                <c:pt idx="904">
                  <c:v>8.3509028977548517E-3</c:v>
                </c:pt>
                <c:pt idx="905">
                  <c:v>6.9537339258109671E-3</c:v>
                </c:pt>
                <c:pt idx="906">
                  <c:v>1.4143571446113383E-2</c:v>
                </c:pt>
                <c:pt idx="907">
                  <c:v>2.6638914945577026E-2</c:v>
                </c:pt>
                <c:pt idx="908">
                  <c:v>6.1501130824729942E-3</c:v>
                </c:pt>
                <c:pt idx="909">
                  <c:v>2.4910757507362589E-3</c:v>
                </c:pt>
                <c:pt idx="910">
                  <c:v>-8.8385381401828527E-4</c:v>
                </c:pt>
                <c:pt idx="911">
                  <c:v>8.8706602013782672E-3</c:v>
                </c:pt>
                <c:pt idx="912">
                  <c:v>-2.8241878608620337E-3</c:v>
                </c:pt>
                <c:pt idx="913">
                  <c:v>-9.1611182712522683E-3</c:v>
                </c:pt>
                <c:pt idx="914">
                  <c:v>-5.0388086455620167E-3</c:v>
                </c:pt>
                <c:pt idx="915">
                  <c:v>-9.1658617766166711E-3</c:v>
                </c:pt>
                <c:pt idx="916">
                  <c:v>3.4191526289237897E-2</c:v>
                </c:pt>
                <c:pt idx="917">
                  <c:v>2.7530275618087071E-3</c:v>
                </c:pt>
                <c:pt idx="918">
                  <c:v>-5.890060300898719E-3</c:v>
                </c:pt>
                <c:pt idx="919">
                  <c:v>2.2065238381926724E-2</c:v>
                </c:pt>
                <c:pt idx="920">
                  <c:v>-4.358860954540876E-3</c:v>
                </c:pt>
                <c:pt idx="921">
                  <c:v>1.1196816589549739E-2</c:v>
                </c:pt>
                <c:pt idx="922">
                  <c:v>-6.4111041066405665E-4</c:v>
                </c:pt>
                <c:pt idx="923">
                  <c:v>3.1292497679012874E-3</c:v>
                </c:pt>
                <c:pt idx="924">
                  <c:v>4.2925507236331725E-3</c:v>
                </c:pt>
                <c:pt idx="925">
                  <c:v>-2.2245123535318507E-2</c:v>
                </c:pt>
                <c:pt idx="926">
                  <c:v>-1.2879059589552817E-3</c:v>
                </c:pt>
                <c:pt idx="927">
                  <c:v>4.3390613481543855E-3</c:v>
                </c:pt>
                <c:pt idx="928">
                  <c:v>4.8277317868053683E-3</c:v>
                </c:pt>
                <c:pt idx="929">
                  <c:v>1.391657746297072E-2</c:v>
                </c:pt>
                <c:pt idx="930">
                  <c:v>-1.4727346686896103E-3</c:v>
                </c:pt>
                <c:pt idx="931">
                  <c:v>-4.735156204574752E-3</c:v>
                </c:pt>
                <c:pt idx="932">
                  <c:v>-4.026872675344257E-3</c:v>
                </c:pt>
                <c:pt idx="933">
                  <c:v>-4.4410271670891725E-3</c:v>
                </c:pt>
                <c:pt idx="934">
                  <c:v>1.2103492005006584E-2</c:v>
                </c:pt>
                <c:pt idx="935">
                  <c:v>-3.5885993581115843E-3</c:v>
                </c:pt>
                <c:pt idx="936">
                  <c:v>-1.0484905106979685E-2</c:v>
                </c:pt>
                <c:pt idx="937">
                  <c:v>-6.1540857603532119E-3</c:v>
                </c:pt>
                <c:pt idx="938">
                  <c:v>-5.455458069602008E-3</c:v>
                </c:pt>
                <c:pt idx="939">
                  <c:v>3.6685123745762147E-3</c:v>
                </c:pt>
                <c:pt idx="940">
                  <c:v>5.7729025860403316E-3</c:v>
                </c:pt>
                <c:pt idx="941">
                  <c:v>1.7034678699234555E-3</c:v>
                </c:pt>
                <c:pt idx="942">
                  <c:v>-7.8341357178228072E-3</c:v>
                </c:pt>
                <c:pt idx="943">
                  <c:v>2.048380430132558E-2</c:v>
                </c:pt>
                <c:pt idx="944">
                  <c:v>4.5889380156493838E-4</c:v>
                </c:pt>
                <c:pt idx="945">
                  <c:v>2.6156445738139342E-3</c:v>
                </c:pt>
                <c:pt idx="946">
                  <c:v>-1.3044964556034346E-2</c:v>
                </c:pt>
                <c:pt idx="947">
                  <c:v>-1.88899361923121E-3</c:v>
                </c:pt>
                <c:pt idx="948">
                  <c:v>1.2455615607145398E-2</c:v>
                </c:pt>
                <c:pt idx="949">
                  <c:v>-8.3313653329959245E-3</c:v>
                </c:pt>
                <c:pt idx="950">
                  <c:v>1.1007893218149364E-2</c:v>
                </c:pt>
                <c:pt idx="951">
                  <c:v>-3.4281087696743841E-3</c:v>
                </c:pt>
                <c:pt idx="952">
                  <c:v>1.9452008112300967E-2</c:v>
                </c:pt>
                <c:pt idx="953">
                  <c:v>1.9691674038646296E-3</c:v>
                </c:pt>
                <c:pt idx="954">
                  <c:v>-1.543143604572365E-2</c:v>
                </c:pt>
                <c:pt idx="955">
                  <c:v>1.7184805304987207E-2</c:v>
                </c:pt>
                <c:pt idx="956">
                  <c:v>3.7262192761704153E-3</c:v>
                </c:pt>
                <c:pt idx="957">
                  <c:v>-1.090405924273828E-2</c:v>
                </c:pt>
                <c:pt idx="958">
                  <c:v>-5.218085459113184E-3</c:v>
                </c:pt>
                <c:pt idx="959">
                  <c:v>-1.4479711810392579E-2</c:v>
                </c:pt>
                <c:pt idx="960">
                  <c:v>-1.012275450605647E-2</c:v>
                </c:pt>
                <c:pt idx="961">
                  <c:v>-1.4545512714105651E-2</c:v>
                </c:pt>
                <c:pt idx="962">
                  <c:v>-7.7276556473159395E-3</c:v>
                </c:pt>
                <c:pt idx="963">
                  <c:v>7.7982720990335264E-3</c:v>
                </c:pt>
                <c:pt idx="964">
                  <c:v>-9.6730999643078052E-4</c:v>
                </c:pt>
                <c:pt idx="965">
                  <c:v>1.1197189269520564E-3</c:v>
                </c:pt>
                <c:pt idx="966">
                  <c:v>-2.7947789801125052E-2</c:v>
                </c:pt>
                <c:pt idx="967">
                  <c:v>3.1796997678238625E-3</c:v>
                </c:pt>
                <c:pt idx="968">
                  <c:v>-6.323517311271276E-3</c:v>
                </c:pt>
                <c:pt idx="969">
                  <c:v>1.4654270596681491E-2</c:v>
                </c:pt>
                <c:pt idx="970">
                  <c:v>-1.2015254413150201E-2</c:v>
                </c:pt>
                <c:pt idx="971">
                  <c:v>-7.2681785785244304E-5</c:v>
                </c:pt>
                <c:pt idx="972">
                  <c:v>-1.4208938664436257E-2</c:v>
                </c:pt>
                <c:pt idx="973">
                  <c:v>3.8380212210158142E-3</c:v>
                </c:pt>
                <c:pt idx="974">
                  <c:v>1.3602061427961476E-2</c:v>
                </c:pt>
                <c:pt idx="975">
                  <c:v>-9.621005105911044E-3</c:v>
                </c:pt>
                <c:pt idx="976">
                  <c:v>-1.7879676946975561E-3</c:v>
                </c:pt>
                <c:pt idx="977">
                  <c:v>8.2236954632175056E-3</c:v>
                </c:pt>
                <c:pt idx="978">
                  <c:v>4.9338289120576001E-4</c:v>
                </c:pt>
                <c:pt idx="979">
                  <c:v>1.9994155491233578E-2</c:v>
                </c:pt>
                <c:pt idx="980">
                  <c:v>8.9469528934899359E-3</c:v>
                </c:pt>
                <c:pt idx="981">
                  <c:v>-3.1883255248128057E-3</c:v>
                </c:pt>
                <c:pt idx="982">
                  <c:v>-4.5900509374189784E-3</c:v>
                </c:pt>
                <c:pt idx="983">
                  <c:v>9.3965669034438929E-3</c:v>
                </c:pt>
                <c:pt idx="984">
                  <c:v>-8.8613334324003507E-3</c:v>
                </c:pt>
                <c:pt idx="985">
                  <c:v>1.4916921696236872E-3</c:v>
                </c:pt>
                <c:pt idx="986">
                  <c:v>6.0856507046134177E-3</c:v>
                </c:pt>
                <c:pt idx="987">
                  <c:v>8.6254494575637268E-3</c:v>
                </c:pt>
                <c:pt idx="988">
                  <c:v>-2.6968362473606757E-2</c:v>
                </c:pt>
                <c:pt idx="989">
                  <c:v>9.0349460757744606E-4</c:v>
                </c:pt>
                <c:pt idx="990">
                  <c:v>-4.1763356263126647E-3</c:v>
                </c:pt>
                <c:pt idx="991">
                  <c:v>2.768684836786571E-2</c:v>
                </c:pt>
                <c:pt idx="992">
                  <c:v>-1.9986744349641521E-3</c:v>
                </c:pt>
                <c:pt idx="993">
                  <c:v>-6.5839269926669939E-4</c:v>
                </c:pt>
                <c:pt idx="994">
                  <c:v>1.3989303594264996E-2</c:v>
                </c:pt>
                <c:pt idx="995">
                  <c:v>1.9065890013283675E-2</c:v>
                </c:pt>
                <c:pt idx="996">
                  <c:v>-3.9740388151148528E-4</c:v>
                </c:pt>
                <c:pt idx="997">
                  <c:v>-8.9579409549771412E-4</c:v>
                </c:pt>
                <c:pt idx="998">
                  <c:v>-1.2284954499304801E-2</c:v>
                </c:pt>
                <c:pt idx="999">
                  <c:v>7.437235722783501E-4</c:v>
                </c:pt>
                <c:pt idx="1000">
                  <c:v>1.028576955069152E-2</c:v>
                </c:pt>
                <c:pt idx="1001">
                  <c:v>1.7512188154162976E-2</c:v>
                </c:pt>
                <c:pt idx="1002">
                  <c:v>-1.3228626587070547E-2</c:v>
                </c:pt>
                <c:pt idx="1003">
                  <c:v>-1.8745019636980061E-3</c:v>
                </c:pt>
                <c:pt idx="1004">
                  <c:v>5.1144238143173305E-3</c:v>
                </c:pt>
                <c:pt idx="1005">
                  <c:v>8.6016769296543213E-3</c:v>
                </c:pt>
                <c:pt idx="1006">
                  <c:v>-4.6623974857304649E-3</c:v>
                </c:pt>
                <c:pt idx="1007">
                  <c:v>7.9451052148260398E-3</c:v>
                </c:pt>
                <c:pt idx="1008">
                  <c:v>6.274598620932605E-3</c:v>
                </c:pt>
                <c:pt idx="1009">
                  <c:v>1.3692537920377596E-2</c:v>
                </c:pt>
                <c:pt idx="1010">
                  <c:v>-6.2135409310922504E-4</c:v>
                </c:pt>
                <c:pt idx="1011">
                  <c:v>-2.4268417154086055E-3</c:v>
                </c:pt>
                <c:pt idx="1012">
                  <c:v>-1.3187321919483526E-2</c:v>
                </c:pt>
                <c:pt idx="1013">
                  <c:v>6.5021432136033288E-3</c:v>
                </c:pt>
                <c:pt idx="1014">
                  <c:v>-2.9731006011850785E-3</c:v>
                </c:pt>
                <c:pt idx="1015">
                  <c:v>-1.330560757339468E-2</c:v>
                </c:pt>
                <c:pt idx="1016">
                  <c:v>7.7543834762799826E-3</c:v>
                </c:pt>
                <c:pt idx="1017">
                  <c:v>7.8830143691138686E-3</c:v>
                </c:pt>
                <c:pt idx="1018">
                  <c:v>-1.4724316241068785E-3</c:v>
                </c:pt>
                <c:pt idx="1019">
                  <c:v>-1.1346254772306585E-2</c:v>
                </c:pt>
                <c:pt idx="1020">
                  <c:v>-1.5273956301666508E-2</c:v>
                </c:pt>
                <c:pt idx="1021">
                  <c:v>1.9345471956987875E-3</c:v>
                </c:pt>
                <c:pt idx="1022">
                  <c:v>-1.0198608271312642E-2</c:v>
                </c:pt>
                <c:pt idx="1023">
                  <c:v>-2.1870606916971829E-2</c:v>
                </c:pt>
                <c:pt idx="1024">
                  <c:v>8.7243875567859178E-3</c:v>
                </c:pt>
                <c:pt idx="1025">
                  <c:v>-5.2400034686049578E-4</c:v>
                </c:pt>
                <c:pt idx="1026">
                  <c:v>-8.4887332366152049E-3</c:v>
                </c:pt>
                <c:pt idx="1027">
                  <c:v>4.94884387910117E-3</c:v>
                </c:pt>
                <c:pt idx="1028">
                  <c:v>-1.5498713690726173E-3</c:v>
                </c:pt>
                <c:pt idx="1029">
                  <c:v>8.2407968893963238E-3</c:v>
                </c:pt>
                <c:pt idx="1030">
                  <c:v>-2.030078259944407E-3</c:v>
                </c:pt>
                <c:pt idx="1031">
                  <c:v>7.7178379546851798E-3</c:v>
                </c:pt>
                <c:pt idx="1032">
                  <c:v>7.5395934366559291E-3</c:v>
                </c:pt>
                <c:pt idx="1033">
                  <c:v>-3.0444581268337522E-3</c:v>
                </c:pt>
                <c:pt idx="1034">
                  <c:v>3.0516701163047256E-3</c:v>
                </c:pt>
                <c:pt idx="1035">
                  <c:v>7.4509785011281655E-3</c:v>
                </c:pt>
                <c:pt idx="1036">
                  <c:v>4.3999328930391501E-3</c:v>
                </c:pt>
                <c:pt idx="1037">
                  <c:v>8.9081876081564849E-3</c:v>
                </c:pt>
                <c:pt idx="1038">
                  <c:v>2.1662011821188616E-3</c:v>
                </c:pt>
                <c:pt idx="1039">
                  <c:v>3.4302575014080461E-3</c:v>
                </c:pt>
                <c:pt idx="1040">
                  <c:v>3.5375657486477574E-3</c:v>
                </c:pt>
                <c:pt idx="1041">
                  <c:v>5.5144245422318805E-3</c:v>
                </c:pt>
                <c:pt idx="1042">
                  <c:v>4.1886729181904248E-3</c:v>
                </c:pt>
                <c:pt idx="1043">
                  <c:v>3.4980236845702059E-3</c:v>
                </c:pt>
                <c:pt idx="1044">
                  <c:v>2.0359258999265981E-2</c:v>
                </c:pt>
                <c:pt idx="1045">
                  <c:v>-1.7987020941182675E-3</c:v>
                </c:pt>
                <c:pt idx="1046">
                  <c:v>2.7221834161740292E-3</c:v>
                </c:pt>
                <c:pt idx="1047">
                  <c:v>9.8613118186060816E-3</c:v>
                </c:pt>
                <c:pt idx="1048">
                  <c:v>1.9714854631752775E-2</c:v>
                </c:pt>
                <c:pt idx="1049">
                  <c:v>2.295195777967979E-3</c:v>
                </c:pt>
                <c:pt idx="1050">
                  <c:v>-1.7359489957588596E-4</c:v>
                </c:pt>
                <c:pt idx="1051">
                  <c:v>6.8292748182986083E-3</c:v>
                </c:pt>
                <c:pt idx="1052">
                  <c:v>-6.8817522648013715E-3</c:v>
                </c:pt>
                <c:pt idx="1053">
                  <c:v>-1.0520624337066306E-3</c:v>
                </c:pt>
                <c:pt idx="1054">
                  <c:v>-1.2974690403430331E-2</c:v>
                </c:pt>
                <c:pt idx="1055">
                  <c:v>-3.4442698680170205E-3</c:v>
                </c:pt>
                <c:pt idx="1056">
                  <c:v>7.6412679464325749E-3</c:v>
                </c:pt>
                <c:pt idx="1057">
                  <c:v>5.5358267135662441E-3</c:v>
                </c:pt>
                <c:pt idx="1058">
                  <c:v>2.0024639897400377E-2</c:v>
                </c:pt>
                <c:pt idx="1059">
                  <c:v>1.3179704173767088E-3</c:v>
                </c:pt>
                <c:pt idx="1060">
                  <c:v>9.06303669301484E-3</c:v>
                </c:pt>
                <c:pt idx="1061">
                  <c:v>-7.4219190733228269E-3</c:v>
                </c:pt>
                <c:pt idx="1062">
                  <c:v>1.6814673950565372E-2</c:v>
                </c:pt>
                <c:pt idx="1063">
                  <c:v>-4.4995307052825232E-3</c:v>
                </c:pt>
                <c:pt idx="1064">
                  <c:v>1.5629274872351911E-2</c:v>
                </c:pt>
                <c:pt idx="1065">
                  <c:v>-5.6705466790015945E-2</c:v>
                </c:pt>
                <c:pt idx="1066">
                  <c:v>9.8124901220704823E-3</c:v>
                </c:pt>
                <c:pt idx="1067">
                  <c:v>-6.6970037325043636E-3</c:v>
                </c:pt>
                <c:pt idx="1068">
                  <c:v>5.3657862042233639E-3</c:v>
                </c:pt>
                <c:pt idx="1069">
                  <c:v>4.2170153350310595E-3</c:v>
                </c:pt>
                <c:pt idx="1070">
                  <c:v>9.7087205292908617E-3</c:v>
                </c:pt>
                <c:pt idx="1071">
                  <c:v>9.2659928092437092E-3</c:v>
                </c:pt>
                <c:pt idx="1072">
                  <c:v>-3.1014728949018609E-2</c:v>
                </c:pt>
                <c:pt idx="1073">
                  <c:v>-1.7042242956111439E-2</c:v>
                </c:pt>
                <c:pt idx="1074">
                  <c:v>1.381539449263924E-3</c:v>
                </c:pt>
                <c:pt idx="1075">
                  <c:v>1.8524551378050781E-3</c:v>
                </c:pt>
                <c:pt idx="1076">
                  <c:v>-8.4916904151957004E-3</c:v>
                </c:pt>
                <c:pt idx="1077">
                  <c:v>1.8459946586782093E-2</c:v>
                </c:pt>
                <c:pt idx="1078">
                  <c:v>5.8154804933102013E-3</c:v>
                </c:pt>
                <c:pt idx="1079">
                  <c:v>-2.183905342358192E-3</c:v>
                </c:pt>
                <c:pt idx="1080">
                  <c:v>6.5176779570191327E-3</c:v>
                </c:pt>
                <c:pt idx="1081">
                  <c:v>-4.5483472572339471E-3</c:v>
                </c:pt>
                <c:pt idx="1082">
                  <c:v>1.4293037036647463E-2</c:v>
                </c:pt>
                <c:pt idx="1083">
                  <c:v>1.4899801574157361E-2</c:v>
                </c:pt>
                <c:pt idx="1084">
                  <c:v>-1.281284963185382E-2</c:v>
                </c:pt>
                <c:pt idx="1085">
                  <c:v>3.7663687714558441E-3</c:v>
                </c:pt>
                <c:pt idx="1086">
                  <c:v>4.1260393050392653E-3</c:v>
                </c:pt>
                <c:pt idx="1087">
                  <c:v>2.2430700591631069E-3</c:v>
                </c:pt>
                <c:pt idx="1088">
                  <c:v>-1.4509455955170839E-2</c:v>
                </c:pt>
                <c:pt idx="1089">
                  <c:v>1.5457318756335695E-2</c:v>
                </c:pt>
                <c:pt idx="1090">
                  <c:v>7.9491103174288511E-3</c:v>
                </c:pt>
                <c:pt idx="1091">
                  <c:v>-3.8051778802755212E-3</c:v>
                </c:pt>
                <c:pt idx="1092">
                  <c:v>-3.4761163975242271E-3</c:v>
                </c:pt>
                <c:pt idx="1093">
                  <c:v>5.4315892491699777E-3</c:v>
                </c:pt>
                <c:pt idx="1094">
                  <c:v>3.5046520137078409E-2</c:v>
                </c:pt>
                <c:pt idx="1095">
                  <c:v>2.2928014219178356E-2</c:v>
                </c:pt>
                <c:pt idx="1096">
                  <c:v>1.5737972660597017E-2</c:v>
                </c:pt>
                <c:pt idx="1097">
                  <c:v>1.176496907049795E-3</c:v>
                </c:pt>
                <c:pt idx="1098">
                  <c:v>1.7919841321173344E-2</c:v>
                </c:pt>
                <c:pt idx="1099">
                  <c:v>1.1983296558699508E-2</c:v>
                </c:pt>
                <c:pt idx="1100">
                  <c:v>-9.6064884432643452E-3</c:v>
                </c:pt>
                <c:pt idx="1101">
                  <c:v>-9.0082792522791656E-3</c:v>
                </c:pt>
                <c:pt idx="1102">
                  <c:v>1.1660318471736464E-2</c:v>
                </c:pt>
                <c:pt idx="1103">
                  <c:v>1.1408569743163297E-2</c:v>
                </c:pt>
                <c:pt idx="1104">
                  <c:v>-3.0573387752785029E-2</c:v>
                </c:pt>
                <c:pt idx="1105">
                  <c:v>9.4383833701350752E-3</c:v>
                </c:pt>
                <c:pt idx="1106">
                  <c:v>1.2209722716667797E-2</c:v>
                </c:pt>
                <c:pt idx="1107">
                  <c:v>1.6843671536025208E-2</c:v>
                </c:pt>
                <c:pt idx="1108">
                  <c:v>-1.8215381257956033E-3</c:v>
                </c:pt>
                <c:pt idx="1109">
                  <c:v>1.100920246302671E-2</c:v>
                </c:pt>
                <c:pt idx="1110">
                  <c:v>-4.9408441272374331E-3</c:v>
                </c:pt>
                <c:pt idx="1111">
                  <c:v>-6.799611471576714E-3</c:v>
                </c:pt>
                <c:pt idx="1112">
                  <c:v>2.5159103273311853E-3</c:v>
                </c:pt>
                <c:pt idx="1113">
                  <c:v>1.1211474911423082E-2</c:v>
                </c:pt>
                <c:pt idx="1114">
                  <c:v>1.109552768852441E-2</c:v>
                </c:pt>
                <c:pt idx="1115">
                  <c:v>-1.3659349854610078E-2</c:v>
                </c:pt>
                <c:pt idx="1116">
                  <c:v>1.6625904840377573E-2</c:v>
                </c:pt>
                <c:pt idx="1117">
                  <c:v>-9.8651516438251884E-3</c:v>
                </c:pt>
                <c:pt idx="1118">
                  <c:v>-7.0759238361063821E-4</c:v>
                </c:pt>
                <c:pt idx="1119">
                  <c:v>-1.323970577804898E-2</c:v>
                </c:pt>
                <c:pt idx="1120">
                  <c:v>-1.7859800781831606E-4</c:v>
                </c:pt>
                <c:pt idx="1121">
                  <c:v>-3.5794387692418793E-2</c:v>
                </c:pt>
                <c:pt idx="1122">
                  <c:v>1.9778999756931551E-2</c:v>
                </c:pt>
                <c:pt idx="1123">
                  <c:v>-2.9619802725864397E-2</c:v>
                </c:pt>
                <c:pt idx="1124">
                  <c:v>-1.118334180293127E-2</c:v>
                </c:pt>
                <c:pt idx="1125">
                  <c:v>4.9818223140263105E-3</c:v>
                </c:pt>
                <c:pt idx="1126">
                  <c:v>2.0628246531861117E-2</c:v>
                </c:pt>
                <c:pt idx="1127">
                  <c:v>-3.7575480818120783E-3</c:v>
                </c:pt>
                <c:pt idx="1128">
                  <c:v>-3.7808374544361194E-2</c:v>
                </c:pt>
                <c:pt idx="1129">
                  <c:v>-9.6344073404015969E-3</c:v>
                </c:pt>
                <c:pt idx="1130">
                  <c:v>1.2068109901970974E-2</c:v>
                </c:pt>
                <c:pt idx="1131">
                  <c:v>2.919259090095504E-3</c:v>
                </c:pt>
                <c:pt idx="1132">
                  <c:v>-1.2422603416072424E-2</c:v>
                </c:pt>
                <c:pt idx="1133">
                  <c:v>2.9961489574662089E-3</c:v>
                </c:pt>
                <c:pt idx="1134">
                  <c:v>-2.8890815432816377E-2</c:v>
                </c:pt>
                <c:pt idx="1135">
                  <c:v>4.5814898865862833E-2</c:v>
                </c:pt>
                <c:pt idx="1136">
                  <c:v>-2.1077163573585716E-4</c:v>
                </c:pt>
                <c:pt idx="1137">
                  <c:v>2.0302709544347656E-2</c:v>
                </c:pt>
                <c:pt idx="1138">
                  <c:v>-1.8533637052699808E-2</c:v>
                </c:pt>
                <c:pt idx="1139">
                  <c:v>-1.5009852103597916E-2</c:v>
                </c:pt>
                <c:pt idx="1140">
                  <c:v>1.1954341814555023E-3</c:v>
                </c:pt>
                <c:pt idx="1141">
                  <c:v>3.9545752706699432E-2</c:v>
                </c:pt>
                <c:pt idx="1142">
                  <c:v>8.0997743870698385E-3</c:v>
                </c:pt>
                <c:pt idx="1143">
                  <c:v>-4.4386139736003385E-3</c:v>
                </c:pt>
                <c:pt idx="1144">
                  <c:v>-3.0871126455434554E-3</c:v>
                </c:pt>
                <c:pt idx="1145">
                  <c:v>-1.7172961418083096E-3</c:v>
                </c:pt>
                <c:pt idx="1146">
                  <c:v>2.971139239998042E-2</c:v>
                </c:pt>
                <c:pt idx="1147">
                  <c:v>1.5487525778867662E-2</c:v>
                </c:pt>
                <c:pt idx="1148">
                  <c:v>8.7752143729493259E-3</c:v>
                </c:pt>
                <c:pt idx="1149">
                  <c:v>5.2797650238838613E-5</c:v>
                </c:pt>
                <c:pt idx="1150">
                  <c:v>1.0957464426987484E-2</c:v>
                </c:pt>
                <c:pt idx="1151">
                  <c:v>-1.2540326331054604E-3</c:v>
                </c:pt>
                <c:pt idx="1152">
                  <c:v>-1.2330018576142465E-2</c:v>
                </c:pt>
                <c:pt idx="1153">
                  <c:v>1.9530079813118609E-5</c:v>
                </c:pt>
                <c:pt idx="1154">
                  <c:v>-1.3800796470729204E-3</c:v>
                </c:pt>
                <c:pt idx="1155">
                  <c:v>-2.3976546700791284E-2</c:v>
                </c:pt>
                <c:pt idx="1156">
                  <c:v>-1.1779349251837268E-2</c:v>
                </c:pt>
                <c:pt idx="1157">
                  <c:v>-2.5099710716611277E-3</c:v>
                </c:pt>
                <c:pt idx="1158">
                  <c:v>-1.0917884569630158E-2</c:v>
                </c:pt>
                <c:pt idx="1159">
                  <c:v>-7.158361604115232E-3</c:v>
                </c:pt>
                <c:pt idx="1160">
                  <c:v>-2.6950439149123411E-2</c:v>
                </c:pt>
                <c:pt idx="1161">
                  <c:v>1.540842858583533E-2</c:v>
                </c:pt>
                <c:pt idx="1162">
                  <c:v>-8.0010320633614324E-3</c:v>
                </c:pt>
                <c:pt idx="1163">
                  <c:v>1.03571074959617E-2</c:v>
                </c:pt>
                <c:pt idx="1164">
                  <c:v>1.0271516185353989E-2</c:v>
                </c:pt>
                <c:pt idx="1165">
                  <c:v>-2.0721961932357529E-2</c:v>
                </c:pt>
                <c:pt idx="1166">
                  <c:v>2.951569327089966E-3</c:v>
                </c:pt>
                <c:pt idx="1167">
                  <c:v>-2.2833816431353439E-2</c:v>
                </c:pt>
                <c:pt idx="1168">
                  <c:v>-8.4859945382711032E-3</c:v>
                </c:pt>
                <c:pt idx="1169">
                  <c:v>-2.7186732943343825E-2</c:v>
                </c:pt>
                <c:pt idx="1170">
                  <c:v>1.0386175398404226E-2</c:v>
                </c:pt>
                <c:pt idx="1171">
                  <c:v>-9.8676058427853933E-3</c:v>
                </c:pt>
                <c:pt idx="1172">
                  <c:v>-3.2301570394530793E-3</c:v>
                </c:pt>
                <c:pt idx="1173">
                  <c:v>-2.255201391029639E-2</c:v>
                </c:pt>
                <c:pt idx="1174">
                  <c:v>3.3458711988921017E-2</c:v>
                </c:pt>
                <c:pt idx="1175">
                  <c:v>1.3467335866069632E-3</c:v>
                </c:pt>
                <c:pt idx="1176">
                  <c:v>-1.3226998470140522E-2</c:v>
                </c:pt>
                <c:pt idx="1177">
                  <c:v>1.8943787064232546E-2</c:v>
                </c:pt>
                <c:pt idx="1178">
                  <c:v>-1.2053067796634119E-2</c:v>
                </c:pt>
                <c:pt idx="1179">
                  <c:v>-6.4724846407565794E-3</c:v>
                </c:pt>
                <c:pt idx="1180">
                  <c:v>-3.8030141327823502E-3</c:v>
                </c:pt>
                <c:pt idx="1181">
                  <c:v>-7.982456179685897E-3</c:v>
                </c:pt>
                <c:pt idx="1182">
                  <c:v>-1.0168754811200057E-2</c:v>
                </c:pt>
                <c:pt idx="1183">
                  <c:v>7.4030291720820693E-3</c:v>
                </c:pt>
                <c:pt idx="1184">
                  <c:v>-2.6315461949886834E-2</c:v>
                </c:pt>
                <c:pt idx="1185">
                  <c:v>-4.2825427548694771E-3</c:v>
                </c:pt>
                <c:pt idx="1186">
                  <c:v>-4.5593423379396182E-3</c:v>
                </c:pt>
                <c:pt idx="1187">
                  <c:v>9.0380773019475367E-3</c:v>
                </c:pt>
                <c:pt idx="1188">
                  <c:v>-1.3594708879876453E-2</c:v>
                </c:pt>
                <c:pt idx="1189">
                  <c:v>1.9667601534501204E-2</c:v>
                </c:pt>
                <c:pt idx="1190">
                  <c:v>-2.7070815862085796E-3</c:v>
                </c:pt>
                <c:pt idx="1191">
                  <c:v>-3.1563934207582004E-3</c:v>
                </c:pt>
                <c:pt idx="1192">
                  <c:v>-6.5134645131989348E-3</c:v>
                </c:pt>
                <c:pt idx="1193">
                  <c:v>-9.7034270936270737E-3</c:v>
                </c:pt>
                <c:pt idx="1194">
                  <c:v>-5.0774167905660037E-3</c:v>
                </c:pt>
                <c:pt idx="1195">
                  <c:v>9.8087575226959013E-4</c:v>
                </c:pt>
                <c:pt idx="1196">
                  <c:v>1.461946732072762E-2</c:v>
                </c:pt>
                <c:pt idx="1197">
                  <c:v>8.7542541270500939E-3</c:v>
                </c:pt>
                <c:pt idx="1198">
                  <c:v>1.7682045382226125E-3</c:v>
                </c:pt>
                <c:pt idx="1199">
                  <c:v>5.9963635076486846E-3</c:v>
                </c:pt>
                <c:pt idx="1200">
                  <c:v>1.5269647506838287E-2</c:v>
                </c:pt>
                <c:pt idx="1201">
                  <c:v>-9.6882434758208331E-4</c:v>
                </c:pt>
                <c:pt idx="1202">
                  <c:v>-6.3970090190300791E-3</c:v>
                </c:pt>
                <c:pt idx="1203">
                  <c:v>-4.6731425618913146E-3</c:v>
                </c:pt>
                <c:pt idx="1204">
                  <c:v>8.0800012578927001E-3</c:v>
                </c:pt>
                <c:pt idx="1205">
                  <c:v>8.4280211683789817E-3</c:v>
                </c:pt>
                <c:pt idx="1206">
                  <c:v>-9.4885701506298853E-3</c:v>
                </c:pt>
                <c:pt idx="1207">
                  <c:v>-4.4954012599624877E-3</c:v>
                </c:pt>
                <c:pt idx="1208">
                  <c:v>-7.5584345748975655E-3</c:v>
                </c:pt>
                <c:pt idx="1209">
                  <c:v>2.2589723900286723E-2</c:v>
                </c:pt>
                <c:pt idx="1210">
                  <c:v>3.2533266410268567E-2</c:v>
                </c:pt>
                <c:pt idx="1211">
                  <c:v>-1.7502423939512141E-2</c:v>
                </c:pt>
                <c:pt idx="1212">
                  <c:v>6.8676102859698386E-3</c:v>
                </c:pt>
                <c:pt idx="1213">
                  <c:v>4.1903537700448276E-4</c:v>
                </c:pt>
                <c:pt idx="1214">
                  <c:v>-7.2549818200344281E-3</c:v>
                </c:pt>
                <c:pt idx="1215">
                  <c:v>-5.883558675906217E-3</c:v>
                </c:pt>
                <c:pt idx="1216">
                  <c:v>-3.4974700128026933E-3</c:v>
                </c:pt>
                <c:pt idx="1217">
                  <c:v>-3.0149359382477016E-3</c:v>
                </c:pt>
                <c:pt idx="1218">
                  <c:v>2.0862832177561633E-2</c:v>
                </c:pt>
                <c:pt idx="1219">
                  <c:v>-1.1005056969120859E-2</c:v>
                </c:pt>
                <c:pt idx="1220">
                  <c:v>-1.3162212389491253E-2</c:v>
                </c:pt>
                <c:pt idx="1221">
                  <c:v>1.519588196860977E-2</c:v>
                </c:pt>
                <c:pt idx="1222">
                  <c:v>7.4948565592971974E-3</c:v>
                </c:pt>
                <c:pt idx="1223">
                  <c:v>-2.4329338086895688E-2</c:v>
                </c:pt>
                <c:pt idx="1224">
                  <c:v>1.9177496149771871E-2</c:v>
                </c:pt>
                <c:pt idx="1225">
                  <c:v>5.3597270199821322E-3</c:v>
                </c:pt>
                <c:pt idx="1226">
                  <c:v>4.2183510668158805E-3</c:v>
                </c:pt>
                <c:pt idx="1227">
                  <c:v>-3.015772036939931E-3</c:v>
                </c:pt>
                <c:pt idx="1228">
                  <c:v>6.4160630220344008E-4</c:v>
                </c:pt>
                <c:pt idx="1229">
                  <c:v>-1.2643465616734986E-2</c:v>
                </c:pt>
                <c:pt idx="1230">
                  <c:v>-1.4849050521671557E-2</c:v>
                </c:pt>
                <c:pt idx="1231">
                  <c:v>-1.2798557795831937E-2</c:v>
                </c:pt>
                <c:pt idx="1232">
                  <c:v>-2.3528783559849893E-2</c:v>
                </c:pt>
                <c:pt idx="1233">
                  <c:v>-4.7668312528738261E-3</c:v>
                </c:pt>
                <c:pt idx="1234">
                  <c:v>5.2861843016345205E-3</c:v>
                </c:pt>
                <c:pt idx="1235">
                  <c:v>-4.0343542763035013E-3</c:v>
                </c:pt>
                <c:pt idx="1236">
                  <c:v>-4.6754925480775823E-3</c:v>
                </c:pt>
                <c:pt idx="1237">
                  <c:v>-5.2714415601910957E-3</c:v>
                </c:pt>
                <c:pt idx="1238">
                  <c:v>1.1311462852798077E-2</c:v>
                </c:pt>
                <c:pt idx="1239">
                  <c:v>-7.7647706773099961E-3</c:v>
                </c:pt>
                <c:pt idx="1240">
                  <c:v>2.6457181701366288E-2</c:v>
                </c:pt>
                <c:pt idx="1241">
                  <c:v>4.5353820309498661E-3</c:v>
                </c:pt>
                <c:pt idx="1242">
                  <c:v>2.23154810902845E-2</c:v>
                </c:pt>
                <c:pt idx="1243">
                  <c:v>-1.4836286010059868E-3</c:v>
                </c:pt>
                <c:pt idx="1244">
                  <c:v>-7.3622433617292137E-4</c:v>
                </c:pt>
                <c:pt idx="1245">
                  <c:v>2.5310780597293256E-3</c:v>
                </c:pt>
                <c:pt idx="1246">
                  <c:v>1.4933523585835759E-2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C-4E00-9A1B-1C6D98D77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8995"/>
        <c:axId val="52722793"/>
      </c:lineChart>
      <c:dateAx>
        <c:axId val="2889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/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22793"/>
        <c:crosses val="autoZero"/>
        <c:auto val="1"/>
        <c:lblOffset val="100"/>
        <c:baseTimeUnit val="days"/>
        <c:majorUnit val="6"/>
        <c:majorTimeUnit val="months"/>
      </c:dateAx>
      <c:valAx>
        <c:axId val="52722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Log-retorno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89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Ibovespa — Log-retorno diário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Dados!$E$1</c:f>
              <c:strCache>
                <c:ptCount val="1"/>
                <c:pt idx="0">
                  <c:v>Ibovespa_LogRetorno</c:v>
                </c:pt>
              </c:strCache>
            </c:strRef>
          </c:tx>
          <c:spPr>
            <a:ln w="9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Dados!$A$2:$A$1248</c:f>
              <c:numCache>
                <c:formatCode>m/d/yy</c:formatCode>
                <c:ptCount val="1247"/>
                <c:pt idx="0">
                  <c:v>44440</c:v>
                </c:pt>
                <c:pt idx="1">
                  <c:v>44441</c:v>
                </c:pt>
                <c:pt idx="2">
                  <c:v>44442</c:v>
                </c:pt>
                <c:pt idx="3">
                  <c:v>44445</c:v>
                </c:pt>
                <c:pt idx="4">
                  <c:v>44447</c:v>
                </c:pt>
                <c:pt idx="5">
                  <c:v>44448</c:v>
                </c:pt>
                <c:pt idx="6">
                  <c:v>44449</c:v>
                </c:pt>
                <c:pt idx="7">
                  <c:v>44452</c:v>
                </c:pt>
                <c:pt idx="8">
                  <c:v>44453</c:v>
                </c:pt>
                <c:pt idx="9">
                  <c:v>44454</c:v>
                </c:pt>
                <c:pt idx="10">
                  <c:v>44455</c:v>
                </c:pt>
                <c:pt idx="11">
                  <c:v>44456</c:v>
                </c:pt>
                <c:pt idx="12">
                  <c:v>44459</c:v>
                </c:pt>
                <c:pt idx="13">
                  <c:v>44460</c:v>
                </c:pt>
                <c:pt idx="14">
                  <c:v>44461</c:v>
                </c:pt>
                <c:pt idx="15">
                  <c:v>44462</c:v>
                </c:pt>
                <c:pt idx="16">
                  <c:v>44463</c:v>
                </c:pt>
                <c:pt idx="17">
                  <c:v>44466</c:v>
                </c:pt>
                <c:pt idx="18">
                  <c:v>44467</c:v>
                </c:pt>
                <c:pt idx="19">
                  <c:v>44468</c:v>
                </c:pt>
                <c:pt idx="20">
                  <c:v>44469</c:v>
                </c:pt>
                <c:pt idx="21">
                  <c:v>44470</c:v>
                </c:pt>
                <c:pt idx="22">
                  <c:v>44473</c:v>
                </c:pt>
                <c:pt idx="23">
                  <c:v>44474</c:v>
                </c:pt>
                <c:pt idx="24">
                  <c:v>44475</c:v>
                </c:pt>
                <c:pt idx="25">
                  <c:v>44476</c:v>
                </c:pt>
                <c:pt idx="26">
                  <c:v>44477</c:v>
                </c:pt>
                <c:pt idx="27">
                  <c:v>44480</c:v>
                </c:pt>
                <c:pt idx="28">
                  <c:v>44482</c:v>
                </c:pt>
                <c:pt idx="29">
                  <c:v>44483</c:v>
                </c:pt>
                <c:pt idx="30">
                  <c:v>44484</c:v>
                </c:pt>
                <c:pt idx="31">
                  <c:v>44487</c:v>
                </c:pt>
                <c:pt idx="32">
                  <c:v>44488</c:v>
                </c:pt>
                <c:pt idx="33">
                  <c:v>44489</c:v>
                </c:pt>
                <c:pt idx="34">
                  <c:v>44490</c:v>
                </c:pt>
                <c:pt idx="35">
                  <c:v>44491</c:v>
                </c:pt>
                <c:pt idx="36">
                  <c:v>44494</c:v>
                </c:pt>
                <c:pt idx="37">
                  <c:v>44495</c:v>
                </c:pt>
                <c:pt idx="38">
                  <c:v>44496</c:v>
                </c:pt>
                <c:pt idx="39">
                  <c:v>44497</c:v>
                </c:pt>
                <c:pt idx="40">
                  <c:v>44498</c:v>
                </c:pt>
                <c:pt idx="41">
                  <c:v>44501</c:v>
                </c:pt>
                <c:pt idx="42">
                  <c:v>44503</c:v>
                </c:pt>
                <c:pt idx="43">
                  <c:v>44504</c:v>
                </c:pt>
                <c:pt idx="44">
                  <c:v>44505</c:v>
                </c:pt>
                <c:pt idx="45">
                  <c:v>44508</c:v>
                </c:pt>
                <c:pt idx="46">
                  <c:v>44509</c:v>
                </c:pt>
                <c:pt idx="47">
                  <c:v>44510</c:v>
                </c:pt>
                <c:pt idx="48">
                  <c:v>44511</c:v>
                </c:pt>
                <c:pt idx="49">
                  <c:v>44512</c:v>
                </c:pt>
                <c:pt idx="50">
                  <c:v>44516</c:v>
                </c:pt>
                <c:pt idx="51">
                  <c:v>44517</c:v>
                </c:pt>
                <c:pt idx="52">
                  <c:v>44518</c:v>
                </c:pt>
                <c:pt idx="53">
                  <c:v>44519</c:v>
                </c:pt>
                <c:pt idx="54">
                  <c:v>44522</c:v>
                </c:pt>
                <c:pt idx="55">
                  <c:v>44523</c:v>
                </c:pt>
                <c:pt idx="56">
                  <c:v>44524</c:v>
                </c:pt>
                <c:pt idx="57">
                  <c:v>44525</c:v>
                </c:pt>
                <c:pt idx="58">
                  <c:v>44526</c:v>
                </c:pt>
                <c:pt idx="59">
                  <c:v>44529</c:v>
                </c:pt>
                <c:pt idx="60">
                  <c:v>44530</c:v>
                </c:pt>
                <c:pt idx="61">
                  <c:v>44531</c:v>
                </c:pt>
                <c:pt idx="62">
                  <c:v>44532</c:v>
                </c:pt>
                <c:pt idx="63">
                  <c:v>44533</c:v>
                </c:pt>
                <c:pt idx="64">
                  <c:v>44536</c:v>
                </c:pt>
                <c:pt idx="65">
                  <c:v>44537</c:v>
                </c:pt>
                <c:pt idx="66">
                  <c:v>44538</c:v>
                </c:pt>
                <c:pt idx="67">
                  <c:v>44539</c:v>
                </c:pt>
                <c:pt idx="68">
                  <c:v>44540</c:v>
                </c:pt>
                <c:pt idx="69">
                  <c:v>44543</c:v>
                </c:pt>
                <c:pt idx="70">
                  <c:v>44544</c:v>
                </c:pt>
                <c:pt idx="71">
                  <c:v>44545</c:v>
                </c:pt>
                <c:pt idx="72">
                  <c:v>44546</c:v>
                </c:pt>
                <c:pt idx="73">
                  <c:v>44547</c:v>
                </c:pt>
                <c:pt idx="74">
                  <c:v>44550</c:v>
                </c:pt>
                <c:pt idx="75">
                  <c:v>44551</c:v>
                </c:pt>
                <c:pt idx="76">
                  <c:v>44552</c:v>
                </c:pt>
                <c:pt idx="77">
                  <c:v>44553</c:v>
                </c:pt>
                <c:pt idx="78">
                  <c:v>44557</c:v>
                </c:pt>
                <c:pt idx="79">
                  <c:v>44558</c:v>
                </c:pt>
                <c:pt idx="80">
                  <c:v>44559</c:v>
                </c:pt>
                <c:pt idx="81">
                  <c:v>44560</c:v>
                </c:pt>
                <c:pt idx="82">
                  <c:v>44564</c:v>
                </c:pt>
                <c:pt idx="83">
                  <c:v>44565</c:v>
                </c:pt>
                <c:pt idx="84">
                  <c:v>44566</c:v>
                </c:pt>
                <c:pt idx="85">
                  <c:v>44567</c:v>
                </c:pt>
                <c:pt idx="86">
                  <c:v>44568</c:v>
                </c:pt>
                <c:pt idx="87">
                  <c:v>44571</c:v>
                </c:pt>
                <c:pt idx="88">
                  <c:v>44572</c:v>
                </c:pt>
                <c:pt idx="89">
                  <c:v>44573</c:v>
                </c:pt>
                <c:pt idx="90">
                  <c:v>44574</c:v>
                </c:pt>
                <c:pt idx="91">
                  <c:v>44575</c:v>
                </c:pt>
                <c:pt idx="92">
                  <c:v>44578</c:v>
                </c:pt>
                <c:pt idx="93">
                  <c:v>44579</c:v>
                </c:pt>
                <c:pt idx="94">
                  <c:v>44580</c:v>
                </c:pt>
                <c:pt idx="95">
                  <c:v>44581</c:v>
                </c:pt>
                <c:pt idx="96">
                  <c:v>44582</c:v>
                </c:pt>
                <c:pt idx="97">
                  <c:v>44585</c:v>
                </c:pt>
                <c:pt idx="98">
                  <c:v>44586</c:v>
                </c:pt>
                <c:pt idx="99">
                  <c:v>44587</c:v>
                </c:pt>
                <c:pt idx="100">
                  <c:v>44588</c:v>
                </c:pt>
                <c:pt idx="101">
                  <c:v>44589</c:v>
                </c:pt>
                <c:pt idx="102">
                  <c:v>44592</c:v>
                </c:pt>
                <c:pt idx="103">
                  <c:v>44593</c:v>
                </c:pt>
                <c:pt idx="104">
                  <c:v>44594</c:v>
                </c:pt>
                <c:pt idx="105">
                  <c:v>44595</c:v>
                </c:pt>
                <c:pt idx="106">
                  <c:v>44596</c:v>
                </c:pt>
                <c:pt idx="107">
                  <c:v>44599</c:v>
                </c:pt>
                <c:pt idx="108">
                  <c:v>44600</c:v>
                </c:pt>
                <c:pt idx="109">
                  <c:v>44601</c:v>
                </c:pt>
                <c:pt idx="110">
                  <c:v>44602</c:v>
                </c:pt>
                <c:pt idx="111">
                  <c:v>44603</c:v>
                </c:pt>
                <c:pt idx="112">
                  <c:v>44606</c:v>
                </c:pt>
                <c:pt idx="113">
                  <c:v>44607</c:v>
                </c:pt>
                <c:pt idx="114">
                  <c:v>44608</c:v>
                </c:pt>
                <c:pt idx="115">
                  <c:v>44609</c:v>
                </c:pt>
                <c:pt idx="116">
                  <c:v>44610</c:v>
                </c:pt>
                <c:pt idx="117">
                  <c:v>44613</c:v>
                </c:pt>
                <c:pt idx="118">
                  <c:v>44614</c:v>
                </c:pt>
                <c:pt idx="119">
                  <c:v>44615</c:v>
                </c:pt>
                <c:pt idx="120">
                  <c:v>44616</c:v>
                </c:pt>
                <c:pt idx="121">
                  <c:v>44617</c:v>
                </c:pt>
                <c:pt idx="122">
                  <c:v>44622</c:v>
                </c:pt>
                <c:pt idx="123">
                  <c:v>44623</c:v>
                </c:pt>
                <c:pt idx="124">
                  <c:v>44624</c:v>
                </c:pt>
                <c:pt idx="125">
                  <c:v>44627</c:v>
                </c:pt>
                <c:pt idx="126">
                  <c:v>44628</c:v>
                </c:pt>
                <c:pt idx="127">
                  <c:v>44629</c:v>
                </c:pt>
                <c:pt idx="128">
                  <c:v>44630</c:v>
                </c:pt>
                <c:pt idx="129">
                  <c:v>44631</c:v>
                </c:pt>
                <c:pt idx="130">
                  <c:v>44634</c:v>
                </c:pt>
                <c:pt idx="131">
                  <c:v>44635</c:v>
                </c:pt>
                <c:pt idx="132">
                  <c:v>44636</c:v>
                </c:pt>
                <c:pt idx="133">
                  <c:v>44637</c:v>
                </c:pt>
                <c:pt idx="134">
                  <c:v>44638</c:v>
                </c:pt>
                <c:pt idx="135">
                  <c:v>44641</c:v>
                </c:pt>
                <c:pt idx="136">
                  <c:v>44642</c:v>
                </c:pt>
                <c:pt idx="137">
                  <c:v>44643</c:v>
                </c:pt>
                <c:pt idx="138">
                  <c:v>44644</c:v>
                </c:pt>
                <c:pt idx="139">
                  <c:v>44645</c:v>
                </c:pt>
                <c:pt idx="140">
                  <c:v>44648</c:v>
                </c:pt>
                <c:pt idx="141">
                  <c:v>44649</c:v>
                </c:pt>
                <c:pt idx="142">
                  <c:v>44650</c:v>
                </c:pt>
                <c:pt idx="143">
                  <c:v>44651</c:v>
                </c:pt>
                <c:pt idx="144">
                  <c:v>44652</c:v>
                </c:pt>
                <c:pt idx="145">
                  <c:v>44655</c:v>
                </c:pt>
                <c:pt idx="146">
                  <c:v>44656</c:v>
                </c:pt>
                <c:pt idx="147">
                  <c:v>44657</c:v>
                </c:pt>
                <c:pt idx="148">
                  <c:v>44658</c:v>
                </c:pt>
                <c:pt idx="149">
                  <c:v>44659</c:v>
                </c:pt>
                <c:pt idx="150">
                  <c:v>44662</c:v>
                </c:pt>
                <c:pt idx="151">
                  <c:v>44663</c:v>
                </c:pt>
                <c:pt idx="152">
                  <c:v>44664</c:v>
                </c:pt>
                <c:pt idx="153">
                  <c:v>44665</c:v>
                </c:pt>
                <c:pt idx="154">
                  <c:v>44669</c:v>
                </c:pt>
                <c:pt idx="155">
                  <c:v>44670</c:v>
                </c:pt>
                <c:pt idx="156">
                  <c:v>44671</c:v>
                </c:pt>
                <c:pt idx="157">
                  <c:v>44673</c:v>
                </c:pt>
                <c:pt idx="158">
                  <c:v>44676</c:v>
                </c:pt>
                <c:pt idx="159">
                  <c:v>44677</c:v>
                </c:pt>
                <c:pt idx="160">
                  <c:v>44678</c:v>
                </c:pt>
                <c:pt idx="161">
                  <c:v>44679</c:v>
                </c:pt>
                <c:pt idx="162">
                  <c:v>44680</c:v>
                </c:pt>
                <c:pt idx="163">
                  <c:v>44683</c:v>
                </c:pt>
                <c:pt idx="164">
                  <c:v>44684</c:v>
                </c:pt>
                <c:pt idx="165">
                  <c:v>44685</c:v>
                </c:pt>
                <c:pt idx="166">
                  <c:v>44686</c:v>
                </c:pt>
                <c:pt idx="167">
                  <c:v>44687</c:v>
                </c:pt>
                <c:pt idx="168">
                  <c:v>44690</c:v>
                </c:pt>
                <c:pt idx="169">
                  <c:v>44691</c:v>
                </c:pt>
                <c:pt idx="170">
                  <c:v>44692</c:v>
                </c:pt>
                <c:pt idx="171">
                  <c:v>44693</c:v>
                </c:pt>
                <c:pt idx="172">
                  <c:v>44694</c:v>
                </c:pt>
                <c:pt idx="173">
                  <c:v>44697</c:v>
                </c:pt>
                <c:pt idx="174">
                  <c:v>44698</c:v>
                </c:pt>
                <c:pt idx="175">
                  <c:v>44699</c:v>
                </c:pt>
                <c:pt idx="176">
                  <c:v>44700</c:v>
                </c:pt>
                <c:pt idx="177">
                  <c:v>44701</c:v>
                </c:pt>
                <c:pt idx="178">
                  <c:v>44704</c:v>
                </c:pt>
                <c:pt idx="179">
                  <c:v>44705</c:v>
                </c:pt>
                <c:pt idx="180">
                  <c:v>44706</c:v>
                </c:pt>
                <c:pt idx="181">
                  <c:v>44707</c:v>
                </c:pt>
                <c:pt idx="182">
                  <c:v>44708</c:v>
                </c:pt>
                <c:pt idx="183">
                  <c:v>44711</c:v>
                </c:pt>
                <c:pt idx="184">
                  <c:v>44712</c:v>
                </c:pt>
                <c:pt idx="185">
                  <c:v>44713</c:v>
                </c:pt>
                <c:pt idx="186">
                  <c:v>44714</c:v>
                </c:pt>
                <c:pt idx="187">
                  <c:v>44715</c:v>
                </c:pt>
                <c:pt idx="188">
                  <c:v>44718</c:v>
                </c:pt>
                <c:pt idx="189">
                  <c:v>44719</c:v>
                </c:pt>
                <c:pt idx="190">
                  <c:v>44720</c:v>
                </c:pt>
                <c:pt idx="191">
                  <c:v>44721</c:v>
                </c:pt>
                <c:pt idx="192">
                  <c:v>44722</c:v>
                </c:pt>
                <c:pt idx="193">
                  <c:v>44725</c:v>
                </c:pt>
                <c:pt idx="194">
                  <c:v>44726</c:v>
                </c:pt>
                <c:pt idx="195">
                  <c:v>44727</c:v>
                </c:pt>
                <c:pt idx="196">
                  <c:v>44729</c:v>
                </c:pt>
                <c:pt idx="197">
                  <c:v>44732</c:v>
                </c:pt>
                <c:pt idx="198">
                  <c:v>44733</c:v>
                </c:pt>
                <c:pt idx="199">
                  <c:v>44734</c:v>
                </c:pt>
                <c:pt idx="200">
                  <c:v>44735</c:v>
                </c:pt>
                <c:pt idx="201">
                  <c:v>44736</c:v>
                </c:pt>
                <c:pt idx="202">
                  <c:v>44739</c:v>
                </c:pt>
                <c:pt idx="203">
                  <c:v>44740</c:v>
                </c:pt>
                <c:pt idx="204">
                  <c:v>44741</c:v>
                </c:pt>
                <c:pt idx="205">
                  <c:v>44742</c:v>
                </c:pt>
                <c:pt idx="206">
                  <c:v>44743</c:v>
                </c:pt>
                <c:pt idx="207">
                  <c:v>44746</c:v>
                </c:pt>
                <c:pt idx="208">
                  <c:v>44747</c:v>
                </c:pt>
                <c:pt idx="209">
                  <c:v>44748</c:v>
                </c:pt>
                <c:pt idx="210">
                  <c:v>44749</c:v>
                </c:pt>
                <c:pt idx="211">
                  <c:v>44750</c:v>
                </c:pt>
                <c:pt idx="212">
                  <c:v>44753</c:v>
                </c:pt>
                <c:pt idx="213">
                  <c:v>44754</c:v>
                </c:pt>
                <c:pt idx="214">
                  <c:v>44755</c:v>
                </c:pt>
                <c:pt idx="215">
                  <c:v>44756</c:v>
                </c:pt>
                <c:pt idx="216">
                  <c:v>44757</c:v>
                </c:pt>
                <c:pt idx="217">
                  <c:v>44760</c:v>
                </c:pt>
                <c:pt idx="218">
                  <c:v>44761</c:v>
                </c:pt>
                <c:pt idx="219">
                  <c:v>44762</c:v>
                </c:pt>
                <c:pt idx="220">
                  <c:v>44763</c:v>
                </c:pt>
                <c:pt idx="221">
                  <c:v>44764</c:v>
                </c:pt>
                <c:pt idx="222">
                  <c:v>44767</c:v>
                </c:pt>
                <c:pt idx="223">
                  <c:v>44768</c:v>
                </c:pt>
                <c:pt idx="224">
                  <c:v>44769</c:v>
                </c:pt>
                <c:pt idx="225">
                  <c:v>44770</c:v>
                </c:pt>
                <c:pt idx="226">
                  <c:v>44771</c:v>
                </c:pt>
                <c:pt idx="227">
                  <c:v>44774</c:v>
                </c:pt>
                <c:pt idx="228">
                  <c:v>44775</c:v>
                </c:pt>
                <c:pt idx="229">
                  <c:v>44776</c:v>
                </c:pt>
                <c:pt idx="230">
                  <c:v>44777</c:v>
                </c:pt>
                <c:pt idx="231">
                  <c:v>44778</c:v>
                </c:pt>
                <c:pt idx="232">
                  <c:v>44781</c:v>
                </c:pt>
                <c:pt idx="233">
                  <c:v>44782</c:v>
                </c:pt>
                <c:pt idx="234">
                  <c:v>44783</c:v>
                </c:pt>
                <c:pt idx="235">
                  <c:v>44784</c:v>
                </c:pt>
                <c:pt idx="236">
                  <c:v>44785</c:v>
                </c:pt>
                <c:pt idx="237">
                  <c:v>44788</c:v>
                </c:pt>
                <c:pt idx="238">
                  <c:v>44789</c:v>
                </c:pt>
                <c:pt idx="239">
                  <c:v>44790</c:v>
                </c:pt>
                <c:pt idx="240">
                  <c:v>44791</c:v>
                </c:pt>
                <c:pt idx="241">
                  <c:v>44792</c:v>
                </c:pt>
                <c:pt idx="242">
                  <c:v>44795</c:v>
                </c:pt>
                <c:pt idx="243">
                  <c:v>44796</c:v>
                </c:pt>
                <c:pt idx="244">
                  <c:v>44797</c:v>
                </c:pt>
                <c:pt idx="245">
                  <c:v>44798</c:v>
                </c:pt>
                <c:pt idx="246">
                  <c:v>44799</c:v>
                </c:pt>
                <c:pt idx="247">
                  <c:v>44802</c:v>
                </c:pt>
                <c:pt idx="248">
                  <c:v>44803</c:v>
                </c:pt>
                <c:pt idx="249">
                  <c:v>44804</c:v>
                </c:pt>
                <c:pt idx="250">
                  <c:v>44805</c:v>
                </c:pt>
                <c:pt idx="251">
                  <c:v>44806</c:v>
                </c:pt>
                <c:pt idx="252">
                  <c:v>44809</c:v>
                </c:pt>
                <c:pt idx="253">
                  <c:v>44810</c:v>
                </c:pt>
                <c:pt idx="254">
                  <c:v>44812</c:v>
                </c:pt>
                <c:pt idx="255">
                  <c:v>44813</c:v>
                </c:pt>
                <c:pt idx="256">
                  <c:v>44816</c:v>
                </c:pt>
                <c:pt idx="257">
                  <c:v>44817</c:v>
                </c:pt>
                <c:pt idx="258">
                  <c:v>44818</c:v>
                </c:pt>
                <c:pt idx="259">
                  <c:v>44819</c:v>
                </c:pt>
                <c:pt idx="260">
                  <c:v>44820</c:v>
                </c:pt>
                <c:pt idx="261">
                  <c:v>44823</c:v>
                </c:pt>
                <c:pt idx="262">
                  <c:v>44824</c:v>
                </c:pt>
                <c:pt idx="263">
                  <c:v>44825</c:v>
                </c:pt>
                <c:pt idx="264">
                  <c:v>44826</c:v>
                </c:pt>
                <c:pt idx="265">
                  <c:v>44827</c:v>
                </c:pt>
                <c:pt idx="266">
                  <c:v>44830</c:v>
                </c:pt>
                <c:pt idx="267">
                  <c:v>44831</c:v>
                </c:pt>
                <c:pt idx="268">
                  <c:v>44832</c:v>
                </c:pt>
                <c:pt idx="269">
                  <c:v>44833</c:v>
                </c:pt>
                <c:pt idx="270">
                  <c:v>44834</c:v>
                </c:pt>
                <c:pt idx="271">
                  <c:v>44837</c:v>
                </c:pt>
                <c:pt idx="272">
                  <c:v>44838</c:v>
                </c:pt>
                <c:pt idx="273">
                  <c:v>44839</c:v>
                </c:pt>
                <c:pt idx="274">
                  <c:v>44840</c:v>
                </c:pt>
                <c:pt idx="275">
                  <c:v>44841</c:v>
                </c:pt>
                <c:pt idx="276">
                  <c:v>44844</c:v>
                </c:pt>
                <c:pt idx="277">
                  <c:v>44845</c:v>
                </c:pt>
                <c:pt idx="278">
                  <c:v>44847</c:v>
                </c:pt>
                <c:pt idx="279">
                  <c:v>44848</c:v>
                </c:pt>
                <c:pt idx="280">
                  <c:v>44851</c:v>
                </c:pt>
                <c:pt idx="281">
                  <c:v>44852</c:v>
                </c:pt>
                <c:pt idx="282">
                  <c:v>44853</c:v>
                </c:pt>
                <c:pt idx="283">
                  <c:v>44854</c:v>
                </c:pt>
                <c:pt idx="284">
                  <c:v>44855</c:v>
                </c:pt>
                <c:pt idx="285">
                  <c:v>44858</c:v>
                </c:pt>
                <c:pt idx="286">
                  <c:v>44859</c:v>
                </c:pt>
                <c:pt idx="287">
                  <c:v>44860</c:v>
                </c:pt>
                <c:pt idx="288">
                  <c:v>44861</c:v>
                </c:pt>
                <c:pt idx="289">
                  <c:v>44862</c:v>
                </c:pt>
                <c:pt idx="290">
                  <c:v>44865</c:v>
                </c:pt>
                <c:pt idx="291">
                  <c:v>44866</c:v>
                </c:pt>
                <c:pt idx="292">
                  <c:v>44868</c:v>
                </c:pt>
                <c:pt idx="293">
                  <c:v>44869</c:v>
                </c:pt>
                <c:pt idx="294">
                  <c:v>44872</c:v>
                </c:pt>
                <c:pt idx="295">
                  <c:v>44873</c:v>
                </c:pt>
                <c:pt idx="296">
                  <c:v>44874</c:v>
                </c:pt>
                <c:pt idx="297">
                  <c:v>44875</c:v>
                </c:pt>
                <c:pt idx="298">
                  <c:v>44876</c:v>
                </c:pt>
                <c:pt idx="299">
                  <c:v>44879</c:v>
                </c:pt>
                <c:pt idx="300">
                  <c:v>44881</c:v>
                </c:pt>
                <c:pt idx="301">
                  <c:v>44882</c:v>
                </c:pt>
                <c:pt idx="302">
                  <c:v>44883</c:v>
                </c:pt>
                <c:pt idx="303">
                  <c:v>44886</c:v>
                </c:pt>
                <c:pt idx="304">
                  <c:v>44887</c:v>
                </c:pt>
                <c:pt idx="305">
                  <c:v>44888</c:v>
                </c:pt>
                <c:pt idx="306">
                  <c:v>44889</c:v>
                </c:pt>
                <c:pt idx="307">
                  <c:v>44890</c:v>
                </c:pt>
                <c:pt idx="308">
                  <c:v>44893</c:v>
                </c:pt>
                <c:pt idx="309">
                  <c:v>44894</c:v>
                </c:pt>
                <c:pt idx="310">
                  <c:v>44895</c:v>
                </c:pt>
                <c:pt idx="311">
                  <c:v>44896</c:v>
                </c:pt>
                <c:pt idx="312">
                  <c:v>44897</c:v>
                </c:pt>
                <c:pt idx="313">
                  <c:v>44900</c:v>
                </c:pt>
                <c:pt idx="314">
                  <c:v>44901</c:v>
                </c:pt>
                <c:pt idx="315">
                  <c:v>44902</c:v>
                </c:pt>
                <c:pt idx="316">
                  <c:v>44903</c:v>
                </c:pt>
                <c:pt idx="317">
                  <c:v>44904</c:v>
                </c:pt>
                <c:pt idx="318">
                  <c:v>44907</c:v>
                </c:pt>
                <c:pt idx="319">
                  <c:v>44908</c:v>
                </c:pt>
                <c:pt idx="320">
                  <c:v>44909</c:v>
                </c:pt>
                <c:pt idx="321">
                  <c:v>44910</c:v>
                </c:pt>
                <c:pt idx="322">
                  <c:v>44911</c:v>
                </c:pt>
                <c:pt idx="323">
                  <c:v>44914</c:v>
                </c:pt>
                <c:pt idx="324">
                  <c:v>44915</c:v>
                </c:pt>
                <c:pt idx="325">
                  <c:v>44916</c:v>
                </c:pt>
                <c:pt idx="326">
                  <c:v>44917</c:v>
                </c:pt>
                <c:pt idx="327">
                  <c:v>44918</c:v>
                </c:pt>
                <c:pt idx="328">
                  <c:v>44921</c:v>
                </c:pt>
                <c:pt idx="329">
                  <c:v>44922</c:v>
                </c:pt>
                <c:pt idx="330">
                  <c:v>44923</c:v>
                </c:pt>
                <c:pt idx="331">
                  <c:v>44924</c:v>
                </c:pt>
                <c:pt idx="332">
                  <c:v>44928</c:v>
                </c:pt>
                <c:pt idx="333">
                  <c:v>44929</c:v>
                </c:pt>
                <c:pt idx="334">
                  <c:v>44930</c:v>
                </c:pt>
                <c:pt idx="335">
                  <c:v>44931</c:v>
                </c:pt>
                <c:pt idx="336">
                  <c:v>44932</c:v>
                </c:pt>
                <c:pt idx="337">
                  <c:v>44935</c:v>
                </c:pt>
                <c:pt idx="338">
                  <c:v>44936</c:v>
                </c:pt>
                <c:pt idx="339">
                  <c:v>44937</c:v>
                </c:pt>
                <c:pt idx="340">
                  <c:v>44938</c:v>
                </c:pt>
                <c:pt idx="341">
                  <c:v>44939</c:v>
                </c:pt>
                <c:pt idx="342">
                  <c:v>44942</c:v>
                </c:pt>
                <c:pt idx="343">
                  <c:v>44943</c:v>
                </c:pt>
                <c:pt idx="344">
                  <c:v>44944</c:v>
                </c:pt>
                <c:pt idx="345">
                  <c:v>44945</c:v>
                </c:pt>
                <c:pt idx="346">
                  <c:v>44946</c:v>
                </c:pt>
                <c:pt idx="347">
                  <c:v>44949</c:v>
                </c:pt>
                <c:pt idx="348">
                  <c:v>44950</c:v>
                </c:pt>
                <c:pt idx="349">
                  <c:v>44951</c:v>
                </c:pt>
                <c:pt idx="350">
                  <c:v>44952</c:v>
                </c:pt>
                <c:pt idx="351">
                  <c:v>44953</c:v>
                </c:pt>
                <c:pt idx="352">
                  <c:v>44956</c:v>
                </c:pt>
                <c:pt idx="353">
                  <c:v>44957</c:v>
                </c:pt>
                <c:pt idx="354">
                  <c:v>44958</c:v>
                </c:pt>
                <c:pt idx="355">
                  <c:v>44959</c:v>
                </c:pt>
                <c:pt idx="356">
                  <c:v>44960</c:v>
                </c:pt>
                <c:pt idx="357">
                  <c:v>44963</c:v>
                </c:pt>
                <c:pt idx="358">
                  <c:v>44964</c:v>
                </c:pt>
                <c:pt idx="359">
                  <c:v>44965</c:v>
                </c:pt>
                <c:pt idx="360">
                  <c:v>44966</c:v>
                </c:pt>
                <c:pt idx="361">
                  <c:v>44967</c:v>
                </c:pt>
                <c:pt idx="362">
                  <c:v>44970</c:v>
                </c:pt>
                <c:pt idx="363">
                  <c:v>44971</c:v>
                </c:pt>
                <c:pt idx="364">
                  <c:v>44972</c:v>
                </c:pt>
                <c:pt idx="365">
                  <c:v>44973</c:v>
                </c:pt>
                <c:pt idx="366">
                  <c:v>44974</c:v>
                </c:pt>
                <c:pt idx="367">
                  <c:v>44979</c:v>
                </c:pt>
                <c:pt idx="368">
                  <c:v>44980</c:v>
                </c:pt>
                <c:pt idx="369">
                  <c:v>44981</c:v>
                </c:pt>
                <c:pt idx="370">
                  <c:v>44984</c:v>
                </c:pt>
                <c:pt idx="371">
                  <c:v>44985</c:v>
                </c:pt>
                <c:pt idx="372">
                  <c:v>44986</c:v>
                </c:pt>
                <c:pt idx="373">
                  <c:v>44987</c:v>
                </c:pt>
                <c:pt idx="374">
                  <c:v>44988</c:v>
                </c:pt>
                <c:pt idx="375">
                  <c:v>44991</c:v>
                </c:pt>
                <c:pt idx="376">
                  <c:v>44992</c:v>
                </c:pt>
                <c:pt idx="377">
                  <c:v>44993</c:v>
                </c:pt>
                <c:pt idx="378">
                  <c:v>44994</c:v>
                </c:pt>
                <c:pt idx="379">
                  <c:v>44995</c:v>
                </c:pt>
                <c:pt idx="380">
                  <c:v>44998</c:v>
                </c:pt>
                <c:pt idx="381">
                  <c:v>44999</c:v>
                </c:pt>
                <c:pt idx="382">
                  <c:v>45000</c:v>
                </c:pt>
                <c:pt idx="383">
                  <c:v>45001</c:v>
                </c:pt>
                <c:pt idx="384">
                  <c:v>45002</c:v>
                </c:pt>
                <c:pt idx="385">
                  <c:v>45005</c:v>
                </c:pt>
                <c:pt idx="386">
                  <c:v>45006</c:v>
                </c:pt>
                <c:pt idx="387">
                  <c:v>45007</c:v>
                </c:pt>
                <c:pt idx="388">
                  <c:v>45008</c:v>
                </c:pt>
                <c:pt idx="389">
                  <c:v>45009</c:v>
                </c:pt>
                <c:pt idx="390">
                  <c:v>45012</c:v>
                </c:pt>
                <c:pt idx="391">
                  <c:v>45013</c:v>
                </c:pt>
                <c:pt idx="392">
                  <c:v>45014</c:v>
                </c:pt>
                <c:pt idx="393">
                  <c:v>45015</c:v>
                </c:pt>
                <c:pt idx="394">
                  <c:v>45016</c:v>
                </c:pt>
                <c:pt idx="395">
                  <c:v>45019</c:v>
                </c:pt>
                <c:pt idx="396">
                  <c:v>45020</c:v>
                </c:pt>
                <c:pt idx="397">
                  <c:v>45021</c:v>
                </c:pt>
                <c:pt idx="398">
                  <c:v>45022</c:v>
                </c:pt>
                <c:pt idx="399">
                  <c:v>45026</c:v>
                </c:pt>
                <c:pt idx="400">
                  <c:v>45027</c:v>
                </c:pt>
                <c:pt idx="401">
                  <c:v>45028</c:v>
                </c:pt>
                <c:pt idx="402">
                  <c:v>45029</c:v>
                </c:pt>
                <c:pt idx="403">
                  <c:v>45030</c:v>
                </c:pt>
                <c:pt idx="404">
                  <c:v>45033</c:v>
                </c:pt>
                <c:pt idx="405">
                  <c:v>45034</c:v>
                </c:pt>
                <c:pt idx="406">
                  <c:v>45035</c:v>
                </c:pt>
                <c:pt idx="407">
                  <c:v>45036</c:v>
                </c:pt>
                <c:pt idx="408">
                  <c:v>45040</c:v>
                </c:pt>
                <c:pt idx="409">
                  <c:v>45041</c:v>
                </c:pt>
                <c:pt idx="410">
                  <c:v>45042</c:v>
                </c:pt>
                <c:pt idx="411">
                  <c:v>45043</c:v>
                </c:pt>
                <c:pt idx="412">
                  <c:v>45044</c:v>
                </c:pt>
                <c:pt idx="413">
                  <c:v>45048</c:v>
                </c:pt>
                <c:pt idx="414">
                  <c:v>45049</c:v>
                </c:pt>
                <c:pt idx="415">
                  <c:v>45050</c:v>
                </c:pt>
                <c:pt idx="416">
                  <c:v>45051</c:v>
                </c:pt>
                <c:pt idx="417">
                  <c:v>45054</c:v>
                </c:pt>
                <c:pt idx="418">
                  <c:v>45055</c:v>
                </c:pt>
                <c:pt idx="419">
                  <c:v>45056</c:v>
                </c:pt>
                <c:pt idx="420">
                  <c:v>45057</c:v>
                </c:pt>
                <c:pt idx="421">
                  <c:v>45058</c:v>
                </c:pt>
                <c:pt idx="422">
                  <c:v>45061</c:v>
                </c:pt>
                <c:pt idx="423">
                  <c:v>45062</c:v>
                </c:pt>
                <c:pt idx="424">
                  <c:v>45063</c:v>
                </c:pt>
                <c:pt idx="425">
                  <c:v>45064</c:v>
                </c:pt>
                <c:pt idx="426">
                  <c:v>45065</c:v>
                </c:pt>
                <c:pt idx="427">
                  <c:v>45068</c:v>
                </c:pt>
                <c:pt idx="428">
                  <c:v>45069</c:v>
                </c:pt>
                <c:pt idx="429">
                  <c:v>45070</c:v>
                </c:pt>
                <c:pt idx="430">
                  <c:v>45071</c:v>
                </c:pt>
                <c:pt idx="431">
                  <c:v>45072</c:v>
                </c:pt>
                <c:pt idx="432">
                  <c:v>45075</c:v>
                </c:pt>
                <c:pt idx="433">
                  <c:v>45076</c:v>
                </c:pt>
                <c:pt idx="434">
                  <c:v>45077</c:v>
                </c:pt>
                <c:pt idx="435">
                  <c:v>45078</c:v>
                </c:pt>
                <c:pt idx="436">
                  <c:v>45079</c:v>
                </c:pt>
                <c:pt idx="437">
                  <c:v>45082</c:v>
                </c:pt>
                <c:pt idx="438">
                  <c:v>45083</c:v>
                </c:pt>
                <c:pt idx="439">
                  <c:v>45084</c:v>
                </c:pt>
                <c:pt idx="440">
                  <c:v>45086</c:v>
                </c:pt>
                <c:pt idx="441">
                  <c:v>45089</c:v>
                </c:pt>
                <c:pt idx="442">
                  <c:v>45090</c:v>
                </c:pt>
                <c:pt idx="443">
                  <c:v>45091</c:v>
                </c:pt>
                <c:pt idx="444">
                  <c:v>45092</c:v>
                </c:pt>
                <c:pt idx="445">
                  <c:v>45093</c:v>
                </c:pt>
                <c:pt idx="446">
                  <c:v>45096</c:v>
                </c:pt>
                <c:pt idx="447">
                  <c:v>45097</c:v>
                </c:pt>
                <c:pt idx="448">
                  <c:v>45098</c:v>
                </c:pt>
                <c:pt idx="449">
                  <c:v>45099</c:v>
                </c:pt>
                <c:pt idx="450">
                  <c:v>45100</c:v>
                </c:pt>
                <c:pt idx="451">
                  <c:v>45103</c:v>
                </c:pt>
                <c:pt idx="452">
                  <c:v>45104</c:v>
                </c:pt>
                <c:pt idx="453">
                  <c:v>45105</c:v>
                </c:pt>
                <c:pt idx="454">
                  <c:v>45106</c:v>
                </c:pt>
                <c:pt idx="455">
                  <c:v>45107</c:v>
                </c:pt>
                <c:pt idx="456">
                  <c:v>45110</c:v>
                </c:pt>
                <c:pt idx="457">
                  <c:v>45111</c:v>
                </c:pt>
                <c:pt idx="458">
                  <c:v>45112</c:v>
                </c:pt>
                <c:pt idx="459">
                  <c:v>45113</c:v>
                </c:pt>
                <c:pt idx="460">
                  <c:v>45114</c:v>
                </c:pt>
                <c:pt idx="461">
                  <c:v>45117</c:v>
                </c:pt>
                <c:pt idx="462">
                  <c:v>45118</c:v>
                </c:pt>
                <c:pt idx="463">
                  <c:v>45119</c:v>
                </c:pt>
                <c:pt idx="464">
                  <c:v>45120</c:v>
                </c:pt>
                <c:pt idx="465">
                  <c:v>45121</c:v>
                </c:pt>
                <c:pt idx="466">
                  <c:v>45124</c:v>
                </c:pt>
                <c:pt idx="467">
                  <c:v>45125</c:v>
                </c:pt>
                <c:pt idx="468">
                  <c:v>45126</c:v>
                </c:pt>
                <c:pt idx="469">
                  <c:v>45127</c:v>
                </c:pt>
                <c:pt idx="470">
                  <c:v>45128</c:v>
                </c:pt>
                <c:pt idx="471">
                  <c:v>45131</c:v>
                </c:pt>
                <c:pt idx="472">
                  <c:v>45132</c:v>
                </c:pt>
                <c:pt idx="473">
                  <c:v>45133</c:v>
                </c:pt>
                <c:pt idx="474">
                  <c:v>45134</c:v>
                </c:pt>
                <c:pt idx="475">
                  <c:v>45135</c:v>
                </c:pt>
                <c:pt idx="476">
                  <c:v>45138</c:v>
                </c:pt>
                <c:pt idx="477">
                  <c:v>45139</c:v>
                </c:pt>
                <c:pt idx="478">
                  <c:v>45140</c:v>
                </c:pt>
                <c:pt idx="479">
                  <c:v>45141</c:v>
                </c:pt>
                <c:pt idx="480">
                  <c:v>45142</c:v>
                </c:pt>
                <c:pt idx="481">
                  <c:v>45145</c:v>
                </c:pt>
                <c:pt idx="482">
                  <c:v>45146</c:v>
                </c:pt>
                <c:pt idx="483">
                  <c:v>45147</c:v>
                </c:pt>
                <c:pt idx="484">
                  <c:v>45148</c:v>
                </c:pt>
                <c:pt idx="485">
                  <c:v>45149</c:v>
                </c:pt>
                <c:pt idx="486">
                  <c:v>45152</c:v>
                </c:pt>
                <c:pt idx="487">
                  <c:v>45153</c:v>
                </c:pt>
                <c:pt idx="488">
                  <c:v>45154</c:v>
                </c:pt>
                <c:pt idx="489">
                  <c:v>45155</c:v>
                </c:pt>
                <c:pt idx="490">
                  <c:v>45156</c:v>
                </c:pt>
                <c:pt idx="491">
                  <c:v>45159</c:v>
                </c:pt>
                <c:pt idx="492">
                  <c:v>45160</c:v>
                </c:pt>
                <c:pt idx="493">
                  <c:v>45161</c:v>
                </c:pt>
                <c:pt idx="494">
                  <c:v>45162</c:v>
                </c:pt>
                <c:pt idx="495">
                  <c:v>45163</c:v>
                </c:pt>
                <c:pt idx="496">
                  <c:v>45166</c:v>
                </c:pt>
                <c:pt idx="497">
                  <c:v>45167</c:v>
                </c:pt>
                <c:pt idx="498">
                  <c:v>45168</c:v>
                </c:pt>
                <c:pt idx="499">
                  <c:v>45169</c:v>
                </c:pt>
                <c:pt idx="500">
                  <c:v>45170</c:v>
                </c:pt>
                <c:pt idx="501">
                  <c:v>45173</c:v>
                </c:pt>
                <c:pt idx="502">
                  <c:v>45174</c:v>
                </c:pt>
                <c:pt idx="503">
                  <c:v>45175</c:v>
                </c:pt>
                <c:pt idx="504">
                  <c:v>45177</c:v>
                </c:pt>
                <c:pt idx="505">
                  <c:v>45180</c:v>
                </c:pt>
                <c:pt idx="506">
                  <c:v>45181</c:v>
                </c:pt>
                <c:pt idx="507">
                  <c:v>45182</c:v>
                </c:pt>
                <c:pt idx="508">
                  <c:v>45183</c:v>
                </c:pt>
                <c:pt idx="509">
                  <c:v>45184</c:v>
                </c:pt>
                <c:pt idx="510">
                  <c:v>45187</c:v>
                </c:pt>
                <c:pt idx="511">
                  <c:v>45188</c:v>
                </c:pt>
                <c:pt idx="512">
                  <c:v>45189</c:v>
                </c:pt>
                <c:pt idx="513">
                  <c:v>45190</c:v>
                </c:pt>
                <c:pt idx="514">
                  <c:v>45191</c:v>
                </c:pt>
                <c:pt idx="515">
                  <c:v>45194</c:v>
                </c:pt>
                <c:pt idx="516">
                  <c:v>45195</c:v>
                </c:pt>
                <c:pt idx="517">
                  <c:v>45196</c:v>
                </c:pt>
                <c:pt idx="518">
                  <c:v>45197</c:v>
                </c:pt>
                <c:pt idx="519">
                  <c:v>45198</c:v>
                </c:pt>
                <c:pt idx="520">
                  <c:v>45201</c:v>
                </c:pt>
                <c:pt idx="521">
                  <c:v>45202</c:v>
                </c:pt>
                <c:pt idx="522">
                  <c:v>45203</c:v>
                </c:pt>
                <c:pt idx="523">
                  <c:v>45204</c:v>
                </c:pt>
                <c:pt idx="524">
                  <c:v>45205</c:v>
                </c:pt>
                <c:pt idx="525">
                  <c:v>45208</c:v>
                </c:pt>
                <c:pt idx="526">
                  <c:v>45209</c:v>
                </c:pt>
                <c:pt idx="527">
                  <c:v>45210</c:v>
                </c:pt>
                <c:pt idx="528">
                  <c:v>45212</c:v>
                </c:pt>
                <c:pt idx="529">
                  <c:v>45215</c:v>
                </c:pt>
                <c:pt idx="530">
                  <c:v>45216</c:v>
                </c:pt>
                <c:pt idx="531">
                  <c:v>45217</c:v>
                </c:pt>
                <c:pt idx="532">
                  <c:v>45218</c:v>
                </c:pt>
                <c:pt idx="533">
                  <c:v>45219</c:v>
                </c:pt>
                <c:pt idx="534">
                  <c:v>45222</c:v>
                </c:pt>
                <c:pt idx="535">
                  <c:v>45223</c:v>
                </c:pt>
                <c:pt idx="536">
                  <c:v>45224</c:v>
                </c:pt>
                <c:pt idx="537">
                  <c:v>45225</c:v>
                </c:pt>
                <c:pt idx="538">
                  <c:v>45226</c:v>
                </c:pt>
                <c:pt idx="539">
                  <c:v>45229</c:v>
                </c:pt>
                <c:pt idx="540">
                  <c:v>45230</c:v>
                </c:pt>
                <c:pt idx="541">
                  <c:v>45231</c:v>
                </c:pt>
                <c:pt idx="542">
                  <c:v>45233</c:v>
                </c:pt>
                <c:pt idx="543">
                  <c:v>45236</c:v>
                </c:pt>
                <c:pt idx="544">
                  <c:v>45237</c:v>
                </c:pt>
                <c:pt idx="545">
                  <c:v>45238</c:v>
                </c:pt>
                <c:pt idx="546">
                  <c:v>45239</c:v>
                </c:pt>
                <c:pt idx="547">
                  <c:v>45240</c:v>
                </c:pt>
                <c:pt idx="548">
                  <c:v>45243</c:v>
                </c:pt>
                <c:pt idx="549">
                  <c:v>45244</c:v>
                </c:pt>
                <c:pt idx="550">
                  <c:v>45246</c:v>
                </c:pt>
                <c:pt idx="551">
                  <c:v>45247</c:v>
                </c:pt>
                <c:pt idx="552">
                  <c:v>45250</c:v>
                </c:pt>
                <c:pt idx="553">
                  <c:v>45251</c:v>
                </c:pt>
                <c:pt idx="554">
                  <c:v>45252</c:v>
                </c:pt>
                <c:pt idx="555">
                  <c:v>45253</c:v>
                </c:pt>
                <c:pt idx="556">
                  <c:v>45254</c:v>
                </c:pt>
                <c:pt idx="557">
                  <c:v>45257</c:v>
                </c:pt>
                <c:pt idx="558">
                  <c:v>45258</c:v>
                </c:pt>
                <c:pt idx="559">
                  <c:v>45259</c:v>
                </c:pt>
                <c:pt idx="560">
                  <c:v>45260</c:v>
                </c:pt>
                <c:pt idx="561">
                  <c:v>45261</c:v>
                </c:pt>
                <c:pt idx="562">
                  <c:v>45264</c:v>
                </c:pt>
                <c:pt idx="563">
                  <c:v>45265</c:v>
                </c:pt>
                <c:pt idx="564">
                  <c:v>45266</c:v>
                </c:pt>
                <c:pt idx="565">
                  <c:v>45267</c:v>
                </c:pt>
                <c:pt idx="566">
                  <c:v>45268</c:v>
                </c:pt>
                <c:pt idx="567">
                  <c:v>45271</c:v>
                </c:pt>
                <c:pt idx="568">
                  <c:v>45272</c:v>
                </c:pt>
                <c:pt idx="569">
                  <c:v>45273</c:v>
                </c:pt>
                <c:pt idx="570">
                  <c:v>45274</c:v>
                </c:pt>
                <c:pt idx="571">
                  <c:v>45275</c:v>
                </c:pt>
                <c:pt idx="572">
                  <c:v>45278</c:v>
                </c:pt>
                <c:pt idx="573">
                  <c:v>45279</c:v>
                </c:pt>
                <c:pt idx="574">
                  <c:v>45280</c:v>
                </c:pt>
                <c:pt idx="575">
                  <c:v>45281</c:v>
                </c:pt>
                <c:pt idx="576">
                  <c:v>45282</c:v>
                </c:pt>
                <c:pt idx="577">
                  <c:v>45286</c:v>
                </c:pt>
                <c:pt idx="578">
                  <c:v>45287</c:v>
                </c:pt>
                <c:pt idx="579">
                  <c:v>45288</c:v>
                </c:pt>
                <c:pt idx="580">
                  <c:v>45293</c:v>
                </c:pt>
                <c:pt idx="581">
                  <c:v>45294</c:v>
                </c:pt>
                <c:pt idx="582">
                  <c:v>45295</c:v>
                </c:pt>
                <c:pt idx="583">
                  <c:v>45296</c:v>
                </c:pt>
                <c:pt idx="584">
                  <c:v>45299</c:v>
                </c:pt>
                <c:pt idx="585">
                  <c:v>45300</c:v>
                </c:pt>
                <c:pt idx="586">
                  <c:v>45301</c:v>
                </c:pt>
                <c:pt idx="587">
                  <c:v>45302</c:v>
                </c:pt>
                <c:pt idx="588">
                  <c:v>45303</c:v>
                </c:pt>
                <c:pt idx="589">
                  <c:v>45306</c:v>
                </c:pt>
                <c:pt idx="590">
                  <c:v>45307</c:v>
                </c:pt>
                <c:pt idx="591">
                  <c:v>45308</c:v>
                </c:pt>
                <c:pt idx="592">
                  <c:v>45309</c:v>
                </c:pt>
                <c:pt idx="593">
                  <c:v>45310</c:v>
                </c:pt>
                <c:pt idx="594">
                  <c:v>45313</c:v>
                </c:pt>
                <c:pt idx="595">
                  <c:v>45314</c:v>
                </c:pt>
                <c:pt idx="596">
                  <c:v>45315</c:v>
                </c:pt>
                <c:pt idx="597">
                  <c:v>45316</c:v>
                </c:pt>
                <c:pt idx="598">
                  <c:v>45317</c:v>
                </c:pt>
                <c:pt idx="599">
                  <c:v>45320</c:v>
                </c:pt>
                <c:pt idx="600">
                  <c:v>45321</c:v>
                </c:pt>
                <c:pt idx="601">
                  <c:v>45322</c:v>
                </c:pt>
                <c:pt idx="602">
                  <c:v>45323</c:v>
                </c:pt>
                <c:pt idx="603">
                  <c:v>45324</c:v>
                </c:pt>
                <c:pt idx="604">
                  <c:v>45327</c:v>
                </c:pt>
                <c:pt idx="605">
                  <c:v>45328</c:v>
                </c:pt>
                <c:pt idx="606">
                  <c:v>45329</c:v>
                </c:pt>
                <c:pt idx="607">
                  <c:v>45330</c:v>
                </c:pt>
                <c:pt idx="608">
                  <c:v>45331</c:v>
                </c:pt>
                <c:pt idx="609">
                  <c:v>45336</c:v>
                </c:pt>
                <c:pt idx="610">
                  <c:v>45337</c:v>
                </c:pt>
                <c:pt idx="611">
                  <c:v>45338</c:v>
                </c:pt>
                <c:pt idx="612">
                  <c:v>45341</c:v>
                </c:pt>
                <c:pt idx="613">
                  <c:v>45342</c:v>
                </c:pt>
                <c:pt idx="614">
                  <c:v>45343</c:v>
                </c:pt>
                <c:pt idx="615">
                  <c:v>45344</c:v>
                </c:pt>
                <c:pt idx="616">
                  <c:v>45345</c:v>
                </c:pt>
                <c:pt idx="617">
                  <c:v>45348</c:v>
                </c:pt>
                <c:pt idx="618">
                  <c:v>45349</c:v>
                </c:pt>
                <c:pt idx="619">
                  <c:v>45350</c:v>
                </c:pt>
                <c:pt idx="620">
                  <c:v>45351</c:v>
                </c:pt>
                <c:pt idx="621">
                  <c:v>45352</c:v>
                </c:pt>
                <c:pt idx="622">
                  <c:v>45355</c:v>
                </c:pt>
                <c:pt idx="623">
                  <c:v>45356</c:v>
                </c:pt>
                <c:pt idx="624">
                  <c:v>45357</c:v>
                </c:pt>
                <c:pt idx="625">
                  <c:v>45358</c:v>
                </c:pt>
                <c:pt idx="626">
                  <c:v>45359</c:v>
                </c:pt>
                <c:pt idx="627">
                  <c:v>45362</c:v>
                </c:pt>
                <c:pt idx="628">
                  <c:v>45363</c:v>
                </c:pt>
                <c:pt idx="629">
                  <c:v>45364</c:v>
                </c:pt>
                <c:pt idx="630">
                  <c:v>45365</c:v>
                </c:pt>
                <c:pt idx="631">
                  <c:v>45366</c:v>
                </c:pt>
                <c:pt idx="632">
                  <c:v>45369</c:v>
                </c:pt>
                <c:pt idx="633">
                  <c:v>45370</c:v>
                </c:pt>
                <c:pt idx="634">
                  <c:v>45371</c:v>
                </c:pt>
                <c:pt idx="635">
                  <c:v>45372</c:v>
                </c:pt>
                <c:pt idx="636">
                  <c:v>45373</c:v>
                </c:pt>
                <c:pt idx="637">
                  <c:v>45376</c:v>
                </c:pt>
                <c:pt idx="638">
                  <c:v>45377</c:v>
                </c:pt>
                <c:pt idx="639">
                  <c:v>45378</c:v>
                </c:pt>
                <c:pt idx="640">
                  <c:v>45379</c:v>
                </c:pt>
                <c:pt idx="641">
                  <c:v>45383</c:v>
                </c:pt>
                <c:pt idx="642">
                  <c:v>45384</c:v>
                </c:pt>
                <c:pt idx="643">
                  <c:v>45385</c:v>
                </c:pt>
                <c:pt idx="644">
                  <c:v>45386</c:v>
                </c:pt>
                <c:pt idx="645">
                  <c:v>45387</c:v>
                </c:pt>
                <c:pt idx="646">
                  <c:v>45390</c:v>
                </c:pt>
                <c:pt idx="647">
                  <c:v>45391</c:v>
                </c:pt>
                <c:pt idx="648">
                  <c:v>45392</c:v>
                </c:pt>
                <c:pt idx="649">
                  <c:v>45393</c:v>
                </c:pt>
                <c:pt idx="650">
                  <c:v>45394</c:v>
                </c:pt>
                <c:pt idx="651">
                  <c:v>45397</c:v>
                </c:pt>
                <c:pt idx="652">
                  <c:v>45398</c:v>
                </c:pt>
                <c:pt idx="653">
                  <c:v>45399</c:v>
                </c:pt>
                <c:pt idx="654">
                  <c:v>45400</c:v>
                </c:pt>
                <c:pt idx="655">
                  <c:v>45401</c:v>
                </c:pt>
                <c:pt idx="656">
                  <c:v>45404</c:v>
                </c:pt>
                <c:pt idx="657">
                  <c:v>45405</c:v>
                </c:pt>
                <c:pt idx="658">
                  <c:v>45406</c:v>
                </c:pt>
                <c:pt idx="659">
                  <c:v>45407</c:v>
                </c:pt>
                <c:pt idx="660">
                  <c:v>45408</c:v>
                </c:pt>
                <c:pt idx="661">
                  <c:v>45411</c:v>
                </c:pt>
                <c:pt idx="662">
                  <c:v>45412</c:v>
                </c:pt>
                <c:pt idx="663">
                  <c:v>45414</c:v>
                </c:pt>
                <c:pt idx="664">
                  <c:v>45415</c:v>
                </c:pt>
                <c:pt idx="665">
                  <c:v>45418</c:v>
                </c:pt>
                <c:pt idx="666">
                  <c:v>45419</c:v>
                </c:pt>
                <c:pt idx="667">
                  <c:v>45420</c:v>
                </c:pt>
                <c:pt idx="668">
                  <c:v>45421</c:v>
                </c:pt>
                <c:pt idx="669">
                  <c:v>45422</c:v>
                </c:pt>
                <c:pt idx="670">
                  <c:v>45425</c:v>
                </c:pt>
                <c:pt idx="671">
                  <c:v>45426</c:v>
                </c:pt>
                <c:pt idx="672">
                  <c:v>45427</c:v>
                </c:pt>
                <c:pt idx="673">
                  <c:v>45428</c:v>
                </c:pt>
                <c:pt idx="674">
                  <c:v>45429</c:v>
                </c:pt>
                <c:pt idx="675">
                  <c:v>45432</c:v>
                </c:pt>
                <c:pt idx="676">
                  <c:v>45433</c:v>
                </c:pt>
                <c:pt idx="677">
                  <c:v>45434</c:v>
                </c:pt>
                <c:pt idx="678">
                  <c:v>45435</c:v>
                </c:pt>
                <c:pt idx="679">
                  <c:v>45436</c:v>
                </c:pt>
                <c:pt idx="680">
                  <c:v>45439</c:v>
                </c:pt>
                <c:pt idx="681">
                  <c:v>45440</c:v>
                </c:pt>
                <c:pt idx="682">
                  <c:v>45441</c:v>
                </c:pt>
                <c:pt idx="683">
                  <c:v>45443</c:v>
                </c:pt>
                <c:pt idx="684">
                  <c:v>45446</c:v>
                </c:pt>
                <c:pt idx="685">
                  <c:v>45447</c:v>
                </c:pt>
                <c:pt idx="686">
                  <c:v>45448</c:v>
                </c:pt>
                <c:pt idx="687">
                  <c:v>45449</c:v>
                </c:pt>
                <c:pt idx="688">
                  <c:v>45450</c:v>
                </c:pt>
                <c:pt idx="689">
                  <c:v>45453</c:v>
                </c:pt>
                <c:pt idx="690">
                  <c:v>45454</c:v>
                </c:pt>
                <c:pt idx="691">
                  <c:v>45455</c:v>
                </c:pt>
                <c:pt idx="692">
                  <c:v>45456</c:v>
                </c:pt>
                <c:pt idx="693">
                  <c:v>45457</c:v>
                </c:pt>
                <c:pt idx="694">
                  <c:v>45460</c:v>
                </c:pt>
                <c:pt idx="695">
                  <c:v>45461</c:v>
                </c:pt>
                <c:pt idx="696">
                  <c:v>45462</c:v>
                </c:pt>
                <c:pt idx="697">
                  <c:v>45463</c:v>
                </c:pt>
                <c:pt idx="698">
                  <c:v>45464</c:v>
                </c:pt>
                <c:pt idx="699">
                  <c:v>45467</c:v>
                </c:pt>
                <c:pt idx="700">
                  <c:v>45468</c:v>
                </c:pt>
                <c:pt idx="701">
                  <c:v>45469</c:v>
                </c:pt>
                <c:pt idx="702">
                  <c:v>45470</c:v>
                </c:pt>
                <c:pt idx="703">
                  <c:v>45471</c:v>
                </c:pt>
                <c:pt idx="704">
                  <c:v>45474</c:v>
                </c:pt>
                <c:pt idx="705">
                  <c:v>45475</c:v>
                </c:pt>
                <c:pt idx="706">
                  <c:v>45476</c:v>
                </c:pt>
                <c:pt idx="707">
                  <c:v>45477</c:v>
                </c:pt>
                <c:pt idx="708">
                  <c:v>45478</c:v>
                </c:pt>
                <c:pt idx="709">
                  <c:v>45481</c:v>
                </c:pt>
                <c:pt idx="710">
                  <c:v>45482</c:v>
                </c:pt>
                <c:pt idx="711">
                  <c:v>45483</c:v>
                </c:pt>
                <c:pt idx="712">
                  <c:v>45484</c:v>
                </c:pt>
                <c:pt idx="713">
                  <c:v>45485</c:v>
                </c:pt>
                <c:pt idx="714">
                  <c:v>45488</c:v>
                </c:pt>
                <c:pt idx="715">
                  <c:v>45489</c:v>
                </c:pt>
                <c:pt idx="716">
                  <c:v>45490</c:v>
                </c:pt>
                <c:pt idx="717">
                  <c:v>45491</c:v>
                </c:pt>
                <c:pt idx="718">
                  <c:v>45492</c:v>
                </c:pt>
                <c:pt idx="719">
                  <c:v>45495</c:v>
                </c:pt>
                <c:pt idx="720">
                  <c:v>45496</c:v>
                </c:pt>
                <c:pt idx="721">
                  <c:v>45497</c:v>
                </c:pt>
                <c:pt idx="722">
                  <c:v>45498</c:v>
                </c:pt>
                <c:pt idx="723">
                  <c:v>45499</c:v>
                </c:pt>
                <c:pt idx="724">
                  <c:v>45502</c:v>
                </c:pt>
                <c:pt idx="725">
                  <c:v>45503</c:v>
                </c:pt>
                <c:pt idx="726">
                  <c:v>45504</c:v>
                </c:pt>
                <c:pt idx="727">
                  <c:v>45505</c:v>
                </c:pt>
                <c:pt idx="728">
                  <c:v>45506</c:v>
                </c:pt>
                <c:pt idx="729">
                  <c:v>45509</c:v>
                </c:pt>
                <c:pt idx="730">
                  <c:v>45510</c:v>
                </c:pt>
                <c:pt idx="731">
                  <c:v>45511</c:v>
                </c:pt>
                <c:pt idx="732">
                  <c:v>45512</c:v>
                </c:pt>
                <c:pt idx="733">
                  <c:v>45513</c:v>
                </c:pt>
                <c:pt idx="734">
                  <c:v>45516</c:v>
                </c:pt>
                <c:pt idx="735">
                  <c:v>45517</c:v>
                </c:pt>
                <c:pt idx="736">
                  <c:v>45518</c:v>
                </c:pt>
                <c:pt idx="737">
                  <c:v>45519</c:v>
                </c:pt>
                <c:pt idx="738">
                  <c:v>45520</c:v>
                </c:pt>
                <c:pt idx="739">
                  <c:v>45523</c:v>
                </c:pt>
                <c:pt idx="740">
                  <c:v>45524</c:v>
                </c:pt>
                <c:pt idx="741">
                  <c:v>45525</c:v>
                </c:pt>
                <c:pt idx="742">
                  <c:v>45526</c:v>
                </c:pt>
                <c:pt idx="743">
                  <c:v>45527</c:v>
                </c:pt>
                <c:pt idx="744">
                  <c:v>45530</c:v>
                </c:pt>
                <c:pt idx="745">
                  <c:v>45531</c:v>
                </c:pt>
                <c:pt idx="746">
                  <c:v>45532</c:v>
                </c:pt>
                <c:pt idx="747">
                  <c:v>45533</c:v>
                </c:pt>
                <c:pt idx="748">
                  <c:v>45534</c:v>
                </c:pt>
                <c:pt idx="749">
                  <c:v>45537</c:v>
                </c:pt>
                <c:pt idx="750">
                  <c:v>45538</c:v>
                </c:pt>
                <c:pt idx="751">
                  <c:v>45539</c:v>
                </c:pt>
                <c:pt idx="752">
                  <c:v>45540</c:v>
                </c:pt>
                <c:pt idx="753">
                  <c:v>45541</c:v>
                </c:pt>
                <c:pt idx="754">
                  <c:v>45544</c:v>
                </c:pt>
                <c:pt idx="755">
                  <c:v>45545</c:v>
                </c:pt>
                <c:pt idx="756">
                  <c:v>45546</c:v>
                </c:pt>
                <c:pt idx="757">
                  <c:v>45547</c:v>
                </c:pt>
                <c:pt idx="758">
                  <c:v>45548</c:v>
                </c:pt>
                <c:pt idx="759">
                  <c:v>45551</c:v>
                </c:pt>
                <c:pt idx="760">
                  <c:v>45552</c:v>
                </c:pt>
                <c:pt idx="761">
                  <c:v>45553</c:v>
                </c:pt>
                <c:pt idx="762">
                  <c:v>45554</c:v>
                </c:pt>
                <c:pt idx="763">
                  <c:v>45555</c:v>
                </c:pt>
                <c:pt idx="764">
                  <c:v>45558</c:v>
                </c:pt>
                <c:pt idx="765">
                  <c:v>45559</c:v>
                </c:pt>
                <c:pt idx="766">
                  <c:v>45560</c:v>
                </c:pt>
                <c:pt idx="767">
                  <c:v>45561</c:v>
                </c:pt>
                <c:pt idx="768">
                  <c:v>45562</c:v>
                </c:pt>
                <c:pt idx="769">
                  <c:v>45565</c:v>
                </c:pt>
                <c:pt idx="770">
                  <c:v>45566</c:v>
                </c:pt>
                <c:pt idx="771">
                  <c:v>45567</c:v>
                </c:pt>
                <c:pt idx="772">
                  <c:v>45568</c:v>
                </c:pt>
                <c:pt idx="773">
                  <c:v>45569</c:v>
                </c:pt>
                <c:pt idx="774">
                  <c:v>45572</c:v>
                </c:pt>
                <c:pt idx="775">
                  <c:v>45573</c:v>
                </c:pt>
                <c:pt idx="776">
                  <c:v>45574</c:v>
                </c:pt>
                <c:pt idx="777">
                  <c:v>45575</c:v>
                </c:pt>
                <c:pt idx="778">
                  <c:v>45576</c:v>
                </c:pt>
                <c:pt idx="779">
                  <c:v>45579</c:v>
                </c:pt>
                <c:pt idx="780">
                  <c:v>45580</c:v>
                </c:pt>
                <c:pt idx="781">
                  <c:v>45581</c:v>
                </c:pt>
                <c:pt idx="782">
                  <c:v>45582</c:v>
                </c:pt>
                <c:pt idx="783">
                  <c:v>45583</c:v>
                </c:pt>
                <c:pt idx="784">
                  <c:v>45586</c:v>
                </c:pt>
                <c:pt idx="785">
                  <c:v>45587</c:v>
                </c:pt>
                <c:pt idx="786">
                  <c:v>45588</c:v>
                </c:pt>
                <c:pt idx="787">
                  <c:v>45589</c:v>
                </c:pt>
                <c:pt idx="788">
                  <c:v>45590</c:v>
                </c:pt>
                <c:pt idx="789">
                  <c:v>45593</c:v>
                </c:pt>
                <c:pt idx="790">
                  <c:v>45594</c:v>
                </c:pt>
                <c:pt idx="791">
                  <c:v>45595</c:v>
                </c:pt>
                <c:pt idx="792">
                  <c:v>45596</c:v>
                </c:pt>
                <c:pt idx="793">
                  <c:v>45597</c:v>
                </c:pt>
                <c:pt idx="794">
                  <c:v>45600</c:v>
                </c:pt>
                <c:pt idx="795">
                  <c:v>45601</c:v>
                </c:pt>
                <c:pt idx="796">
                  <c:v>45602</c:v>
                </c:pt>
                <c:pt idx="797">
                  <c:v>45603</c:v>
                </c:pt>
                <c:pt idx="798">
                  <c:v>45604</c:v>
                </c:pt>
                <c:pt idx="799">
                  <c:v>45607</c:v>
                </c:pt>
                <c:pt idx="800">
                  <c:v>45608</c:v>
                </c:pt>
                <c:pt idx="801">
                  <c:v>45609</c:v>
                </c:pt>
                <c:pt idx="802">
                  <c:v>45610</c:v>
                </c:pt>
                <c:pt idx="803">
                  <c:v>45614</c:v>
                </c:pt>
                <c:pt idx="804">
                  <c:v>45615</c:v>
                </c:pt>
                <c:pt idx="805">
                  <c:v>45617</c:v>
                </c:pt>
                <c:pt idx="806">
                  <c:v>45618</c:v>
                </c:pt>
                <c:pt idx="807">
                  <c:v>45621</c:v>
                </c:pt>
                <c:pt idx="808">
                  <c:v>45622</c:v>
                </c:pt>
                <c:pt idx="809">
                  <c:v>45623</c:v>
                </c:pt>
                <c:pt idx="810">
                  <c:v>45624</c:v>
                </c:pt>
                <c:pt idx="811">
                  <c:v>45625</c:v>
                </c:pt>
                <c:pt idx="812">
                  <c:v>45628</c:v>
                </c:pt>
                <c:pt idx="813">
                  <c:v>45629</c:v>
                </c:pt>
                <c:pt idx="814">
                  <c:v>45630</c:v>
                </c:pt>
                <c:pt idx="815">
                  <c:v>45631</c:v>
                </c:pt>
                <c:pt idx="816">
                  <c:v>45632</c:v>
                </c:pt>
                <c:pt idx="817">
                  <c:v>45635</c:v>
                </c:pt>
                <c:pt idx="818">
                  <c:v>45636</c:v>
                </c:pt>
                <c:pt idx="819">
                  <c:v>45637</c:v>
                </c:pt>
                <c:pt idx="820">
                  <c:v>45638</c:v>
                </c:pt>
                <c:pt idx="821">
                  <c:v>45639</c:v>
                </c:pt>
                <c:pt idx="822">
                  <c:v>45642</c:v>
                </c:pt>
                <c:pt idx="823">
                  <c:v>45643</c:v>
                </c:pt>
                <c:pt idx="824">
                  <c:v>45644</c:v>
                </c:pt>
                <c:pt idx="825">
                  <c:v>45645</c:v>
                </c:pt>
                <c:pt idx="826">
                  <c:v>45646</c:v>
                </c:pt>
                <c:pt idx="827">
                  <c:v>45649</c:v>
                </c:pt>
                <c:pt idx="828">
                  <c:v>45652</c:v>
                </c:pt>
                <c:pt idx="829">
                  <c:v>45653</c:v>
                </c:pt>
                <c:pt idx="830">
                  <c:v>45656</c:v>
                </c:pt>
                <c:pt idx="831">
                  <c:v>45659</c:v>
                </c:pt>
                <c:pt idx="832">
                  <c:v>45660</c:v>
                </c:pt>
                <c:pt idx="833">
                  <c:v>45663</c:v>
                </c:pt>
                <c:pt idx="834">
                  <c:v>45664</c:v>
                </c:pt>
                <c:pt idx="835">
                  <c:v>45665</c:v>
                </c:pt>
                <c:pt idx="836">
                  <c:v>45666</c:v>
                </c:pt>
                <c:pt idx="837">
                  <c:v>45667</c:v>
                </c:pt>
                <c:pt idx="838">
                  <c:v>45670</c:v>
                </c:pt>
                <c:pt idx="839">
                  <c:v>45671</c:v>
                </c:pt>
                <c:pt idx="840">
                  <c:v>45672</c:v>
                </c:pt>
                <c:pt idx="841">
                  <c:v>45673</c:v>
                </c:pt>
                <c:pt idx="842">
                  <c:v>45674</c:v>
                </c:pt>
                <c:pt idx="843">
                  <c:v>45677</c:v>
                </c:pt>
                <c:pt idx="844">
                  <c:v>45678</c:v>
                </c:pt>
                <c:pt idx="845">
                  <c:v>45679</c:v>
                </c:pt>
                <c:pt idx="846">
                  <c:v>45680</c:v>
                </c:pt>
                <c:pt idx="847">
                  <c:v>45681</c:v>
                </c:pt>
                <c:pt idx="848">
                  <c:v>45684</c:v>
                </c:pt>
                <c:pt idx="849">
                  <c:v>45685</c:v>
                </c:pt>
                <c:pt idx="850">
                  <c:v>45686</c:v>
                </c:pt>
                <c:pt idx="851">
                  <c:v>45687</c:v>
                </c:pt>
                <c:pt idx="852">
                  <c:v>45688</c:v>
                </c:pt>
                <c:pt idx="853">
                  <c:v>45691</c:v>
                </c:pt>
                <c:pt idx="854">
                  <c:v>45692</c:v>
                </c:pt>
                <c:pt idx="855">
                  <c:v>45693</c:v>
                </c:pt>
                <c:pt idx="856">
                  <c:v>45694</c:v>
                </c:pt>
                <c:pt idx="857">
                  <c:v>45695</c:v>
                </c:pt>
                <c:pt idx="858">
                  <c:v>45698</c:v>
                </c:pt>
                <c:pt idx="859">
                  <c:v>45699</c:v>
                </c:pt>
                <c:pt idx="860">
                  <c:v>45700</c:v>
                </c:pt>
                <c:pt idx="861">
                  <c:v>45701</c:v>
                </c:pt>
                <c:pt idx="862">
                  <c:v>45702</c:v>
                </c:pt>
                <c:pt idx="863">
                  <c:v>45705</c:v>
                </c:pt>
                <c:pt idx="864">
                  <c:v>45706</c:v>
                </c:pt>
                <c:pt idx="865">
                  <c:v>45707</c:v>
                </c:pt>
                <c:pt idx="866">
                  <c:v>45708</c:v>
                </c:pt>
                <c:pt idx="867">
                  <c:v>45709</c:v>
                </c:pt>
                <c:pt idx="868">
                  <c:v>45712</c:v>
                </c:pt>
                <c:pt idx="869">
                  <c:v>45713</c:v>
                </c:pt>
                <c:pt idx="870">
                  <c:v>45714</c:v>
                </c:pt>
                <c:pt idx="871">
                  <c:v>45715</c:v>
                </c:pt>
                <c:pt idx="872">
                  <c:v>45716</c:v>
                </c:pt>
                <c:pt idx="873">
                  <c:v>45721</c:v>
                </c:pt>
                <c:pt idx="874">
                  <c:v>45722</c:v>
                </c:pt>
                <c:pt idx="875">
                  <c:v>45723</c:v>
                </c:pt>
                <c:pt idx="876">
                  <c:v>45726</c:v>
                </c:pt>
                <c:pt idx="877">
                  <c:v>45727</c:v>
                </c:pt>
                <c:pt idx="878">
                  <c:v>45728</c:v>
                </c:pt>
                <c:pt idx="879">
                  <c:v>45729</c:v>
                </c:pt>
                <c:pt idx="880">
                  <c:v>45730</c:v>
                </c:pt>
                <c:pt idx="881">
                  <c:v>45733</c:v>
                </c:pt>
                <c:pt idx="882">
                  <c:v>45734</c:v>
                </c:pt>
                <c:pt idx="883">
                  <c:v>45735</c:v>
                </c:pt>
                <c:pt idx="884">
                  <c:v>45736</c:v>
                </c:pt>
                <c:pt idx="885">
                  <c:v>45737</c:v>
                </c:pt>
                <c:pt idx="886">
                  <c:v>45740</c:v>
                </c:pt>
                <c:pt idx="887">
                  <c:v>45741</c:v>
                </c:pt>
                <c:pt idx="888">
                  <c:v>45742</c:v>
                </c:pt>
                <c:pt idx="889">
                  <c:v>45743</c:v>
                </c:pt>
                <c:pt idx="890">
                  <c:v>45744</c:v>
                </c:pt>
                <c:pt idx="891">
                  <c:v>45747</c:v>
                </c:pt>
                <c:pt idx="892">
                  <c:v>45748</c:v>
                </c:pt>
                <c:pt idx="893">
                  <c:v>45749</c:v>
                </c:pt>
                <c:pt idx="894">
                  <c:v>45750</c:v>
                </c:pt>
                <c:pt idx="895">
                  <c:v>45751</c:v>
                </c:pt>
                <c:pt idx="896">
                  <c:v>45754</c:v>
                </c:pt>
                <c:pt idx="897">
                  <c:v>45755</c:v>
                </c:pt>
                <c:pt idx="898">
                  <c:v>45756</c:v>
                </c:pt>
                <c:pt idx="899">
                  <c:v>45757</c:v>
                </c:pt>
                <c:pt idx="900">
                  <c:v>45758</c:v>
                </c:pt>
                <c:pt idx="901">
                  <c:v>45761</c:v>
                </c:pt>
                <c:pt idx="902">
                  <c:v>45762</c:v>
                </c:pt>
                <c:pt idx="903">
                  <c:v>45763</c:v>
                </c:pt>
                <c:pt idx="904">
                  <c:v>45764</c:v>
                </c:pt>
                <c:pt idx="905">
                  <c:v>45769</c:v>
                </c:pt>
                <c:pt idx="906">
                  <c:v>45770</c:v>
                </c:pt>
                <c:pt idx="907">
                  <c:v>45771</c:v>
                </c:pt>
                <c:pt idx="908">
                  <c:v>45772</c:v>
                </c:pt>
                <c:pt idx="909">
                  <c:v>45775</c:v>
                </c:pt>
                <c:pt idx="910">
                  <c:v>45776</c:v>
                </c:pt>
                <c:pt idx="911">
                  <c:v>45777</c:v>
                </c:pt>
                <c:pt idx="912">
                  <c:v>45779</c:v>
                </c:pt>
                <c:pt idx="913">
                  <c:v>45782</c:v>
                </c:pt>
                <c:pt idx="914">
                  <c:v>45783</c:v>
                </c:pt>
                <c:pt idx="915">
                  <c:v>45784</c:v>
                </c:pt>
                <c:pt idx="916">
                  <c:v>45785</c:v>
                </c:pt>
                <c:pt idx="917">
                  <c:v>45786</c:v>
                </c:pt>
                <c:pt idx="918">
                  <c:v>45789</c:v>
                </c:pt>
                <c:pt idx="919">
                  <c:v>45790</c:v>
                </c:pt>
                <c:pt idx="920">
                  <c:v>45791</c:v>
                </c:pt>
                <c:pt idx="921">
                  <c:v>45792</c:v>
                </c:pt>
                <c:pt idx="922">
                  <c:v>45793</c:v>
                </c:pt>
                <c:pt idx="923">
                  <c:v>45796</c:v>
                </c:pt>
                <c:pt idx="924">
                  <c:v>45797</c:v>
                </c:pt>
                <c:pt idx="925">
                  <c:v>45798</c:v>
                </c:pt>
                <c:pt idx="926">
                  <c:v>45799</c:v>
                </c:pt>
                <c:pt idx="927">
                  <c:v>45800</c:v>
                </c:pt>
                <c:pt idx="928">
                  <c:v>45803</c:v>
                </c:pt>
                <c:pt idx="929">
                  <c:v>45804</c:v>
                </c:pt>
                <c:pt idx="930">
                  <c:v>45805</c:v>
                </c:pt>
                <c:pt idx="931">
                  <c:v>45806</c:v>
                </c:pt>
                <c:pt idx="932">
                  <c:v>45807</c:v>
                </c:pt>
                <c:pt idx="933">
                  <c:v>45810</c:v>
                </c:pt>
                <c:pt idx="934">
                  <c:v>45811</c:v>
                </c:pt>
                <c:pt idx="935">
                  <c:v>45812</c:v>
                </c:pt>
                <c:pt idx="936">
                  <c:v>45813</c:v>
                </c:pt>
                <c:pt idx="937">
                  <c:v>45814</c:v>
                </c:pt>
                <c:pt idx="938">
                  <c:v>45817</c:v>
                </c:pt>
                <c:pt idx="939">
                  <c:v>45818</c:v>
                </c:pt>
                <c:pt idx="940">
                  <c:v>45819</c:v>
                </c:pt>
                <c:pt idx="941">
                  <c:v>45820</c:v>
                </c:pt>
                <c:pt idx="942">
                  <c:v>45821</c:v>
                </c:pt>
                <c:pt idx="943">
                  <c:v>45824</c:v>
                </c:pt>
                <c:pt idx="944">
                  <c:v>45825</c:v>
                </c:pt>
                <c:pt idx="945">
                  <c:v>45826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45982</c:v>
                </c:pt>
                <c:pt idx="1056">
                  <c:v>45985</c:v>
                </c:pt>
                <c:pt idx="1057">
                  <c:v>45986</c:v>
                </c:pt>
                <c:pt idx="1058">
                  <c:v>45987</c:v>
                </c:pt>
                <c:pt idx="1059">
                  <c:v>45988</c:v>
                </c:pt>
                <c:pt idx="1060">
                  <c:v>45989</c:v>
                </c:pt>
                <c:pt idx="1061">
                  <c:v>45992</c:v>
                </c:pt>
                <c:pt idx="1062">
                  <c:v>45993</c:v>
                </c:pt>
                <c:pt idx="1063">
                  <c:v>45994</c:v>
                </c:pt>
                <c:pt idx="1064">
                  <c:v>45995</c:v>
                </c:pt>
                <c:pt idx="1065">
                  <c:v>45996</c:v>
                </c:pt>
                <c:pt idx="1066">
                  <c:v>45999</c:v>
                </c:pt>
                <c:pt idx="1067">
                  <c:v>46000</c:v>
                </c:pt>
                <c:pt idx="1068">
                  <c:v>46001</c:v>
                </c:pt>
                <c:pt idx="1069">
                  <c:v>46002</c:v>
                </c:pt>
                <c:pt idx="1070">
                  <c:v>46003</c:v>
                </c:pt>
                <c:pt idx="1071">
                  <c:v>46006</c:v>
                </c:pt>
                <c:pt idx="1072">
                  <c:v>46007</c:v>
                </c:pt>
                <c:pt idx="1073">
                  <c:v>46008</c:v>
                </c:pt>
                <c:pt idx="1074">
                  <c:v>46009</c:v>
                </c:pt>
                <c:pt idx="1075">
                  <c:v>46010</c:v>
                </c:pt>
                <c:pt idx="1076">
                  <c:v>46013</c:v>
                </c:pt>
                <c:pt idx="1077">
                  <c:v>46014</c:v>
                </c:pt>
                <c:pt idx="1078">
                  <c:v>46017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46071</c:v>
                </c:pt>
                <c:pt idx="1113">
                  <c:v>46072</c:v>
                </c:pt>
                <c:pt idx="1114">
                  <c:v>46073</c:v>
                </c:pt>
                <c:pt idx="1115">
                  <c:v>46076</c:v>
                </c:pt>
                <c:pt idx="1116">
                  <c:v>46077</c:v>
                </c:pt>
                <c:pt idx="1117">
                  <c:v>46078</c:v>
                </c:pt>
                <c:pt idx="1118">
                  <c:v>46079</c:v>
                </c:pt>
                <c:pt idx="1119">
                  <c:v>46080</c:v>
                </c:pt>
                <c:pt idx="1120">
                  <c:v>46083</c:v>
                </c:pt>
                <c:pt idx="1121">
                  <c:v>46084</c:v>
                </c:pt>
                <c:pt idx="1122">
                  <c:v>46085</c:v>
                </c:pt>
                <c:pt idx="1123">
                  <c:v>46086</c:v>
                </c:pt>
                <c:pt idx="1124">
                  <c:v>46087</c:v>
                </c:pt>
                <c:pt idx="1125">
                  <c:v>46090</c:v>
                </c:pt>
                <c:pt idx="1126">
                  <c:v>46091</c:v>
                </c:pt>
                <c:pt idx="1127">
                  <c:v>46092</c:v>
                </c:pt>
                <c:pt idx="1128">
                  <c:v>46093</c:v>
                </c:pt>
                <c:pt idx="1129">
                  <c:v>46094</c:v>
                </c:pt>
                <c:pt idx="1130">
                  <c:v>46097</c:v>
                </c:pt>
                <c:pt idx="1131">
                  <c:v>46098</c:v>
                </c:pt>
                <c:pt idx="1132">
                  <c:v>46099</c:v>
                </c:pt>
                <c:pt idx="1133">
                  <c:v>46100</c:v>
                </c:pt>
                <c:pt idx="1134">
                  <c:v>46101</c:v>
                </c:pt>
                <c:pt idx="1135">
                  <c:v>46104</c:v>
                </c:pt>
                <c:pt idx="1136">
                  <c:v>46105</c:v>
                </c:pt>
                <c:pt idx="1137">
                  <c:v>46106</c:v>
                </c:pt>
                <c:pt idx="1138">
                  <c:v>46107</c:v>
                </c:pt>
                <c:pt idx="1139">
                  <c:v>46108</c:v>
                </c:pt>
                <c:pt idx="1140">
                  <c:v>46111</c:v>
                </c:pt>
                <c:pt idx="1141">
                  <c:v>46112</c:v>
                </c:pt>
                <c:pt idx="1142">
                  <c:v>46113</c:v>
                </c:pt>
                <c:pt idx="1143">
                  <c:v>46114</c:v>
                </c:pt>
                <c:pt idx="1144">
                  <c:v>46118</c:v>
                </c:pt>
                <c:pt idx="1145">
                  <c:v>46119</c:v>
                </c:pt>
                <c:pt idx="1146">
                  <c:v>46120</c:v>
                </c:pt>
                <c:pt idx="1147">
                  <c:v>46121</c:v>
                </c:pt>
                <c:pt idx="1148">
                  <c:v>46122</c:v>
                </c:pt>
                <c:pt idx="1149">
                  <c:v>46125</c:v>
                </c:pt>
                <c:pt idx="1150">
                  <c:v>46126</c:v>
                </c:pt>
                <c:pt idx="1151">
                  <c:v>46127</c:v>
                </c:pt>
                <c:pt idx="1152">
                  <c:v>46128</c:v>
                </c:pt>
                <c:pt idx="1153">
                  <c:v>46129</c:v>
                </c:pt>
                <c:pt idx="1154">
                  <c:v>46132</c:v>
                </c:pt>
                <c:pt idx="1155">
                  <c:v>46134</c:v>
                </c:pt>
                <c:pt idx="1156">
                  <c:v>46135</c:v>
                </c:pt>
                <c:pt idx="1157">
                  <c:v>46136</c:v>
                </c:pt>
                <c:pt idx="1158">
                  <c:v>46139</c:v>
                </c:pt>
                <c:pt idx="1159">
                  <c:v>46140</c:v>
                </c:pt>
                <c:pt idx="1160">
                  <c:v>46141</c:v>
                </c:pt>
                <c:pt idx="1161">
                  <c:v>46142</c:v>
                </c:pt>
                <c:pt idx="1162">
                  <c:v>46146</c:v>
                </c:pt>
                <c:pt idx="1163">
                  <c:v>46147</c:v>
                </c:pt>
                <c:pt idx="1164">
                  <c:v>46148</c:v>
                </c:pt>
                <c:pt idx="1165">
                  <c:v>46149</c:v>
                </c:pt>
                <c:pt idx="1166">
                  <c:v>46150</c:v>
                </c:pt>
                <c:pt idx="1167">
                  <c:v>46153</c:v>
                </c:pt>
                <c:pt idx="1168">
                  <c:v>46154</c:v>
                </c:pt>
                <c:pt idx="1169">
                  <c:v>46155</c:v>
                </c:pt>
                <c:pt idx="1170">
                  <c:v>46156</c:v>
                </c:pt>
                <c:pt idx="1171">
                  <c:v>46157</c:v>
                </c:pt>
                <c:pt idx="1172">
                  <c:v>46160</c:v>
                </c:pt>
                <c:pt idx="1173">
                  <c:v>46161</c:v>
                </c:pt>
                <c:pt idx="1174">
                  <c:v>46162</c:v>
                </c:pt>
                <c:pt idx="1175">
                  <c:v>46163</c:v>
                </c:pt>
                <c:pt idx="1176">
                  <c:v>46164</c:v>
                </c:pt>
                <c:pt idx="1177">
                  <c:v>46167</c:v>
                </c:pt>
                <c:pt idx="1178">
                  <c:v>46168</c:v>
                </c:pt>
                <c:pt idx="1179">
                  <c:v>46169</c:v>
                </c:pt>
                <c:pt idx="1180">
                  <c:v>46170</c:v>
                </c:pt>
                <c:pt idx="1181">
                  <c:v>46171</c:v>
                </c:pt>
                <c:pt idx="1182">
                  <c:v>46174</c:v>
                </c:pt>
                <c:pt idx="1183">
                  <c:v>46175</c:v>
                </c:pt>
                <c:pt idx="1184">
                  <c:v>46176</c:v>
                </c:pt>
                <c:pt idx="1185">
                  <c:v>46178</c:v>
                </c:pt>
                <c:pt idx="1186">
                  <c:v>46181</c:v>
                </c:pt>
                <c:pt idx="1187">
                  <c:v>46182</c:v>
                </c:pt>
                <c:pt idx="1188">
                  <c:v>46183</c:v>
                </c:pt>
                <c:pt idx="1189">
                  <c:v>46184</c:v>
                </c:pt>
                <c:pt idx="1190">
                  <c:v>46185</c:v>
                </c:pt>
                <c:pt idx="1191">
                  <c:v>46188</c:v>
                </c:pt>
                <c:pt idx="1192">
                  <c:v>46189</c:v>
                </c:pt>
                <c:pt idx="1193">
                  <c:v>46190</c:v>
                </c:pt>
                <c:pt idx="1194">
                  <c:v>46191</c:v>
                </c:pt>
                <c:pt idx="1195">
                  <c:v>46192</c:v>
                </c:pt>
                <c:pt idx="1196">
                  <c:v>46195</c:v>
                </c:pt>
                <c:pt idx="1197">
                  <c:v>46196</c:v>
                </c:pt>
                <c:pt idx="1198">
                  <c:v>46197</c:v>
                </c:pt>
                <c:pt idx="1199">
                  <c:v>46198</c:v>
                </c:pt>
                <c:pt idx="1200">
                  <c:v>46199</c:v>
                </c:pt>
                <c:pt idx="1201">
                  <c:v>46202</c:v>
                </c:pt>
                <c:pt idx="1202">
                  <c:v>46203</c:v>
                </c:pt>
                <c:pt idx="1203">
                  <c:v>46204</c:v>
                </c:pt>
                <c:pt idx="1204">
                  <c:v>46205</c:v>
                </c:pt>
                <c:pt idx="1205">
                  <c:v>46206</c:v>
                </c:pt>
                <c:pt idx="1206">
                  <c:v>46209</c:v>
                </c:pt>
                <c:pt idx="1207">
                  <c:v>46210</c:v>
                </c:pt>
                <c:pt idx="1208">
                  <c:v>46211</c:v>
                </c:pt>
                <c:pt idx="1209">
                  <c:v>46212</c:v>
                </c:pt>
                <c:pt idx="1210">
                  <c:v>46213</c:v>
                </c:pt>
                <c:pt idx="1211">
                  <c:v>46216</c:v>
                </c:pt>
                <c:pt idx="1212">
                  <c:v>46217</c:v>
                </c:pt>
                <c:pt idx="1213">
                  <c:v>46218</c:v>
                </c:pt>
                <c:pt idx="1214">
                  <c:v>46219</c:v>
                </c:pt>
                <c:pt idx="1215">
                  <c:v>46220</c:v>
                </c:pt>
                <c:pt idx="1216">
                  <c:v>46223</c:v>
                </c:pt>
                <c:pt idx="1217">
                  <c:v>46224</c:v>
                </c:pt>
                <c:pt idx="1218">
                  <c:v>46225</c:v>
                </c:pt>
                <c:pt idx="1219">
                  <c:v>46226</c:v>
                </c:pt>
                <c:pt idx="1220">
                  <c:v>46227</c:v>
                </c:pt>
                <c:pt idx="1221">
                  <c:v>46230</c:v>
                </c:pt>
                <c:pt idx="1222">
                  <c:v>46231</c:v>
                </c:pt>
                <c:pt idx="1223">
                  <c:v>46232</c:v>
                </c:pt>
                <c:pt idx="1224">
                  <c:v>46233</c:v>
                </c:pt>
                <c:pt idx="1225">
                  <c:v>46234</c:v>
                </c:pt>
                <c:pt idx="1226">
                  <c:v>46237</c:v>
                </c:pt>
                <c:pt idx="1227">
                  <c:v>46238</c:v>
                </c:pt>
                <c:pt idx="1228">
                  <c:v>46239</c:v>
                </c:pt>
                <c:pt idx="1229">
                  <c:v>46240</c:v>
                </c:pt>
                <c:pt idx="1230">
                  <c:v>46241</c:v>
                </c:pt>
                <c:pt idx="1231">
                  <c:v>46244</c:v>
                </c:pt>
                <c:pt idx="1232">
                  <c:v>46245</c:v>
                </c:pt>
                <c:pt idx="1233">
                  <c:v>46246</c:v>
                </c:pt>
                <c:pt idx="1234">
                  <c:v>46247</c:v>
                </c:pt>
                <c:pt idx="1235">
                  <c:v>46248</c:v>
                </c:pt>
                <c:pt idx="1236">
                  <c:v>46251</c:v>
                </c:pt>
                <c:pt idx="1237">
                  <c:v>46252</c:v>
                </c:pt>
                <c:pt idx="1238">
                  <c:v>46253</c:v>
                </c:pt>
                <c:pt idx="1239">
                  <c:v>46254</c:v>
                </c:pt>
                <c:pt idx="1240">
                  <c:v>46255</c:v>
                </c:pt>
                <c:pt idx="1241">
                  <c:v>46258</c:v>
                </c:pt>
                <c:pt idx="1242">
                  <c:v>46259</c:v>
                </c:pt>
                <c:pt idx="1243">
                  <c:v>46260</c:v>
                </c:pt>
                <c:pt idx="1244">
                  <c:v>46261</c:v>
                </c:pt>
                <c:pt idx="1245">
                  <c:v>46262</c:v>
                </c:pt>
                <c:pt idx="1246">
                  <c:v>46265</c:v>
                </c:pt>
              </c:numCache>
            </c:numRef>
          </c:cat>
          <c:val>
            <c:numRef>
              <c:f>Dados!$E$2:$E$1248</c:f>
              <c:numCache>
                <c:formatCode>0.0000</c:formatCode>
                <c:ptCount val="1247"/>
                <c:pt idx="1">
                  <c:v>-2.3036266238111426E-2</c:v>
                </c:pt>
                <c:pt idx="2">
                  <c:v>2.1916878770134804E-3</c:v>
                </c:pt>
                <c:pt idx="3">
                  <c:v>7.9727170808061368E-3</c:v>
                </c:pt>
                <c:pt idx="4">
                  <c:v>-3.8537815108384707E-2</c:v>
                </c:pt>
                <c:pt idx="5">
                  <c:v>1.7030318843878799E-2</c:v>
                </c:pt>
                <c:pt idx="6">
                  <c:v>-9.3622634055286046E-3</c:v>
                </c:pt>
                <c:pt idx="7">
                  <c:v>1.8362820358579113E-2</c:v>
                </c:pt>
                <c:pt idx="8">
                  <c:v>-1.9175791072764776E-3</c:v>
                </c:pt>
                <c:pt idx="9">
                  <c:v>-9.6695154125150864E-3</c:v>
                </c:pt>
                <c:pt idx="10">
                  <c:v>-1.1090008223337737E-2</c:v>
                </c:pt>
                <c:pt idx="11">
                  <c:v>-2.0912440232271887E-2</c:v>
                </c:pt>
                <c:pt idx="12">
                  <c:v>-2.3561691558516278E-2</c:v>
                </c:pt>
                <c:pt idx="13">
                  <c:v>1.2834849892804551E-2</c:v>
                </c:pt>
                <c:pt idx="14">
                  <c:v>1.8263049619412546E-2</c:v>
                </c:pt>
                <c:pt idx="15">
                  <c:v>1.5746130428904784E-2</c:v>
                </c:pt>
                <c:pt idx="16">
                  <c:v>-6.870581729685357E-3</c:v>
                </c:pt>
                <c:pt idx="17">
                  <c:v>2.6447345557775244E-3</c:v>
                </c:pt>
                <c:pt idx="18">
                  <c:v>-3.0926843576488346E-2</c:v>
                </c:pt>
                <c:pt idx="19">
                  <c:v>8.8866973365242935E-3</c:v>
                </c:pt>
                <c:pt idx="20">
                  <c:v>-1.1527067367879625E-3</c:v>
                </c:pt>
                <c:pt idx="21">
                  <c:v>1.7161476931003637E-2</c:v>
                </c:pt>
                <c:pt idx="22">
                  <c:v>-2.2455745119955416E-2</c:v>
                </c:pt>
                <c:pt idx="23">
                  <c:v>5.8863217170670936E-4</c:v>
                </c:pt>
                <c:pt idx="24">
                  <c:v>9.2300181199191826E-4</c:v>
                </c:pt>
                <c:pt idx="25">
                  <c:v>2.2609600132487658E-4</c:v>
                </c:pt>
                <c:pt idx="26">
                  <c:v>2.0124393449422674E-2</c:v>
                </c:pt>
                <c:pt idx="27">
                  <c:v>-5.8041253899165637E-3</c:v>
                </c:pt>
                <c:pt idx="28">
                  <c:v>1.1310372481449938E-2</c:v>
                </c:pt>
                <c:pt idx="29">
                  <c:v>-2.3914484065517263E-3</c:v>
                </c:pt>
                <c:pt idx="30">
                  <c:v>1.2842916600681277E-2</c:v>
                </c:pt>
                <c:pt idx="31">
                  <c:v>-1.9207605129961168E-3</c:v>
                </c:pt>
                <c:pt idx="32">
                  <c:v>-3.3365896716244792E-2</c:v>
                </c:pt>
                <c:pt idx="33">
                  <c:v>1.0205050127274299E-3</c:v>
                </c:pt>
                <c:pt idx="34">
                  <c:v>-2.7925904383060526E-2</c:v>
                </c:pt>
                <c:pt idx="35">
                  <c:v>-1.3446852867189786E-2</c:v>
                </c:pt>
                <c:pt idx="36">
                  <c:v>2.2502123798015278E-2</c:v>
                </c:pt>
                <c:pt idx="37">
                  <c:v>-2.1336249918798813E-2</c:v>
                </c:pt>
                <c:pt idx="38">
                  <c:v>-5.3575709867251286E-4</c:v>
                </c:pt>
                <c:pt idx="39">
                  <c:v>-6.205576622455162E-3</c:v>
                </c:pt>
                <c:pt idx="40">
                  <c:v>-2.1070920952598139E-2</c:v>
                </c:pt>
                <c:pt idx="41">
                  <c:v>1.9612973937804295E-2</c:v>
                </c:pt>
                <c:pt idx="42">
                  <c:v>6.2509473167430976E-4</c:v>
                </c:pt>
                <c:pt idx="43">
                  <c:v>-2.1098333664802561E-2</c:v>
                </c:pt>
                <c:pt idx="44">
                  <c:v>1.3561743803110999E-2</c:v>
                </c:pt>
                <c:pt idx="45">
                  <c:v>-4.102955616825185E-4</c:v>
                </c:pt>
                <c:pt idx="46">
                  <c:v>7.1701937119794303E-3</c:v>
                </c:pt>
                <c:pt idx="47">
                  <c:v>4.0945102900425117E-3</c:v>
                </c:pt>
                <c:pt idx="48">
                  <c:v>1.5237016503883751E-2</c:v>
                </c:pt>
                <c:pt idx="49">
                  <c:v>-1.1779690271416914E-2</c:v>
                </c:pt>
                <c:pt idx="50">
                  <c:v>-1.8326499084276245E-2</c:v>
                </c:pt>
                <c:pt idx="51">
                  <c:v>-1.4043982511985725E-2</c:v>
                </c:pt>
                <c:pt idx="52">
                  <c:v>-5.0834197521577376E-3</c:v>
                </c:pt>
                <c:pt idx="53">
                  <c:v>5.9281497072837469E-3</c:v>
                </c:pt>
                <c:pt idx="54">
                  <c:v>-8.9005593502577904E-3</c:v>
                </c:pt>
                <c:pt idx="55">
                  <c:v>1.4890252566872897E-2</c:v>
                </c:pt>
                <c:pt idx="56">
                  <c:v>8.2626041728099207E-3</c:v>
                </c:pt>
                <c:pt idx="57">
                  <c:v>1.2333450050592346E-2</c:v>
                </c:pt>
                <c:pt idx="58">
                  <c:v>-3.4487999913984511E-2</c:v>
                </c:pt>
                <c:pt idx="59">
                  <c:v>5.7550466589289936E-3</c:v>
                </c:pt>
                <c:pt idx="60">
                  <c:v>-8.7823979832226846E-3</c:v>
                </c:pt>
                <c:pt idx="61">
                  <c:v>-1.1248823532464121E-2</c:v>
                </c:pt>
                <c:pt idx="62">
                  <c:v>3.5971350609286891E-2</c:v>
                </c:pt>
                <c:pt idx="63">
                  <c:v>5.7651350881675455E-3</c:v>
                </c:pt>
                <c:pt idx="64">
                  <c:v>1.6883413746599647E-2</c:v>
                </c:pt>
                <c:pt idx="65">
                  <c:v>6.5200285075409647E-3</c:v>
                </c:pt>
                <c:pt idx="66">
                  <c:v>4.9894842305105731E-3</c:v>
                </c:pt>
                <c:pt idx="67">
                  <c:v>-1.6839105461314938E-2</c:v>
                </c:pt>
                <c:pt idx="68">
                  <c:v>1.3707356443419022E-2</c:v>
                </c:pt>
                <c:pt idx="69">
                  <c:v>-3.486089399747361E-3</c:v>
                </c:pt>
                <c:pt idx="70">
                  <c:v>-5.818558231368203E-3</c:v>
                </c:pt>
                <c:pt idx="71">
                  <c:v>6.2654564856613358E-3</c:v>
                </c:pt>
                <c:pt idx="72">
                  <c:v>8.2964180407229318E-3</c:v>
                </c:pt>
                <c:pt idx="73">
                  <c:v>-1.0439622111306127E-2</c:v>
                </c:pt>
                <c:pt idx="74">
                  <c:v>-2.0554768741688462E-2</c:v>
                </c:pt>
                <c:pt idx="75">
                  <c:v>4.5601447064080305E-3</c:v>
                </c:pt>
                <c:pt idx="76">
                  <c:v>-2.4294891044890714E-3</c:v>
                </c:pt>
                <c:pt idx="77">
                  <c:v>-3.3597480862544329E-3</c:v>
                </c:pt>
                <c:pt idx="78">
                  <c:v>6.3009545822958826E-3</c:v>
                </c:pt>
                <c:pt idx="79">
                  <c:v>-6.5583977912694246E-3</c:v>
                </c:pt>
                <c:pt idx="80">
                  <c:v>-7.2450561206496896E-3</c:v>
                </c:pt>
                <c:pt idx="81">
                  <c:v>6.8444571244204158E-3</c:v>
                </c:pt>
                <c:pt idx="82">
                  <c:v>-8.6230557695061334E-3</c:v>
                </c:pt>
                <c:pt idx="83">
                  <c:v>-3.9337484923416639E-3</c:v>
                </c:pt>
                <c:pt idx="84">
                  <c:v>-2.4526948240936423E-2</c:v>
                </c:pt>
                <c:pt idx="85">
                  <c:v>5.4796821668308257E-3</c:v>
                </c:pt>
                <c:pt idx="86">
                  <c:v>1.13375015075503E-2</c:v>
                </c:pt>
                <c:pt idx="87">
                  <c:v>-7.5636525228337751E-3</c:v>
                </c:pt>
                <c:pt idx="88">
                  <c:v>1.7830185956260833E-2</c:v>
                </c:pt>
                <c:pt idx="89">
                  <c:v>1.8208795647547751E-2</c:v>
                </c:pt>
                <c:pt idx="90">
                  <c:v>-1.4771610897476193E-3</c:v>
                </c:pt>
                <c:pt idx="91">
                  <c:v>1.3160438085715521E-2</c:v>
                </c:pt>
                <c:pt idx="92">
                  <c:v>-5.1945246244159068E-3</c:v>
                </c:pt>
                <c:pt idx="93">
                  <c:v>2.7600209032397037E-3</c:v>
                </c:pt>
                <c:pt idx="94">
                  <c:v>1.2530383203120159E-2</c:v>
                </c:pt>
                <c:pt idx="95">
                  <c:v>1.0031634226024161E-2</c:v>
                </c:pt>
                <c:pt idx="96">
                  <c:v>-1.4675939600976445E-3</c:v>
                </c:pt>
                <c:pt idx="97">
                  <c:v>-9.2679069307815085E-3</c:v>
                </c:pt>
                <c:pt idx="98">
                  <c:v>2.0785470114920615E-2</c:v>
                </c:pt>
                <c:pt idx="99">
                  <c:v>9.7972277109482208E-3</c:v>
                </c:pt>
                <c:pt idx="100">
                  <c:v>1.181786055158926E-2</c:v>
                </c:pt>
                <c:pt idx="101">
                  <c:v>-6.253305133325694E-3</c:v>
                </c:pt>
                <c:pt idx="102">
                  <c:v>2.0887829280332453E-3</c:v>
                </c:pt>
                <c:pt idx="103">
                  <c:v>9.6197252485110407E-3</c:v>
                </c:pt>
                <c:pt idx="104">
                  <c:v>-1.1851490429115853E-2</c:v>
                </c:pt>
                <c:pt idx="105">
                  <c:v>-1.771099349318677E-3</c:v>
                </c:pt>
                <c:pt idx="106">
                  <c:v>4.9030869723858516E-3</c:v>
                </c:pt>
                <c:pt idx="107">
                  <c:v>-2.2208258288215804E-3</c:v>
                </c:pt>
                <c:pt idx="108">
                  <c:v>2.1228211156074446E-3</c:v>
                </c:pt>
                <c:pt idx="109">
                  <c:v>2.0205173878110349E-3</c:v>
                </c:pt>
                <c:pt idx="110">
                  <c:v>8.0326696475407893E-3</c:v>
                </c:pt>
                <c:pt idx="111">
                  <c:v>1.7978325103323919E-3</c:v>
                </c:pt>
                <c:pt idx="112">
                  <c:v>2.8750937504379705E-3</c:v>
                </c:pt>
                <c:pt idx="113">
                  <c:v>8.1232658017864074E-3</c:v>
                </c:pt>
                <c:pt idx="114">
                  <c:v>3.0694475185693362E-3</c:v>
                </c:pt>
                <c:pt idx="115">
                  <c:v>-1.4455301571459233E-2</c:v>
                </c:pt>
                <c:pt idx="116">
                  <c:v>-5.72419498767778E-3</c:v>
                </c:pt>
                <c:pt idx="117">
                  <c:v>-1.0284812725043339E-2</c:v>
                </c:pt>
                <c:pt idx="118">
                  <c:v>1.0391114658066899E-2</c:v>
                </c:pt>
                <c:pt idx="119">
                  <c:v>-7.8613121619580152E-3</c:v>
                </c:pt>
                <c:pt idx="120">
                  <c:v>-3.7209345256900739E-3</c:v>
                </c:pt>
                <c:pt idx="121">
                  <c:v>1.3794304182906419E-2</c:v>
                </c:pt>
                <c:pt idx="122">
                  <c:v>1.7800361371681967E-2</c:v>
                </c:pt>
                <c:pt idx="123">
                  <c:v>-6.9462533673831452E-5</c:v>
                </c:pt>
                <c:pt idx="124">
                  <c:v>-6.0268428376199406E-3</c:v>
                </c:pt>
                <c:pt idx="125">
                  <c:v>-2.5489399007588242E-2</c:v>
                </c:pt>
                <c:pt idx="126">
                  <c:v>-3.5009640958031667E-3</c:v>
                </c:pt>
                <c:pt idx="127">
                  <c:v>2.396351058329927E-2</c:v>
                </c:pt>
                <c:pt idx="128">
                  <c:v>-2.0829404225480188E-3</c:v>
                </c:pt>
                <c:pt idx="129">
                  <c:v>-1.7304847558225742E-2</c:v>
                </c:pt>
                <c:pt idx="130">
                  <c:v>-1.6107476442889377E-2</c:v>
                </c:pt>
                <c:pt idx="131">
                  <c:v>-8.8539413502686428E-3</c:v>
                </c:pt>
                <c:pt idx="132">
                  <c:v>1.9567036934713334E-2</c:v>
                </c:pt>
                <c:pt idx="133">
                  <c:v>1.7521457398701548E-2</c:v>
                </c:pt>
                <c:pt idx="134">
                  <c:v>1.9572667007539162E-2</c:v>
                </c:pt>
                <c:pt idx="135">
                  <c:v>7.2926800527695328E-3</c:v>
                </c:pt>
                <c:pt idx="136">
                  <c:v>9.5705169148019367E-3</c:v>
                </c:pt>
                <c:pt idx="137">
                  <c:v>1.5762861709073708E-3</c:v>
                </c:pt>
                <c:pt idx="138">
                  <c:v>1.349646295274257E-2</c:v>
                </c:pt>
                <c:pt idx="139">
                  <c:v>2.3516171675646923E-4</c:v>
                </c:pt>
                <c:pt idx="140">
                  <c:v>-2.8845486511258384E-3</c:v>
                </c:pt>
                <c:pt idx="141">
                  <c:v>1.0689017466675966E-2</c:v>
                </c:pt>
                <c:pt idx="142">
                  <c:v>2.0476629677362562E-3</c:v>
                </c:pt>
                <c:pt idx="143">
                  <c:v>-2.1726561974323173E-3</c:v>
                </c:pt>
                <c:pt idx="144">
                  <c:v>1.300681915371244E-2</c:v>
                </c:pt>
                <c:pt idx="145">
                  <c:v>-2.3883066736410823E-3</c:v>
                </c:pt>
                <c:pt idx="146">
                  <c:v>-1.9945282589695797E-2</c:v>
                </c:pt>
                <c:pt idx="147">
                  <c:v>-5.5416757527504421E-3</c:v>
                </c:pt>
                <c:pt idx="148">
                  <c:v>5.3481927639282339E-3</c:v>
                </c:pt>
                <c:pt idx="149">
                  <c:v>-4.553434742809297E-3</c:v>
                </c:pt>
                <c:pt idx="150">
                  <c:v>-1.1637576883523879E-2</c:v>
                </c:pt>
                <c:pt idx="151">
                  <c:v>-6.9155144761816794E-3</c:v>
                </c:pt>
                <c:pt idx="152">
                  <c:v>5.4523187159538763E-3</c:v>
                </c:pt>
                <c:pt idx="153">
                  <c:v>-5.1510218458707419E-3</c:v>
                </c:pt>
                <c:pt idx="154">
                  <c:v>-4.26965874685008E-3</c:v>
                </c:pt>
                <c:pt idx="155">
                  <c:v>-5.4606105940634706E-3</c:v>
                </c:pt>
                <c:pt idx="156">
                  <c:v>-6.2162091353843195E-3</c:v>
                </c:pt>
                <c:pt idx="157">
                  <c:v>-2.8978791371719589E-2</c:v>
                </c:pt>
                <c:pt idx="158">
                  <c:v>-3.5443280566548503E-3</c:v>
                </c:pt>
                <c:pt idx="159">
                  <c:v>-2.2586822108929414E-2</c:v>
                </c:pt>
                <c:pt idx="160">
                  <c:v>1.0443095064034739E-2</c:v>
                </c:pt>
                <c:pt idx="161">
                  <c:v>5.1991287736383538E-3</c:v>
                </c:pt>
                <c:pt idx="162">
                  <c:v>-1.8761311558144967E-2</c:v>
                </c:pt>
                <c:pt idx="163">
                  <c:v>-1.1533120866888884E-2</c:v>
                </c:pt>
                <c:pt idx="164">
                  <c:v>-1.0414370895351459E-3</c:v>
                </c:pt>
                <c:pt idx="165">
                  <c:v>1.6903488960455685E-2</c:v>
                </c:pt>
                <c:pt idx="166">
                  <c:v>-2.8459945229963642E-2</c:v>
                </c:pt>
                <c:pt idx="167">
                  <c:v>-1.6061665027087867E-3</c:v>
                </c:pt>
                <c:pt idx="168">
                  <c:v>-1.8092006779255626E-2</c:v>
                </c:pt>
                <c:pt idx="169">
                  <c:v>-1.3568523112899083E-3</c:v>
                </c:pt>
                <c:pt idx="170">
                  <c:v>1.2404559873626073E-2</c:v>
                </c:pt>
                <c:pt idx="171">
                  <c:v>1.229041817257478E-2</c:v>
                </c:pt>
                <c:pt idx="172">
                  <c:v>1.162694414340801E-2</c:v>
                </c:pt>
                <c:pt idx="173">
                  <c:v>1.216800895054939E-2</c:v>
                </c:pt>
                <c:pt idx="174">
                  <c:v>5.1239156994085048E-3</c:v>
                </c:pt>
                <c:pt idx="175">
                  <c:v>-2.3643654257633789E-2</c:v>
                </c:pt>
                <c:pt idx="176">
                  <c:v>7.1089902303193096E-3</c:v>
                </c:pt>
                <c:pt idx="177">
                  <c:v>1.3764005443539715E-2</c:v>
                </c:pt>
                <c:pt idx="178">
                  <c:v>1.6981315959254846E-2</c:v>
                </c:pt>
                <c:pt idx="179">
                  <c:v>2.1274003506215498E-3</c:v>
                </c:pt>
                <c:pt idx="180">
                  <c:v>-9.0431857335483902E-6</c:v>
                </c:pt>
                <c:pt idx="181">
                  <c:v>1.1777004909842785E-2</c:v>
                </c:pt>
                <c:pt idx="182">
                  <c:v>4.6463419828718925E-4</c:v>
                </c:pt>
                <c:pt idx="183">
                  <c:v>-8.1624319643782417E-3</c:v>
                </c:pt>
                <c:pt idx="184">
                  <c:v>2.8689263010249245E-3</c:v>
                </c:pt>
                <c:pt idx="185">
                  <c:v>8.0822231545909135E-5</c:v>
                </c:pt>
                <c:pt idx="186">
                  <c:v>9.2334613540809643E-3</c:v>
                </c:pt>
                <c:pt idx="187">
                  <c:v>-1.1552959656456625E-2</c:v>
                </c:pt>
                <c:pt idx="188">
                  <c:v>-8.2788513776921313E-3</c:v>
                </c:pt>
                <c:pt idx="189">
                  <c:v>-1.0533198707413352E-3</c:v>
                </c:pt>
                <c:pt idx="190">
                  <c:v>-1.5583684562752545E-2</c:v>
                </c:pt>
                <c:pt idx="191">
                  <c:v>-1.182588899712207E-2</c:v>
                </c:pt>
                <c:pt idx="192">
                  <c:v>-1.5176111565047851E-2</c:v>
                </c:pt>
                <c:pt idx="193">
                  <c:v>-2.7712402541091127E-2</c:v>
                </c:pt>
                <c:pt idx="194">
                  <c:v>-5.2281696916315632E-3</c:v>
                </c:pt>
                <c:pt idx="195">
                  <c:v>7.2631744103742284E-3</c:v>
                </c:pt>
                <c:pt idx="196">
                  <c:v>-2.9434791138744348E-2</c:v>
                </c:pt>
                <c:pt idx="197">
                  <c:v>2.8045152879662441E-4</c:v>
                </c:pt>
                <c:pt idx="198">
                  <c:v>-1.6838901832914315E-3</c:v>
                </c:pt>
                <c:pt idx="199">
                  <c:v>-1.6364890428295367E-3</c:v>
                </c:pt>
                <c:pt idx="200">
                  <c:v>-1.4595253064059373E-2</c:v>
                </c:pt>
                <c:pt idx="201">
                  <c:v>6.0177460612357604E-3</c:v>
                </c:pt>
                <c:pt idx="202">
                  <c:v>2.0979930740289431E-2</c:v>
                </c:pt>
                <c:pt idx="203">
                  <c:v>-1.718358546536145E-3</c:v>
                </c:pt>
                <c:pt idx="204">
                  <c:v>-9.6797667093773739E-3</c:v>
                </c:pt>
                <c:pt idx="205">
                  <c:v>-1.0900170497298654E-2</c:v>
                </c:pt>
                <c:pt idx="206">
                  <c:v>4.172242452110367E-3</c:v>
                </c:pt>
                <c:pt idx="207">
                  <c:v>-3.4925603548416869E-3</c:v>
                </c:pt>
                <c:pt idx="208">
                  <c:v>-3.1893741739132449E-3</c:v>
                </c:pt>
                <c:pt idx="209">
                  <c:v>4.304269286559111E-3</c:v>
                </c:pt>
                <c:pt idx="210">
                  <c:v>2.0166239508460949E-2</c:v>
                </c:pt>
                <c:pt idx="211">
                  <c:v>-4.3876519880412671E-3</c:v>
                </c:pt>
                <c:pt idx="212">
                  <c:v>-2.0927610479222376E-2</c:v>
                </c:pt>
                <c:pt idx="213">
                  <c:v>6.0056088082238409E-4</c:v>
                </c:pt>
                <c:pt idx="214">
                  <c:v>-3.9765132541216587E-3</c:v>
                </c:pt>
                <c:pt idx="215">
                  <c:v>-1.8144640637787396E-2</c:v>
                </c:pt>
                <c:pt idx="216">
                  <c:v>4.4635516724566924E-3</c:v>
                </c:pt>
                <c:pt idx="217">
                  <c:v>3.7732577964862957E-3</c:v>
                </c:pt>
                <c:pt idx="218">
                  <c:v>1.3619734923976747E-2</c:v>
                </c:pt>
                <c:pt idx="219">
                  <c:v>4.2741131865929133E-4</c:v>
                </c:pt>
                <c:pt idx="220">
                  <c:v>7.5613577368917771E-3</c:v>
                </c:pt>
                <c:pt idx="221">
                  <c:v>-1.0911406532223202E-3</c:v>
                </c:pt>
                <c:pt idx="222">
                  <c:v>1.350456026434595E-2</c:v>
                </c:pt>
                <c:pt idx="223">
                  <c:v>-4.9789647052948241E-3</c:v>
                </c:pt>
                <c:pt idx="224">
                  <c:v>1.6560191575683916E-2</c:v>
                </c:pt>
                <c:pt idx="225">
                  <c:v>1.136091813687384E-2</c:v>
                </c:pt>
                <c:pt idx="226">
                  <c:v>5.5209556940963205E-3</c:v>
                </c:pt>
                <c:pt idx="227">
                  <c:v>-9.1533819864872482E-3</c:v>
                </c:pt>
                <c:pt idx="228">
                  <c:v>1.1061123441581141E-2</c:v>
                </c:pt>
                <c:pt idx="229">
                  <c:v>3.9877042468154456E-3</c:v>
                </c:pt>
                <c:pt idx="230">
                  <c:v>2.0194612849683408E-2</c:v>
                </c:pt>
                <c:pt idx="231">
                  <c:v>5.4623329954691493E-3</c:v>
                </c:pt>
                <c:pt idx="232">
                  <c:v>1.7964499235590157E-2</c:v>
                </c:pt>
                <c:pt idx="233">
                  <c:v>2.2943715058616728E-3</c:v>
                </c:pt>
                <c:pt idx="234">
                  <c:v>1.4482611611097476E-2</c:v>
                </c:pt>
                <c:pt idx="235">
                  <c:v>-4.7100844508182506E-3</c:v>
                </c:pt>
                <c:pt idx="236">
                  <c:v>2.7383701502942084E-2</c:v>
                </c:pt>
                <c:pt idx="237">
                  <c:v>2.3738252745784125E-3</c:v>
                </c:pt>
                <c:pt idx="238">
                  <c:v>4.2375937415055987E-3</c:v>
                </c:pt>
                <c:pt idx="239">
                  <c:v>1.7252006743524594E-3</c:v>
                </c:pt>
                <c:pt idx="240">
                  <c:v>9.2299178936660242E-4</c:v>
                </c:pt>
                <c:pt idx="241">
                  <c:v>-2.056803485152281E-2</c:v>
                </c:pt>
                <c:pt idx="242">
                  <c:v>-8.9641451265943042E-3</c:v>
                </c:pt>
                <c:pt idx="243">
                  <c:v>2.1096959891553659E-2</c:v>
                </c:pt>
                <c:pt idx="244">
                  <c:v>3.6322562468835997E-4</c:v>
                </c:pt>
                <c:pt idx="245">
                  <c:v>5.5999793034512326E-3</c:v>
                </c:pt>
                <c:pt idx="246">
                  <c:v>-1.0919778525058552E-2</c:v>
                </c:pt>
                <c:pt idx="247">
                  <c:v>2.1369233727174124E-4</c:v>
                </c:pt>
                <c:pt idx="248">
                  <c:v>-1.6987757794204097E-2</c:v>
                </c:pt>
                <c:pt idx="249">
                  <c:v>-8.2563186661621622E-3</c:v>
                </c:pt>
                <c:pt idx="250">
                  <c:v>8.0208498103584748E-3</c:v>
                </c:pt>
                <c:pt idx="251">
                  <c:v>4.1488022125126455E-3</c:v>
                </c:pt>
                <c:pt idx="252">
                  <c:v>1.2005505814031875E-2</c:v>
                </c:pt>
                <c:pt idx="253">
                  <c:v>-2.1977124236829522E-2</c:v>
                </c:pt>
                <c:pt idx="254">
                  <c:v>1.3838312477834388E-3</c:v>
                </c:pt>
                <c:pt idx="255">
                  <c:v>2.1457424034386406E-2</c:v>
                </c:pt>
                <c:pt idx="256">
                  <c:v>9.8092560391969293E-3</c:v>
                </c:pt>
                <c:pt idx="257">
                  <c:v>-2.3310496561211938E-2</c:v>
                </c:pt>
                <c:pt idx="258">
                  <c:v>-2.2318513292057989E-3</c:v>
                </c:pt>
                <c:pt idx="259">
                  <c:v>-5.3786733813430947E-3</c:v>
                </c:pt>
                <c:pt idx="260">
                  <c:v>-6.1487006893536748E-3</c:v>
                </c:pt>
                <c:pt idx="261">
                  <c:v>2.3012810912293284E-2</c:v>
                </c:pt>
                <c:pt idx="262">
                  <c:v>6.1781146046789373E-3</c:v>
                </c:pt>
                <c:pt idx="263">
                  <c:v>-5.1770419433151554E-3</c:v>
                </c:pt>
                <c:pt idx="264">
                  <c:v>1.8885015643669619E-2</c:v>
                </c:pt>
                <c:pt idx="265">
                  <c:v>-2.0852358399003977E-2</c:v>
                </c:pt>
                <c:pt idx="266">
                  <c:v>-2.3566729394643063E-2</c:v>
                </c:pt>
                <c:pt idx="267">
                  <c:v>-6.7865449677241788E-3</c:v>
                </c:pt>
                <c:pt idx="268">
                  <c:v>6.9179579103272168E-4</c:v>
                </c:pt>
                <c:pt idx="269">
                  <c:v>-7.2831916235058915E-3</c:v>
                </c:pt>
                <c:pt idx="270">
                  <c:v>2.1801406425251878E-2</c:v>
                </c:pt>
                <c:pt idx="271">
                  <c:v>5.3928023950675689E-2</c:v>
                </c:pt>
                <c:pt idx="272">
                  <c:v>8.2628983372666184E-4</c:v>
                </c:pt>
                <c:pt idx="273">
                  <c:v>8.2938254952731657E-3</c:v>
                </c:pt>
                <c:pt idx="274">
                  <c:v>3.0925356583066158E-3</c:v>
                </c:pt>
                <c:pt idx="275">
                  <c:v>-1.0139612211965188E-2</c:v>
                </c:pt>
                <c:pt idx="276">
                  <c:v>-3.7362945719006061E-3</c:v>
                </c:pt>
                <c:pt idx="277">
                  <c:v>-9.6547931554512422E-3</c:v>
                </c:pt>
                <c:pt idx="278">
                  <c:v>-4.6000770691143125E-3</c:v>
                </c:pt>
                <c:pt idx="279">
                  <c:v>-1.9685048906952152E-2</c:v>
                </c:pt>
                <c:pt idx="280">
                  <c:v>1.3753229685014192E-2</c:v>
                </c:pt>
                <c:pt idx="281">
                  <c:v>1.8477464396833121E-2</c:v>
                </c:pt>
                <c:pt idx="282">
                  <c:v>4.5772587965072636E-3</c:v>
                </c:pt>
                <c:pt idx="283">
                  <c:v>7.6849314793119581E-3</c:v>
                </c:pt>
                <c:pt idx="284">
                  <c:v>2.3265494760105525E-2</c:v>
                </c:pt>
                <c:pt idx="285">
                  <c:v>-3.3197647218960513E-2</c:v>
                </c:pt>
                <c:pt idx="286">
                  <c:v>-1.2027599153723175E-2</c:v>
                </c:pt>
                <c:pt idx="287">
                  <c:v>-1.6377515449973047E-2</c:v>
                </c:pt>
                <c:pt idx="288">
                  <c:v>1.6508367251771076E-2</c:v>
                </c:pt>
                <c:pt idx="289">
                  <c:v>-8.9013008757144775E-4</c:v>
                </c:pt>
                <c:pt idx="290">
                  <c:v>1.2993729411792092E-2</c:v>
                </c:pt>
                <c:pt idx="291">
                  <c:v>7.6578072255343984E-3</c:v>
                </c:pt>
                <c:pt idx="292">
                  <c:v>-2.822623775823929E-4</c:v>
                </c:pt>
                <c:pt idx="293">
                  <c:v>1.0712671210525302E-2</c:v>
                </c:pt>
                <c:pt idx="294">
                  <c:v>-2.4095693748319456E-2</c:v>
                </c:pt>
                <c:pt idx="295">
                  <c:v>7.0669230014080578E-3</c:v>
                </c:pt>
                <c:pt idx="296">
                  <c:v>-2.2461116627199473E-2</c:v>
                </c:pt>
                <c:pt idx="297">
                  <c:v>-3.4074618001505283E-2</c:v>
                </c:pt>
                <c:pt idx="298">
                  <c:v>2.2322435875354176E-2</c:v>
                </c:pt>
                <c:pt idx="299">
                  <c:v>8.0563311160766638E-3</c:v>
                </c:pt>
                <c:pt idx="300">
                  <c:v>-2.6124563191455251E-2</c:v>
                </c:pt>
                <c:pt idx="301">
                  <c:v>-4.9103060296554653E-3</c:v>
                </c:pt>
                <c:pt idx="302">
                  <c:v>-7.6222043250128131E-3</c:v>
                </c:pt>
                <c:pt idx="303">
                  <c:v>8.0323186615228713E-3</c:v>
                </c:pt>
                <c:pt idx="304">
                  <c:v>-6.4995543841443789E-3</c:v>
                </c:pt>
                <c:pt idx="305">
                  <c:v>-1.7991724990256087E-3</c:v>
                </c:pt>
                <c:pt idx="306">
                  <c:v>2.7100701473000931E-2</c:v>
                </c:pt>
                <c:pt idx="307">
                  <c:v>-2.5851952355178724E-2</c:v>
                </c:pt>
                <c:pt idx="308">
                  <c:v>-1.79097123079314E-3</c:v>
                </c:pt>
                <c:pt idx="309">
                  <c:v>1.9373182058179658E-2</c:v>
                </c:pt>
                <c:pt idx="310">
                  <c:v>1.410970783952787E-2</c:v>
                </c:pt>
                <c:pt idx="311">
                  <c:v>-1.3965457131547676E-2</c:v>
                </c:pt>
                <c:pt idx="312">
                  <c:v>8.9567572080963588E-3</c:v>
                </c:pt>
                <c:pt idx="313">
                  <c:v>-2.2800038818797972E-2</c:v>
                </c:pt>
                <c:pt idx="314">
                  <c:v>7.1770425108895006E-3</c:v>
                </c:pt>
                <c:pt idx="315">
                  <c:v>-1.0216363750144826E-2</c:v>
                </c:pt>
                <c:pt idx="316">
                  <c:v>-1.6827475719339902E-2</c:v>
                </c:pt>
                <c:pt idx="317">
                  <c:v>2.5236430195059332E-3</c:v>
                </c:pt>
                <c:pt idx="318">
                  <c:v>-2.0455183914944584E-2</c:v>
                </c:pt>
                <c:pt idx="319">
                  <c:v>-1.726368138613953E-2</c:v>
                </c:pt>
                <c:pt idx="320">
                  <c:v>1.9875926769520268E-3</c:v>
                </c:pt>
                <c:pt idx="321">
                  <c:v>-7.7114379942225055E-5</c:v>
                </c:pt>
                <c:pt idx="322">
                  <c:v>-8.5385379888173307E-3</c:v>
                </c:pt>
                <c:pt idx="323">
                  <c:v>1.8151137069393912E-2</c:v>
                </c:pt>
                <c:pt idx="324">
                  <c:v>2.0075909131938522E-2</c:v>
                </c:pt>
                <c:pt idx="325">
                  <c:v>5.310399465840515E-3</c:v>
                </c:pt>
                <c:pt idx="326">
                  <c:v>1.1070540935744231E-3</c:v>
                </c:pt>
                <c:pt idx="327">
                  <c:v>1.9756684031727631E-2</c:v>
                </c:pt>
                <c:pt idx="328">
                  <c:v>-8.7898165216539152E-3</c:v>
                </c:pt>
                <c:pt idx="329">
                  <c:v>-1.4725103435595222E-3</c:v>
                </c:pt>
                <c:pt idx="330">
                  <c:v>1.5163784833163925E-2</c:v>
                </c:pt>
                <c:pt idx="331">
                  <c:v>-4.5642251875514985E-3</c:v>
                </c:pt>
                <c:pt idx="332">
                  <c:v>-3.1088380800417193E-2</c:v>
                </c:pt>
                <c:pt idx="333">
                  <c:v>-2.0994207066538342E-2</c:v>
                </c:pt>
                <c:pt idx="334">
                  <c:v>1.11504735248312E-2</c:v>
                </c:pt>
                <c:pt idx="335">
                  <c:v>2.1665362029534996E-2</c:v>
                </c:pt>
                <c:pt idx="336">
                  <c:v>1.2215936404677608E-2</c:v>
                </c:pt>
                <c:pt idx="337">
                  <c:v>1.5222796780880374E-3</c:v>
                </c:pt>
                <c:pt idx="338">
                  <c:v>1.5340360021955301E-2</c:v>
                </c:pt>
                <c:pt idx="339">
                  <c:v>1.5224129192498144E-2</c:v>
                </c:pt>
                <c:pt idx="340">
                  <c:v>-5.9456334033134457E-3</c:v>
                </c:pt>
                <c:pt idx="341">
                  <c:v>-8.3855298654976883E-3</c:v>
                </c:pt>
                <c:pt idx="342">
                  <c:v>-1.5473054226393996E-2</c:v>
                </c:pt>
                <c:pt idx="343">
                  <c:v>2.0177252148420158E-2</c:v>
                </c:pt>
                <c:pt idx="344">
                  <c:v>7.0551603296187182E-3</c:v>
                </c:pt>
                <c:pt idx="345">
                  <c:v>6.1647985604218044E-3</c:v>
                </c:pt>
                <c:pt idx="346">
                  <c:v>-7.8324391468392752E-3</c:v>
                </c:pt>
                <c:pt idx="347">
                  <c:v>-2.7169801053736819E-3</c:v>
                </c:pt>
                <c:pt idx="348">
                  <c:v>1.1487679998185759E-2</c:v>
                </c:pt>
                <c:pt idx="349">
                  <c:v>1.092849352994189E-2</c:v>
                </c:pt>
                <c:pt idx="350">
                  <c:v>-8.0543497840698526E-4</c:v>
                </c:pt>
                <c:pt idx="351">
                  <c:v>-1.6442307072468333E-2</c:v>
                </c:pt>
                <c:pt idx="352">
                  <c:v>-3.8292169719280798E-4</c:v>
                </c:pt>
                <c:pt idx="353">
                  <c:v>1.0261317131410048E-2</c:v>
                </c:pt>
                <c:pt idx="354">
                  <c:v>-1.2035355136743317E-2</c:v>
                </c:pt>
                <c:pt idx="355">
                  <c:v>-1.739800425855267E-2</c:v>
                </c:pt>
                <c:pt idx="356">
                  <c:v>-1.4799231064251501E-2</c:v>
                </c:pt>
                <c:pt idx="357">
                  <c:v>1.8320334705923815E-3</c:v>
                </c:pt>
                <c:pt idx="358">
                  <c:v>-8.2382526590281824E-3</c:v>
                </c:pt>
                <c:pt idx="359">
                  <c:v>1.9478899108630984E-2</c:v>
                </c:pt>
                <c:pt idx="360">
                  <c:v>-1.7829513547666972E-2</c:v>
                </c:pt>
                <c:pt idx="361">
                  <c:v>6.4789021453138499E-4</c:v>
                </c:pt>
                <c:pt idx="362">
                  <c:v>6.9889733758136561E-3</c:v>
                </c:pt>
                <c:pt idx="363">
                  <c:v>-9.11006139033879E-3</c:v>
                </c:pt>
                <c:pt idx="364">
                  <c:v>1.6105273858963844E-2</c:v>
                </c:pt>
                <c:pt idx="365">
                  <c:v>3.106483747706812E-3</c:v>
                </c:pt>
                <c:pt idx="366">
                  <c:v>-6.9734398455180971E-3</c:v>
                </c:pt>
                <c:pt idx="367">
                  <c:v>-1.8722031248409411E-2</c:v>
                </c:pt>
                <c:pt idx="368">
                  <c:v>4.1072026816899856E-3</c:v>
                </c:pt>
                <c:pt idx="369">
                  <c:v>-1.6823974195542948E-2</c:v>
                </c:pt>
                <c:pt idx="370">
                  <c:v>-8.2266007504717205E-4</c:v>
                </c:pt>
                <c:pt idx="371">
                  <c:v>-7.3964342646887773E-3</c:v>
                </c:pt>
                <c:pt idx="372">
                  <c:v>-5.2265343491824587E-3</c:v>
                </c:pt>
                <c:pt idx="373">
                  <c:v>-1.0196948414105664E-2</c:v>
                </c:pt>
                <c:pt idx="374">
                  <c:v>5.2125682718300453E-3</c:v>
                </c:pt>
                <c:pt idx="375">
                  <c:v>7.9975110538436783E-3</c:v>
                </c:pt>
                <c:pt idx="376">
                  <c:v>-4.5183106428519125E-3</c:v>
                </c:pt>
                <c:pt idx="377">
                  <c:v>2.1939694255213867E-2</c:v>
                </c:pt>
                <c:pt idx="378">
                  <c:v>-1.3884189368912538E-2</c:v>
                </c:pt>
                <c:pt idx="379">
                  <c:v>-1.3925252212757321E-2</c:v>
                </c:pt>
                <c:pt idx="380">
                  <c:v>-4.8080038833952727E-3</c:v>
                </c:pt>
                <c:pt idx="381">
                  <c:v>-1.8344799930477879E-3</c:v>
                </c:pt>
                <c:pt idx="382">
                  <c:v>-2.4999161881179249E-3</c:v>
                </c:pt>
                <c:pt idx="383">
                  <c:v>7.3747362523902977E-3</c:v>
                </c:pt>
                <c:pt idx="384">
                  <c:v>-1.4147068971743178E-2</c:v>
                </c:pt>
                <c:pt idx="385">
                  <c:v>-1.0438477276184173E-2</c:v>
                </c:pt>
                <c:pt idx="386">
                  <c:v>7.4286481791437553E-4</c:v>
                </c:pt>
                <c:pt idx="387">
                  <c:v>-7.7229671349076422E-3</c:v>
                </c:pt>
                <c:pt idx="388">
                  <c:v>-2.3165656133478183E-2</c:v>
                </c:pt>
                <c:pt idx="389">
                  <c:v>9.1789925551816996E-3</c:v>
                </c:pt>
                <c:pt idx="390">
                  <c:v>8.4736450275691676E-3</c:v>
                </c:pt>
                <c:pt idx="391">
                  <c:v>1.5085795544257924E-2</c:v>
                </c:pt>
                <c:pt idx="392">
                  <c:v>5.9908149495874058E-3</c:v>
                </c:pt>
                <c:pt idx="393">
                  <c:v>1.8686129525218156E-2</c:v>
                </c:pt>
                <c:pt idx="394">
                  <c:v>-1.7812188141497452E-2</c:v>
                </c:pt>
                <c:pt idx="395">
                  <c:v>-3.6973708217184699E-3</c:v>
                </c:pt>
                <c:pt idx="396">
                  <c:v>3.5697640858728891E-3</c:v>
                </c:pt>
                <c:pt idx="397">
                  <c:v>-8.7850027886137889E-3</c:v>
                </c:pt>
                <c:pt idx="398">
                  <c:v>-1.5460855408815459E-3</c:v>
                </c:pt>
                <c:pt idx="399">
                  <c:v>1.0115101366414084E-2</c:v>
                </c:pt>
                <c:pt idx="400">
                  <c:v>4.1984239703449409E-2</c:v>
                </c:pt>
                <c:pt idx="401">
                  <c:v>6.3443414244011755E-3</c:v>
                </c:pt>
                <c:pt idx="402">
                  <c:v>-4.0497271163569644E-3</c:v>
                </c:pt>
                <c:pt idx="403">
                  <c:v>-1.6828294301670728E-3</c:v>
                </c:pt>
                <c:pt idx="404">
                  <c:v>-2.477685621844956E-3</c:v>
                </c:pt>
                <c:pt idx="405">
                  <c:v>1.3856227385310406E-3</c:v>
                </c:pt>
                <c:pt idx="406">
                  <c:v>-2.1421638269739165E-2</c:v>
                </c:pt>
                <c:pt idx="407">
                  <c:v>4.3595229406465834E-3</c:v>
                </c:pt>
                <c:pt idx="408">
                  <c:v>-4.0323796682205171E-3</c:v>
                </c:pt>
                <c:pt idx="409">
                  <c:v>-7.0185211381221923E-3</c:v>
                </c:pt>
                <c:pt idx="410">
                  <c:v>-8.8356645895622064E-3</c:v>
                </c:pt>
                <c:pt idx="411">
                  <c:v>5.9541677111834149E-3</c:v>
                </c:pt>
                <c:pt idx="412">
                  <c:v>1.4555006050659403E-2</c:v>
                </c:pt>
                <c:pt idx="413">
                  <c:v>-2.4279271108780823E-2</c:v>
                </c:pt>
                <c:pt idx="414">
                  <c:v>-1.2762366500276377E-3</c:v>
                </c:pt>
                <c:pt idx="415">
                  <c:v>3.6966081384694721E-3</c:v>
                </c:pt>
                <c:pt idx="416">
                  <c:v>2.869163924831479E-2</c:v>
                </c:pt>
                <c:pt idx="417">
                  <c:v>8.4663605293671899E-3</c:v>
                </c:pt>
                <c:pt idx="418">
                  <c:v>1.0058445814768979E-2</c:v>
                </c:pt>
                <c:pt idx="419">
                  <c:v>3.1133217418006982E-3</c:v>
                </c:pt>
                <c:pt idx="420">
                  <c:v>7.491782991523907E-3</c:v>
                </c:pt>
                <c:pt idx="421">
                  <c:v>1.9195280903117284E-3</c:v>
                </c:pt>
                <c:pt idx="422">
                  <c:v>5.1955812000380585E-3</c:v>
                </c:pt>
                <c:pt idx="423">
                  <c:v>-7.6879898788983613E-3</c:v>
                </c:pt>
                <c:pt idx="424">
                  <c:v>1.1633273706022523E-2</c:v>
                </c:pt>
                <c:pt idx="425">
                  <c:v>5.9025165902391154E-3</c:v>
                </c:pt>
                <c:pt idx="426">
                  <c:v>5.7685588732272882E-3</c:v>
                </c:pt>
                <c:pt idx="427">
                  <c:v>-4.81540408589961E-3</c:v>
                </c:pt>
                <c:pt idx="428">
                  <c:v>-2.5801542418404473E-3</c:v>
                </c:pt>
                <c:pt idx="429">
                  <c:v>-1.0323368429656242E-2</c:v>
                </c:pt>
                <c:pt idx="430">
                  <c:v>1.1459820005035749E-2</c:v>
                </c:pt>
                <c:pt idx="431">
                  <c:v>7.7118412612509433E-3</c:v>
                </c:pt>
                <c:pt idx="432">
                  <c:v>-5.1799301317757155E-3</c:v>
                </c:pt>
                <c:pt idx="433">
                  <c:v>-1.2457981459515256E-2</c:v>
                </c:pt>
                <c:pt idx="434">
                  <c:v>-5.8168059381675701E-3</c:v>
                </c:pt>
                <c:pt idx="435">
                  <c:v>2.0375305150691376E-2</c:v>
                </c:pt>
                <c:pt idx="436">
                  <c:v>1.7865061037563173E-2</c:v>
                </c:pt>
                <c:pt idx="437">
                  <c:v>1.2252836110806717E-3</c:v>
                </c:pt>
                <c:pt idx="438">
                  <c:v>1.6841132550602083E-2</c:v>
                </c:pt>
                <c:pt idx="439">
                  <c:v>7.6315679517702526E-3</c:v>
                </c:pt>
                <c:pt idx="440">
                  <c:v>1.3169686315428942E-2</c:v>
                </c:pt>
                <c:pt idx="441">
                  <c:v>2.7052991686470039E-3</c:v>
                </c:pt>
                <c:pt idx="442">
                  <c:v>-5.0666763663981835E-3</c:v>
                </c:pt>
                <c:pt idx="443">
                  <c:v>1.9728219428663984E-2</c:v>
                </c:pt>
                <c:pt idx="444">
                  <c:v>1.2757566042694954E-3</c:v>
                </c:pt>
                <c:pt idx="445">
                  <c:v>-3.8911045443364191E-3</c:v>
                </c:pt>
                <c:pt idx="446">
                  <c:v>9.2198996903481677E-3</c:v>
                </c:pt>
                <c:pt idx="447">
                  <c:v>-1.9709376682565021E-3</c:v>
                </c:pt>
                <c:pt idx="448">
                  <c:v>6.648860947556989E-3</c:v>
                </c:pt>
                <c:pt idx="449">
                  <c:v>-1.2416914633101283E-2</c:v>
                </c:pt>
                <c:pt idx="450">
                  <c:v>3.614797169379921E-4</c:v>
                </c:pt>
                <c:pt idx="451">
                  <c:v>-6.1883681176211772E-3</c:v>
                </c:pt>
                <c:pt idx="452">
                  <c:v>-6.107769892942953E-3</c:v>
                </c:pt>
                <c:pt idx="453">
                  <c:v>-7.1903436976882727E-3</c:v>
                </c:pt>
                <c:pt idx="454">
                  <c:v>1.4481415648187869E-2</c:v>
                </c:pt>
                <c:pt idx="455">
                  <c:v>-2.5034901221922604E-3</c:v>
                </c:pt>
                <c:pt idx="456">
                  <c:v>1.3341382272906427E-2</c:v>
                </c:pt>
                <c:pt idx="457">
                  <c:v>-5.0010784906834721E-3</c:v>
                </c:pt>
                <c:pt idx="458">
                  <c:v>3.9643844482828263E-3</c:v>
                </c:pt>
                <c:pt idx="459">
                  <c:v>-1.7917981217500378E-2</c:v>
                </c:pt>
                <c:pt idx="460">
                  <c:v>1.2457634746513064E-2</c:v>
                </c:pt>
                <c:pt idx="461">
                  <c:v>-8.0730044936836217E-3</c:v>
                </c:pt>
                <c:pt idx="462">
                  <c:v>-3.2781624105016911E-3</c:v>
                </c:pt>
                <c:pt idx="463">
                  <c:v>9.3528673354224053E-4</c:v>
                </c:pt>
                <c:pt idx="464">
                  <c:v>1.3489420770090722E-2</c:v>
                </c:pt>
                <c:pt idx="465">
                  <c:v>-1.3107055453613179E-2</c:v>
                </c:pt>
                <c:pt idx="466">
                  <c:v>4.3063687115961168E-3</c:v>
                </c:pt>
                <c:pt idx="467">
                  <c:v>-3.2025783536385219E-3</c:v>
                </c:pt>
                <c:pt idx="468">
                  <c:v>-2.4554693232708377E-3</c:v>
                </c:pt>
                <c:pt idx="469">
                  <c:v>4.5069781555661303E-3</c:v>
                </c:pt>
                <c:pt idx="470">
                  <c:v>1.7910676015625137E-2</c:v>
                </c:pt>
                <c:pt idx="471">
                  <c:v>9.3145619400477088E-3</c:v>
                </c:pt>
                <c:pt idx="472">
                  <c:v>5.47361136472209E-3</c:v>
                </c:pt>
                <c:pt idx="473">
                  <c:v>4.5140896383985274E-3</c:v>
                </c:pt>
                <c:pt idx="474">
                  <c:v>-2.1192300015983684E-2</c:v>
                </c:pt>
                <c:pt idx="475">
                  <c:v>1.6404571976407986E-3</c:v>
                </c:pt>
                <c:pt idx="476">
                  <c:v>1.4504859266509323E-2</c:v>
                </c:pt>
                <c:pt idx="477">
                  <c:v>-5.715687604257242E-3</c:v>
                </c:pt>
                <c:pt idx="478">
                  <c:v>-3.2134579730827028E-3</c:v>
                </c:pt>
                <c:pt idx="479">
                  <c:v>-2.2613855440402871E-3</c:v>
                </c:pt>
                <c:pt idx="480">
                  <c:v>-8.9798765815645391E-3</c:v>
                </c:pt>
                <c:pt idx="481">
                  <c:v>-1.0716319969989762E-3</c:v>
                </c:pt>
                <c:pt idx="482">
                  <c:v>-2.4321729605994041E-3</c:v>
                </c:pt>
                <c:pt idx="483">
                  <c:v>-5.7347767053663734E-3</c:v>
                </c:pt>
                <c:pt idx="484">
                  <c:v>-4.9839711454518175E-4</c:v>
                </c:pt>
                <c:pt idx="485">
                  <c:v>-2.4110156974697298E-3</c:v>
                </c:pt>
                <c:pt idx="486">
                  <c:v>-1.0686637094918424E-2</c:v>
                </c:pt>
                <c:pt idx="487">
                  <c:v>-5.4854396048967776E-3</c:v>
                </c:pt>
                <c:pt idx="488">
                  <c:v>-4.9964938713978379E-3</c:v>
                </c:pt>
                <c:pt idx="489">
                  <c:v>-5.2911553179962522E-3</c:v>
                </c:pt>
                <c:pt idx="490">
                  <c:v>3.706746261041019E-3</c:v>
                </c:pt>
                <c:pt idx="491">
                  <c:v>-8.5277973099705546E-3</c:v>
                </c:pt>
                <c:pt idx="492">
                  <c:v>1.4979571897486443E-2</c:v>
                </c:pt>
                <c:pt idx="493">
                  <c:v>1.689392309356802E-2</c:v>
                </c:pt>
                <c:pt idx="494">
                  <c:v>-9.4319059831611141E-3</c:v>
                </c:pt>
                <c:pt idx="495">
                  <c:v>-1.0212101820280293E-2</c:v>
                </c:pt>
                <c:pt idx="496">
                  <c:v>1.1023557915919415E-2</c:v>
                </c:pt>
                <c:pt idx="497">
                  <c:v>1.0894917235112956E-2</c:v>
                </c:pt>
                <c:pt idx="498">
                  <c:v>-7.3663440935483977E-3</c:v>
                </c:pt>
                <c:pt idx="499">
                  <c:v>-1.5372585462495463E-2</c:v>
                </c:pt>
                <c:pt idx="500">
                  <c:v>1.841385732428279E-2</c:v>
                </c:pt>
                <c:pt idx="501">
                  <c:v>-9.8442745676535618E-4</c:v>
                </c:pt>
                <c:pt idx="502">
                  <c:v>-3.7940056058888751E-3</c:v>
                </c:pt>
                <c:pt idx="503">
                  <c:v>-1.153812796838103E-2</c:v>
                </c:pt>
                <c:pt idx="504">
                  <c:v>-5.8107021314274115E-3</c:v>
                </c:pt>
                <c:pt idx="505">
                  <c:v>1.352326419536635E-2</c:v>
                </c:pt>
                <c:pt idx="506">
                  <c:v>9.2399667831220781E-3</c:v>
                </c:pt>
                <c:pt idx="507">
                  <c:v>1.7616374228578418E-3</c:v>
                </c:pt>
                <c:pt idx="508">
                  <c:v>1.0237158368594604E-2</c:v>
                </c:pt>
                <c:pt idx="509">
                  <c:v>-5.3243879720943242E-3</c:v>
                </c:pt>
                <c:pt idx="510">
                  <c:v>-3.9654802519088579E-3</c:v>
                </c:pt>
                <c:pt idx="511">
                  <c:v>-3.7436414596252496E-3</c:v>
                </c:pt>
                <c:pt idx="512">
                  <c:v>7.1784903741473468E-3</c:v>
                </c:pt>
                <c:pt idx="513">
                  <c:v>-2.1717767222469795E-2</c:v>
                </c:pt>
                <c:pt idx="514">
                  <c:v>-1.1716362031894793E-3</c:v>
                </c:pt>
                <c:pt idx="515">
                  <c:v>-7.2434402608264486E-4</c:v>
                </c:pt>
                <c:pt idx="516">
                  <c:v>-1.5053430906268485E-2</c:v>
                </c:pt>
                <c:pt idx="517">
                  <c:v>1.1727640062871142E-3</c:v>
                </c:pt>
                <c:pt idx="518">
                  <c:v>1.2205769246978242E-2</c:v>
                </c:pt>
                <c:pt idx="519">
                  <c:v>7.1805247047940241E-3</c:v>
                </c:pt>
                <c:pt idx="520">
                  <c:v>-1.302139958711682E-2</c:v>
                </c:pt>
                <c:pt idx="521">
                  <c:v>-1.4338731982347329E-2</c:v>
                </c:pt>
                <c:pt idx="522">
                  <c:v>1.656198347092969E-3</c:v>
                </c:pt>
                <c:pt idx="523">
                  <c:v>-2.8471840504804124E-3</c:v>
                </c:pt>
                <c:pt idx="524">
                  <c:v>7.7906256317721578E-3</c:v>
                </c:pt>
                <c:pt idx="525">
                  <c:v>8.5991651697529918E-3</c:v>
                </c:pt>
                <c:pt idx="526">
                  <c:v>1.3635810454851072E-2</c:v>
                </c:pt>
                <c:pt idx="527">
                  <c:v>2.686195945125053E-3</c:v>
                </c:pt>
                <c:pt idx="528">
                  <c:v>-1.1142487653287889E-2</c:v>
                </c:pt>
                <c:pt idx="529">
                  <c:v>6.7158263160283088E-3</c:v>
                </c:pt>
                <c:pt idx="530">
                  <c:v>-5.3863029355463278E-3</c:v>
                </c:pt>
                <c:pt idx="531">
                  <c:v>-1.6072147256766419E-2</c:v>
                </c:pt>
                <c:pt idx="532">
                  <c:v>-4.9109023015870916E-4</c:v>
                </c:pt>
                <c:pt idx="533">
                  <c:v>-7.4749752655244193E-3</c:v>
                </c:pt>
                <c:pt idx="534">
                  <c:v>-3.2752087346098464E-3</c:v>
                </c:pt>
                <c:pt idx="535">
                  <c:v>8.6251952743004734E-3</c:v>
                </c:pt>
                <c:pt idx="536">
                  <c:v>-8.2262856220455885E-3</c:v>
                </c:pt>
                <c:pt idx="537">
                  <c:v>1.7108854230627496E-2</c:v>
                </c:pt>
                <c:pt idx="538">
                  <c:v>-1.2943121260640605E-2</c:v>
                </c:pt>
                <c:pt idx="539">
                  <c:v>-6.8103684780735658E-3</c:v>
                </c:pt>
                <c:pt idx="540">
                  <c:v>5.4237180759306473E-3</c:v>
                </c:pt>
                <c:pt idx="541">
                  <c:v>1.6731548042509113E-2</c:v>
                </c:pt>
                <c:pt idx="542">
                  <c:v>2.6646746462416493E-2</c:v>
                </c:pt>
                <c:pt idx="543">
                  <c:v>2.2908742810985611E-3</c:v>
                </c:pt>
                <c:pt idx="544">
                  <c:v>7.0425492696457913E-3</c:v>
                </c:pt>
                <c:pt idx="545">
                  <c:v>-7.6327878058256196E-4</c:v>
                </c:pt>
                <c:pt idx="546">
                  <c:v>-1.2006164045962441E-3</c:v>
                </c:pt>
                <c:pt idx="547">
                  <c:v>1.2804742528685289E-2</c:v>
                </c:pt>
                <c:pt idx="548">
                  <c:v>-1.3113232132475451E-3</c:v>
                </c:pt>
                <c:pt idx="549">
                  <c:v>2.2630453081478603E-2</c:v>
                </c:pt>
                <c:pt idx="550">
                  <c:v>1.1888519998099752E-2</c:v>
                </c:pt>
                <c:pt idx="551">
                  <c:v>1.0745273915701153E-3</c:v>
                </c:pt>
                <c:pt idx="552">
                  <c:v>9.4444924891278204E-3</c:v>
                </c:pt>
                <c:pt idx="553">
                  <c:v>-2.6313398837409024E-3</c:v>
                </c:pt>
                <c:pt idx="554">
                  <c:v>3.2504071754888243E-3</c:v>
                </c:pt>
                <c:pt idx="555">
                  <c:v>4.2832721228888114E-3</c:v>
                </c:pt>
                <c:pt idx="556">
                  <c:v>-8.4017107135004564E-3</c:v>
                </c:pt>
                <c:pt idx="557">
                  <c:v>1.7034965591811197E-3</c:v>
                </c:pt>
                <c:pt idx="558">
                  <c:v>6.3979541901492297E-3</c:v>
                </c:pt>
                <c:pt idx="559">
                  <c:v>-2.9441581352890318E-3</c:v>
                </c:pt>
                <c:pt idx="560">
                  <c:v>9.1914949836566888E-3</c:v>
                </c:pt>
                <c:pt idx="561">
                  <c:v>6.6845377975629722E-3</c:v>
                </c:pt>
                <c:pt idx="562">
                  <c:v>-1.0839831931558554E-2</c:v>
                </c:pt>
                <c:pt idx="563">
                  <c:v>7.8831407360230126E-4</c:v>
                </c:pt>
                <c:pt idx="564">
                  <c:v>-1.0137656814245093E-2</c:v>
                </c:pt>
                <c:pt idx="565">
                  <c:v>3.0759105930024217E-3</c:v>
                </c:pt>
                <c:pt idx="566">
                  <c:v>8.5657012758426389E-3</c:v>
                </c:pt>
                <c:pt idx="567">
                  <c:v>-1.401519854623815E-3</c:v>
                </c:pt>
                <c:pt idx="568">
                  <c:v>-4.0502346944994161E-3</c:v>
                </c:pt>
                <c:pt idx="569">
                  <c:v>2.3935358731409447E-2</c:v>
                </c:pt>
                <c:pt idx="570">
                  <c:v>1.0579914058932455E-2</c:v>
                </c:pt>
                <c:pt idx="571">
                  <c:v>-4.9418003643074008E-3</c:v>
                </c:pt>
                <c:pt idx="572">
                  <c:v>6.7896510462568749E-3</c:v>
                </c:pt>
                <c:pt idx="573">
                  <c:v>5.8341580661071674E-3</c:v>
                </c:pt>
                <c:pt idx="574">
                  <c:v>-7.9724775514563567E-3</c:v>
                </c:pt>
                <c:pt idx="575">
                  <c:v>1.0479741214703336E-2</c:v>
                </c:pt>
                <c:pt idx="576">
                  <c:v>4.3104979267875199E-3</c:v>
                </c:pt>
                <c:pt idx="577">
                  <c:v>5.8583795681217705E-3</c:v>
                </c:pt>
                <c:pt idx="578">
                  <c:v>4.9378758442391981E-3</c:v>
                </c:pt>
                <c:pt idx="579">
                  <c:v>-6.7069331083087125E-5</c:v>
                </c:pt>
                <c:pt idx="580">
                  <c:v>-1.1151111120500233E-2</c:v>
                </c:pt>
                <c:pt idx="581">
                  <c:v>1.0318946726110474E-3</c:v>
                </c:pt>
                <c:pt idx="582">
                  <c:v>-1.2179200761672608E-2</c:v>
                </c:pt>
                <c:pt idx="583">
                  <c:v>6.0551222236948921E-3</c:v>
                </c:pt>
                <c:pt idx="584">
                  <c:v>3.0554003728050453E-3</c:v>
                </c:pt>
                <c:pt idx="585">
                  <c:v>-7.4278216554328038E-3</c:v>
                </c:pt>
                <c:pt idx="586">
                  <c:v>-4.6208829859076565E-3</c:v>
                </c:pt>
                <c:pt idx="587">
                  <c:v>-1.4685076638053325E-3</c:v>
                </c:pt>
                <c:pt idx="588">
                  <c:v>2.5913780520761273E-3</c:v>
                </c:pt>
                <c:pt idx="589">
                  <c:v>4.0608187333896848E-3</c:v>
                </c:pt>
                <c:pt idx="590">
                  <c:v>-1.7077653696460776E-2</c:v>
                </c:pt>
                <c:pt idx="591">
                  <c:v>-5.9732236649642136E-3</c:v>
                </c:pt>
                <c:pt idx="592">
                  <c:v>-9.4434723057876327E-3</c:v>
                </c:pt>
                <c:pt idx="593">
                  <c:v>2.5102777624010689E-3</c:v>
                </c:pt>
                <c:pt idx="594">
                  <c:v>-8.1341554068767724E-3</c:v>
                </c:pt>
                <c:pt idx="595">
                  <c:v>1.303453606265835E-2</c:v>
                </c:pt>
                <c:pt idx="596">
                  <c:v>-3.4911137109895308E-3</c:v>
                </c:pt>
                <c:pt idx="597">
                  <c:v>2.7579758482396627E-3</c:v>
                </c:pt>
                <c:pt idx="598">
                  <c:v>6.2068521087029231E-3</c:v>
                </c:pt>
                <c:pt idx="599">
                  <c:v>-3.6043073159573572E-3</c:v>
                </c:pt>
                <c:pt idx="600">
                  <c:v>-8.604808764287172E-3</c:v>
                </c:pt>
                <c:pt idx="601">
                  <c:v>2.7434429365974199E-3</c:v>
                </c:pt>
                <c:pt idx="602">
                  <c:v>5.690148942173557E-3</c:v>
                </c:pt>
                <c:pt idx="603">
                  <c:v>-1.0161902022084704E-2</c:v>
                </c:pt>
                <c:pt idx="604">
                  <c:v>3.2263790130588987E-3</c:v>
                </c:pt>
                <c:pt idx="605">
                  <c:v>2.1883830880387756E-2</c:v>
                </c:pt>
                <c:pt idx="606">
                  <c:v>-3.5795802646023333E-3</c:v>
                </c:pt>
                <c:pt idx="607">
                  <c:v>-1.3425620088023612E-2</c:v>
                </c:pt>
                <c:pt idx="608">
                  <c:v>-1.4907727069481086E-3</c:v>
                </c:pt>
                <c:pt idx="609">
                  <c:v>-7.9045595935429043E-3</c:v>
                </c:pt>
                <c:pt idx="610">
                  <c:v>6.169031659187545E-3</c:v>
                </c:pt>
                <c:pt idx="611">
                  <c:v>7.1882740425956672E-3</c:v>
                </c:pt>
                <c:pt idx="612">
                  <c:v>2.4053207956215286E-3</c:v>
                </c:pt>
                <c:pt idx="613">
                  <c:v>6.796652565672778E-3</c:v>
                </c:pt>
                <c:pt idx="614">
                  <c:v>8.9248624878667427E-4</c:v>
                </c:pt>
                <c:pt idx="615">
                  <c:v>1.6060063465825327E-3</c:v>
                </c:pt>
                <c:pt idx="616">
                  <c:v>-6.3313775391863137E-3</c:v>
                </c:pt>
                <c:pt idx="617">
                  <c:v>1.4670231332196565E-3</c:v>
                </c:pt>
                <c:pt idx="618">
                  <c:v>1.5920856150823223E-2</c:v>
                </c:pt>
                <c:pt idx="619">
                  <c:v>-1.1717034188725326E-2</c:v>
                </c:pt>
                <c:pt idx="620">
                  <c:v>-8.7586168094671082E-3</c:v>
                </c:pt>
                <c:pt idx="621">
                  <c:v>1.23934950023103E-3</c:v>
                </c:pt>
                <c:pt idx="622">
                  <c:v>-6.5159965092901348E-3</c:v>
                </c:pt>
                <c:pt idx="623">
                  <c:v>-1.8951881167270476E-3</c:v>
                </c:pt>
                <c:pt idx="624">
                  <c:v>6.1637314383787651E-3</c:v>
                </c:pt>
                <c:pt idx="625">
                  <c:v>-4.276335094318919E-3</c:v>
                </c:pt>
                <c:pt idx="626">
                  <c:v>-9.9370069587618823E-3</c:v>
                </c:pt>
                <c:pt idx="627">
                  <c:v>-7.4804353634862321E-3</c:v>
                </c:pt>
                <c:pt idx="628">
                  <c:v>1.216759432210807E-2</c:v>
                </c:pt>
                <c:pt idx="629">
                  <c:v>2.6439934987892919E-3</c:v>
                </c:pt>
                <c:pt idx="630">
                  <c:v>-2.4716863844289208E-3</c:v>
                </c:pt>
                <c:pt idx="631">
                  <c:v>-7.4519273280278589E-3</c:v>
                </c:pt>
                <c:pt idx="632">
                  <c:v>1.6712920136448418E-3</c:v>
                </c:pt>
                <c:pt idx="633">
                  <c:v>4.5189735936134899E-3</c:v>
                </c:pt>
                <c:pt idx="634">
                  <c:v>1.2437137723982226E-2</c:v>
                </c:pt>
                <c:pt idx="635">
                  <c:v>-7.5092468967619353E-3</c:v>
                </c:pt>
                <c:pt idx="636">
                  <c:v>-8.8720182550952546E-3</c:v>
                </c:pt>
                <c:pt idx="637">
                  <c:v>-7.5603056074359531E-4</c:v>
                </c:pt>
                <c:pt idx="638">
                  <c:v>-5.3586768502963858E-4</c:v>
                </c:pt>
                <c:pt idx="639">
                  <c:v>6.5055188305854919E-3</c:v>
                </c:pt>
                <c:pt idx="640">
                  <c:v>3.2447633405409191E-3</c:v>
                </c:pt>
                <c:pt idx="641">
                  <c:v>-8.7497030123566862E-3</c:v>
                </c:pt>
                <c:pt idx="642">
                  <c:v>4.3922612934245171E-3</c:v>
                </c:pt>
                <c:pt idx="643">
                  <c:v>-1.8127106550001452E-3</c:v>
                </c:pt>
                <c:pt idx="644">
                  <c:v>8.6360537034243471E-4</c:v>
                </c:pt>
                <c:pt idx="645">
                  <c:v>-4.9798901607081844E-3</c:v>
                </c:pt>
                <c:pt idx="646">
                  <c:v>1.6131653310244971E-2</c:v>
                </c:pt>
                <c:pt idx="647">
                  <c:v>7.9846760599469359E-3</c:v>
                </c:pt>
                <c:pt idx="648">
                  <c:v>-1.4235888463812969E-2</c:v>
                </c:pt>
                <c:pt idx="649">
                  <c:v>-5.1517044844726374E-3</c:v>
                </c:pt>
                <c:pt idx="650">
                  <c:v>-1.1447101810982662E-2</c:v>
                </c:pt>
                <c:pt idx="651">
                  <c:v>-4.8710698033499495E-3</c:v>
                </c:pt>
                <c:pt idx="652">
                  <c:v>-7.5684218984653816E-3</c:v>
                </c:pt>
                <c:pt idx="653">
                  <c:v>-1.754104086712878E-3</c:v>
                </c:pt>
                <c:pt idx="654">
                  <c:v>2.0131499019147966E-4</c:v>
                </c:pt>
                <c:pt idx="655">
                  <c:v>7.444282733868799E-3</c:v>
                </c:pt>
                <c:pt idx="656">
                  <c:v>3.5820171768103665E-3</c:v>
                </c:pt>
                <c:pt idx="657">
                  <c:v>-3.3902258451907535E-3</c:v>
                </c:pt>
                <c:pt idx="658">
                  <c:v>-3.2574491865496255E-3</c:v>
                </c:pt>
                <c:pt idx="659">
                  <c:v>-7.6186813743436247E-4</c:v>
                </c:pt>
                <c:pt idx="660">
                  <c:v>1.4970101042184859E-2</c:v>
                </c:pt>
                <c:pt idx="661">
                  <c:v>6.5070854075578877E-3</c:v>
                </c:pt>
                <c:pt idx="662">
                  <c:v>-1.1276355687514365E-2</c:v>
                </c:pt>
                <c:pt idx="663">
                  <c:v>9.4687049048881554E-3</c:v>
                </c:pt>
                <c:pt idx="664">
                  <c:v>1.0851685522961802E-2</c:v>
                </c:pt>
                <c:pt idx="665">
                  <c:v>-3.346629080753262E-4</c:v>
                </c:pt>
                <c:pt idx="666">
                  <c:v>5.7747098490338938E-3</c:v>
                </c:pt>
                <c:pt idx="667">
                  <c:v>2.0951644945853189E-3</c:v>
                </c:pt>
                <c:pt idx="668">
                  <c:v>-1.0036215867398085E-2</c:v>
                </c:pt>
                <c:pt idx="669">
                  <c:v>-4.5975654506264924E-3</c:v>
                </c:pt>
                <c:pt idx="670">
                  <c:v>4.3400979154701374E-3</c:v>
                </c:pt>
                <c:pt idx="671">
                  <c:v>2.8051602140311497E-3</c:v>
                </c:pt>
                <c:pt idx="672">
                  <c:v>-3.7966390428662154E-3</c:v>
                </c:pt>
                <c:pt idx="673">
                  <c:v>1.9975661313224118E-3</c:v>
                </c:pt>
                <c:pt idx="674">
                  <c:v>-1.0372999935700743E-3</c:v>
                </c:pt>
                <c:pt idx="675">
                  <c:v>-3.1261992932503442E-3</c:v>
                </c:pt>
                <c:pt idx="676">
                  <c:v>-2.6571266167435144E-3</c:v>
                </c:pt>
                <c:pt idx="677">
                  <c:v>-1.3925666235481851E-2</c:v>
                </c:pt>
                <c:pt idx="678">
                  <c:v>-7.3568802015278583E-3</c:v>
                </c:pt>
                <c:pt idx="679">
                  <c:v>-3.3971161226249323E-3</c:v>
                </c:pt>
                <c:pt idx="680">
                  <c:v>1.5273192091258909E-3</c:v>
                </c:pt>
                <c:pt idx="681">
                  <c:v>-5.767790563358857E-3</c:v>
                </c:pt>
                <c:pt idx="682">
                  <c:v>-8.7063965068713868E-3</c:v>
                </c:pt>
                <c:pt idx="683">
                  <c:v>-4.9753988382189905E-3</c:v>
                </c:pt>
                <c:pt idx="684">
                  <c:v>-5.4069554424225901E-4</c:v>
                </c:pt>
                <c:pt idx="685">
                  <c:v>-1.8865299196508466E-3</c:v>
                </c:pt>
                <c:pt idx="686">
                  <c:v>-3.2482379131143885E-3</c:v>
                </c:pt>
                <c:pt idx="687">
                  <c:v>1.2214342253267339E-2</c:v>
                </c:pt>
                <c:pt idx="688">
                  <c:v>-1.7499810469744748E-2</c:v>
                </c:pt>
                <c:pt idx="689">
                  <c:v>-5.796453400212958E-5</c:v>
                </c:pt>
                <c:pt idx="690">
                  <c:v>7.2196522259922917E-3</c:v>
                </c:pt>
                <c:pt idx="691">
                  <c:v>-1.4066489888727994E-2</c:v>
                </c:pt>
                <c:pt idx="692">
                  <c:v>-3.0730199879679715E-3</c:v>
                </c:pt>
                <c:pt idx="693">
                  <c:v>7.8585465733903802E-4</c:v>
                </c:pt>
                <c:pt idx="694">
                  <c:v>-4.3886167589435284E-3</c:v>
                </c:pt>
                <c:pt idx="695">
                  <c:v>4.1211610964830298E-3</c:v>
                </c:pt>
                <c:pt idx="696">
                  <c:v>5.2607347108513842E-3</c:v>
                </c:pt>
                <c:pt idx="697">
                  <c:v>1.5371388154596386E-3</c:v>
                </c:pt>
                <c:pt idx="698">
                  <c:v>7.4032440764913061E-3</c:v>
                </c:pt>
                <c:pt idx="699">
                  <c:v>1.0624008639217501E-2</c:v>
                </c:pt>
                <c:pt idx="700">
                  <c:v>-2.4982867897572394E-3</c:v>
                </c:pt>
                <c:pt idx="701">
                  <c:v>2.5309028417500028E-3</c:v>
                </c:pt>
                <c:pt idx="702">
                  <c:v>1.3500968387139657E-2</c:v>
                </c:pt>
                <c:pt idx="703">
                  <c:v>-3.2310726496325593E-3</c:v>
                </c:pt>
                <c:pt idx="704">
                  <c:v>6.523904486149746E-3</c:v>
                </c:pt>
                <c:pt idx="705">
                  <c:v>5.5309514245420195E-4</c:v>
                </c:pt>
                <c:pt idx="706">
                  <c:v>6.9874789689184109E-3</c:v>
                </c:pt>
                <c:pt idx="707">
                  <c:v>3.9868851107608891E-3</c:v>
                </c:pt>
                <c:pt idx="708">
                  <c:v>8.1606463323575075E-4</c:v>
                </c:pt>
                <c:pt idx="709">
                  <c:v>2.2229702803688361E-3</c:v>
                </c:pt>
                <c:pt idx="710">
                  <c:v>4.4154359432974606E-3</c:v>
                </c:pt>
                <c:pt idx="711">
                  <c:v>8.6503154895070948E-4</c:v>
                </c:pt>
                <c:pt idx="712">
                  <c:v>8.4223548059784541E-3</c:v>
                </c:pt>
                <c:pt idx="713">
                  <c:v>4.6891306841522849E-3</c:v>
                </c:pt>
                <c:pt idx="714">
                  <c:v>3.2840497646897506E-3</c:v>
                </c:pt>
                <c:pt idx="715">
                  <c:v>-1.6329313966617306E-3</c:v>
                </c:pt>
                <c:pt idx="716">
                  <c:v>2.6299520109194599E-3</c:v>
                </c:pt>
                <c:pt idx="717">
                  <c:v>-1.3986894791038394E-2</c:v>
                </c:pt>
                <c:pt idx="718">
                  <c:v>-2.8205650718978608E-4</c:v>
                </c:pt>
                <c:pt idx="719">
                  <c:v>1.9101604392622699E-3</c:v>
                </c:pt>
                <c:pt idx="720">
                  <c:v>-9.9823976898439064E-3</c:v>
                </c:pt>
                <c:pt idx="721">
                  <c:v>-1.3200904637447452E-3</c:v>
                </c:pt>
                <c:pt idx="722">
                  <c:v>-3.7166662562890516E-3</c:v>
                </c:pt>
                <c:pt idx="723">
                  <c:v>1.2136856603182469E-2</c:v>
                </c:pt>
                <c:pt idx="724">
                  <c:v>-4.2288014096787362E-3</c:v>
                </c:pt>
                <c:pt idx="725">
                  <c:v>-6.4403426175077411E-3</c:v>
                </c:pt>
                <c:pt idx="726">
                  <c:v>1.1923337901809213E-2</c:v>
                </c:pt>
                <c:pt idx="727">
                  <c:v>-2.0153155064259556E-3</c:v>
                </c:pt>
                <c:pt idx="728">
                  <c:v>-1.2169990954167735E-2</c:v>
                </c:pt>
                <c:pt idx="729">
                  <c:v>-4.6510970898140189E-3</c:v>
                </c:pt>
                <c:pt idx="730">
                  <c:v>7.9273046997511681E-3</c:v>
                </c:pt>
                <c:pt idx="731">
                  <c:v>9.8274499361885956E-3</c:v>
                </c:pt>
                <c:pt idx="732">
                  <c:v>8.9548758840507486E-3</c:v>
                </c:pt>
                <c:pt idx="733">
                  <c:v>1.5073026388575743E-2</c:v>
                </c:pt>
                <c:pt idx="734">
                  <c:v>3.8283627992324117E-3</c:v>
                </c:pt>
                <c:pt idx="735">
                  <c:v>9.7301100847346431E-3</c:v>
                </c:pt>
                <c:pt idx="736">
                  <c:v>6.9247141782316484E-3</c:v>
                </c:pt>
                <c:pt idx="737">
                  <c:v>6.243687821181924E-3</c:v>
                </c:pt>
                <c:pt idx="738">
                  <c:v>-1.4919474916521766E-3</c:v>
                </c:pt>
                <c:pt idx="739">
                  <c:v>1.3532206898797954E-2</c:v>
                </c:pt>
                <c:pt idx="740">
                  <c:v>2.2731880386230425E-3</c:v>
                </c:pt>
                <c:pt idx="741">
                  <c:v>2.7664564829375559E-3</c:v>
                </c:pt>
                <c:pt idx="742">
                  <c:v>-9.5054040534291902E-3</c:v>
                </c:pt>
                <c:pt idx="743">
                  <c:v>3.2129312928606819E-3</c:v>
                </c:pt>
                <c:pt idx="744">
                  <c:v>9.4020076290428616E-3</c:v>
                </c:pt>
                <c:pt idx="745">
                  <c:v>-8.2582724441988104E-4</c:v>
                </c:pt>
                <c:pt idx="746">
                  <c:v>4.1441763673705388E-3</c:v>
                </c:pt>
                <c:pt idx="747">
                  <c:v>-9.5324166770180789E-3</c:v>
                </c:pt>
                <c:pt idx="748">
                  <c:v>-2.7201382291998073E-4</c:v>
                </c:pt>
                <c:pt idx="749">
                  <c:v>-8.1060574529602976E-3</c:v>
                </c:pt>
                <c:pt idx="750">
                  <c:v>-4.1075750673199409E-3</c:v>
                </c:pt>
                <c:pt idx="751">
                  <c:v>1.3000064767783927E-2</c:v>
                </c:pt>
                <c:pt idx="752">
                  <c:v>2.8685372165824972E-3</c:v>
                </c:pt>
                <c:pt idx="753">
                  <c:v>-1.4239894735791372E-2</c:v>
                </c:pt>
                <c:pt idx="754">
                  <c:v>1.225358384945627E-3</c:v>
                </c:pt>
                <c:pt idx="755">
                  <c:v>-3.0997174121956714E-3</c:v>
                </c:pt>
                <c:pt idx="756">
                  <c:v>2.6543062532213965E-3</c:v>
                </c:pt>
                <c:pt idx="757">
                  <c:v>-4.8231245761253304E-3</c:v>
                </c:pt>
                <c:pt idx="758">
                  <c:v>6.3441276924853605E-3</c:v>
                </c:pt>
                <c:pt idx="759">
                  <c:v>1.7481485933467122E-3</c:v>
                </c:pt>
                <c:pt idx="760">
                  <c:v>-1.1700324945004359E-3</c:v>
                </c:pt>
                <c:pt idx="761">
                  <c:v>-9.0210058444262081E-3</c:v>
                </c:pt>
                <c:pt idx="762">
                  <c:v>-4.6839195166289947E-3</c:v>
                </c:pt>
                <c:pt idx="763">
                  <c:v>-1.558012952758168E-2</c:v>
                </c:pt>
                <c:pt idx="764">
                  <c:v>-3.7992195006812594E-3</c:v>
                </c:pt>
                <c:pt idx="765">
                  <c:v>1.2088879122412523E-2</c:v>
                </c:pt>
                <c:pt idx="766">
                  <c:v>-4.3224127173842998E-3</c:v>
                </c:pt>
                <c:pt idx="767">
                  <c:v>1.0763683111781819E-2</c:v>
                </c:pt>
                <c:pt idx="768">
                  <c:v>-2.107323727093892E-3</c:v>
                </c:pt>
                <c:pt idx="769">
                  <c:v>-6.9099788829805739E-3</c:v>
                </c:pt>
                <c:pt idx="770">
                  <c:v>5.1378981100749987E-3</c:v>
                </c:pt>
                <c:pt idx="771">
                  <c:v>7.6689222137992299E-3</c:v>
                </c:pt>
                <c:pt idx="772">
                  <c:v>-1.3899849337237553E-2</c:v>
                </c:pt>
                <c:pt idx="773">
                  <c:v>9.1094045712592636E-4</c:v>
                </c:pt>
                <c:pt idx="774">
                  <c:v>1.7133547271659961E-3</c:v>
                </c:pt>
                <c:pt idx="775">
                  <c:v>-3.8401747188496881E-3</c:v>
                </c:pt>
                <c:pt idx="776">
                  <c:v>-1.1856002174155205E-2</c:v>
                </c:pt>
                <c:pt idx="777">
                  <c:v>3.0040550413403277E-3</c:v>
                </c:pt>
                <c:pt idx="778">
                  <c:v>-2.7732449739193235E-3</c:v>
                </c:pt>
                <c:pt idx="779">
                  <c:v>7.7625803112303972E-3</c:v>
                </c:pt>
                <c:pt idx="780">
                  <c:v>2.9002320388894608E-4</c:v>
                </c:pt>
                <c:pt idx="781">
                  <c:v>5.380673805877023E-3</c:v>
                </c:pt>
                <c:pt idx="782">
                  <c:v>-7.2902666500213615E-3</c:v>
                </c:pt>
                <c:pt idx="783">
                  <c:v>-2.2503568733109975E-3</c:v>
                </c:pt>
                <c:pt idx="784">
                  <c:v>-1.0503679169802341E-3</c:v>
                </c:pt>
                <c:pt idx="785">
                  <c:v>-3.1577396558577276E-3</c:v>
                </c:pt>
                <c:pt idx="786">
                  <c:v>-5.5404796337565256E-3</c:v>
                </c:pt>
                <c:pt idx="787">
                  <c:v>6.4327256143859998E-3</c:v>
                </c:pt>
                <c:pt idx="788">
                  <c:v>-1.3386676872169329E-3</c:v>
                </c:pt>
                <c:pt idx="789">
                  <c:v>1.0110922348497786E-2</c:v>
                </c:pt>
                <c:pt idx="790">
                  <c:v>-3.6878293934430274E-3</c:v>
                </c:pt>
                <c:pt idx="791">
                  <c:v>-6.963335642482905E-4</c:v>
                </c:pt>
                <c:pt idx="792">
                  <c:v>-7.113476406936603E-3</c:v>
                </c:pt>
                <c:pt idx="793">
                  <c:v>-1.2349187709445274E-2</c:v>
                </c:pt>
                <c:pt idx="794">
                  <c:v>1.8513032792958968E-2</c:v>
                </c:pt>
                <c:pt idx="795">
                  <c:v>1.1180201489259976E-3</c:v>
                </c:pt>
                <c:pt idx="796">
                  <c:v>-2.4520897183915968E-3</c:v>
                </c:pt>
                <c:pt idx="797">
                  <c:v>-5.0687932294827976E-3</c:v>
                </c:pt>
                <c:pt idx="798">
                  <c:v>-1.4384043707218757E-2</c:v>
                </c:pt>
                <c:pt idx="799">
                  <c:v>3.4414792443029566E-4</c:v>
                </c:pt>
                <c:pt idx="800">
                  <c:v>-1.3773028956389911E-3</c:v>
                </c:pt>
                <c:pt idx="801">
                  <c:v>2.8187541293466309E-4</c:v>
                </c:pt>
                <c:pt idx="802">
                  <c:v>4.5396555337685678E-4</c:v>
                </c:pt>
                <c:pt idx="803">
                  <c:v>-1.8782282102487892E-4</c:v>
                </c:pt>
                <c:pt idx="804">
                  <c:v>3.3520239227176553E-3</c:v>
                </c:pt>
                <c:pt idx="805">
                  <c:v>-9.9954187281178462E-3</c:v>
                </c:pt>
                <c:pt idx="806">
                  <c:v>1.7215947294894791E-2</c:v>
                </c:pt>
                <c:pt idx="807">
                  <c:v>-6.9723664711335764E-4</c:v>
                </c:pt>
                <c:pt idx="808">
                  <c:v>6.8428351871603586E-3</c:v>
                </c:pt>
                <c:pt idx="809">
                  <c:v>-1.7493293275629644E-2</c:v>
                </c:pt>
                <c:pt idx="810">
                  <c:v>-2.4252117153144251E-2</c:v>
                </c:pt>
                <c:pt idx="811">
                  <c:v>8.4546488484139714E-3</c:v>
                </c:pt>
                <c:pt idx="812">
                  <c:v>-3.4435515327743906E-3</c:v>
                </c:pt>
                <c:pt idx="813">
                  <c:v>7.1845162342834626E-3</c:v>
                </c:pt>
                <c:pt idx="814">
                  <c:v>-4.1232863175672593E-4</c:v>
                </c:pt>
                <c:pt idx="815">
                  <c:v>1.3948128234742944E-2</c:v>
                </c:pt>
                <c:pt idx="816">
                  <c:v>-1.506702944776106E-2</c:v>
                </c:pt>
                <c:pt idx="817">
                  <c:v>9.9860205081951977E-3</c:v>
                </c:pt>
                <c:pt idx="818">
                  <c:v>7.9706652070838119E-3</c:v>
                </c:pt>
                <c:pt idx="819">
                  <c:v>1.0588840738572681E-2</c:v>
                </c:pt>
                <c:pt idx="820">
                  <c:v>-2.7783585372177712E-2</c:v>
                </c:pt>
                <c:pt idx="821">
                  <c:v>-1.1410274839385441E-2</c:v>
                </c:pt>
                <c:pt idx="822">
                  <c:v>-8.4780418518320064E-3</c:v>
                </c:pt>
                <c:pt idx="823">
                  <c:v>9.1679460146100594E-3</c:v>
                </c:pt>
                <c:pt idx="824">
                  <c:v>-3.1990343510755311E-2</c:v>
                </c:pt>
                <c:pt idx="825">
                  <c:v>3.438588278184418E-3</c:v>
                </c:pt>
                <c:pt idx="826">
                  <c:v>7.5137021664678609E-3</c:v>
                </c:pt>
                <c:pt idx="827">
                  <c:v>-1.0993691626247833E-2</c:v>
                </c:pt>
                <c:pt idx="828">
                  <c:v>2.5718966398290137E-3</c:v>
                </c:pt>
                <c:pt idx="829">
                  <c:v>-6.704065349936698E-3</c:v>
                </c:pt>
                <c:pt idx="830">
                  <c:v>1.1639894921510464E-4</c:v>
                </c:pt>
                <c:pt idx="831">
                  <c:v>-1.3144323212910809E-3</c:v>
                </c:pt>
                <c:pt idx="832">
                  <c:v>-1.3341464471252271E-2</c:v>
                </c:pt>
                <c:pt idx="833">
                  <c:v>1.2483656492673228E-2</c:v>
                </c:pt>
                <c:pt idx="834">
                  <c:v>9.4616871876975275E-3</c:v>
                </c:pt>
                <c:pt idx="835">
                  <c:v>-1.2774896726456675E-2</c:v>
                </c:pt>
                <c:pt idx="836">
                  <c:v>1.3032256675200825E-3</c:v>
                </c:pt>
                <c:pt idx="837">
                  <c:v>-7.7523991055866402E-3</c:v>
                </c:pt>
                <c:pt idx="838">
                  <c:v>1.2696385758534997E-3</c:v>
                </c:pt>
                <c:pt idx="839">
                  <c:v>2.4506319281611235E-3</c:v>
                </c:pt>
                <c:pt idx="840">
                  <c:v>2.7701823865432074E-2</c:v>
                </c:pt>
                <c:pt idx="841">
                  <c:v>-1.1612208357115844E-2</c:v>
                </c:pt>
                <c:pt idx="842">
                  <c:v>9.1632275412981638E-3</c:v>
                </c:pt>
                <c:pt idx="843">
                  <c:v>4.119008290983231E-3</c:v>
                </c:pt>
                <c:pt idx="844">
                  <c:v>3.9237559125013099E-3</c:v>
                </c:pt>
                <c:pt idx="845">
                  <c:v>-2.9718669106065325E-3</c:v>
                </c:pt>
                <c:pt idx="846">
                  <c:v>-3.9844423371933413E-3</c:v>
                </c:pt>
                <c:pt idx="847">
                  <c:v>-2.9396154214868876E-4</c:v>
                </c:pt>
                <c:pt idx="848">
                  <c:v>1.9530844143188241E-2</c:v>
                </c:pt>
                <c:pt idx="849">
                  <c:v>-6.4760508835572756E-3</c:v>
                </c:pt>
                <c:pt idx="850">
                  <c:v>-5.0426794211231299E-3</c:v>
                </c:pt>
                <c:pt idx="851">
                  <c:v>2.7811415201105315E-2</c:v>
                </c:pt>
                <c:pt idx="852">
                  <c:v>-6.1490503888589837E-3</c:v>
                </c:pt>
                <c:pt idx="853">
                  <c:v>-1.3089785887593485E-3</c:v>
                </c:pt>
                <c:pt idx="854">
                  <c:v>-6.5547370082615726E-3</c:v>
                </c:pt>
                <c:pt idx="855">
                  <c:v>3.0875918593463916E-3</c:v>
                </c:pt>
                <c:pt idx="856">
                  <c:v>5.489390529683085E-3</c:v>
                </c:pt>
                <c:pt idx="857">
                  <c:v>-1.2804946055257282E-2</c:v>
                </c:pt>
                <c:pt idx="858">
                  <c:v>7.6182165554985028E-3</c:v>
                </c:pt>
                <c:pt idx="859">
                  <c:v>7.5369068447123299E-3</c:v>
                </c:pt>
                <c:pt idx="860">
                  <c:v>-1.70748104141898E-2</c:v>
                </c:pt>
                <c:pt idx="861">
                  <c:v>3.7716210500390217E-3</c:v>
                </c:pt>
                <c:pt idx="862">
                  <c:v>2.6626722707610986E-2</c:v>
                </c:pt>
                <c:pt idx="863">
                  <c:v>2.593752306058867E-3</c:v>
                </c:pt>
                <c:pt idx="864">
                  <c:v>-1.5559116895914318E-4</c:v>
                </c:pt>
                <c:pt idx="865">
                  <c:v>-9.5606983702987928E-3</c:v>
                </c:pt>
                <c:pt idx="866">
                  <c:v>2.2910056703818312E-3</c:v>
                </c:pt>
                <c:pt idx="867">
                  <c:v>-3.7137549602408626E-3</c:v>
                </c:pt>
                <c:pt idx="868">
                  <c:v>-1.3677850261652285E-2</c:v>
                </c:pt>
                <c:pt idx="869">
                  <c:v>4.6065615451000054E-3</c:v>
                </c:pt>
                <c:pt idx="870">
                  <c:v>-9.6591365501059508E-3</c:v>
                </c:pt>
                <c:pt idx="871">
                  <c:v>2.4041543903455525E-4</c:v>
                </c:pt>
                <c:pt idx="872">
                  <c:v>-1.6155570725302146E-2</c:v>
                </c:pt>
                <c:pt idx="873">
                  <c:v>2.0175238492523831E-3</c:v>
                </c:pt>
                <c:pt idx="874">
                  <c:v>2.5243007661649598E-3</c:v>
                </c:pt>
                <c:pt idx="875">
                  <c:v>1.350300113679017E-2</c:v>
                </c:pt>
                <c:pt idx="876">
                  <c:v>-4.1353834068763922E-3</c:v>
                </c:pt>
                <c:pt idx="877">
                  <c:v>-8.1604800790249649E-3</c:v>
                </c:pt>
                <c:pt idx="878">
                  <c:v>2.8863548908202754E-3</c:v>
                </c:pt>
                <c:pt idx="879">
                  <c:v>1.4212607124891389E-2</c:v>
                </c:pt>
                <c:pt idx="880">
                  <c:v>2.6082218821007423E-2</c:v>
                </c:pt>
                <c:pt idx="881">
                  <c:v>1.4450328622338027E-2</c:v>
                </c:pt>
                <c:pt idx="882">
                  <c:v>4.8873753926354929E-3</c:v>
                </c:pt>
                <c:pt idx="883">
                  <c:v>7.8263014867202812E-3</c:v>
                </c:pt>
                <c:pt idx="884">
                  <c:v>-4.1820655893805379E-3</c:v>
                </c:pt>
                <c:pt idx="885">
                  <c:v>2.9511939694301667E-3</c:v>
                </c:pt>
                <c:pt idx="886">
                  <c:v>-7.7674417514866844E-3</c:v>
                </c:pt>
                <c:pt idx="887">
                  <c:v>5.6722338658424755E-3</c:v>
                </c:pt>
                <c:pt idx="888">
                  <c:v>3.4166359751616956E-3</c:v>
                </c:pt>
                <c:pt idx="889">
                  <c:v>4.7352244733442385E-3</c:v>
                </c:pt>
                <c:pt idx="890">
                  <c:v>-9.4095792944531194E-3</c:v>
                </c:pt>
                <c:pt idx="891">
                  <c:v>-1.2526769492330753E-2</c:v>
                </c:pt>
                <c:pt idx="892">
                  <c:v>6.7863783618984071E-3</c:v>
                </c:pt>
                <c:pt idx="893">
                  <c:v>3.2782261278494569E-4</c:v>
                </c:pt>
                <c:pt idx="894">
                  <c:v>-3.73573848076326E-4</c:v>
                </c:pt>
                <c:pt idx="895">
                  <c:v>-3.0072274648803184E-2</c:v>
                </c:pt>
                <c:pt idx="896">
                  <c:v>-1.3194097527605355E-2</c:v>
                </c:pt>
                <c:pt idx="897">
                  <c:v>-1.3273679979389812E-2</c:v>
                </c:pt>
                <c:pt idx="898">
                  <c:v>3.0702214460010903E-2</c:v>
                </c:pt>
                <c:pt idx="899">
                  <c:v>-1.133983688209734E-2</c:v>
                </c:pt>
                <c:pt idx="900">
                  <c:v>1.0447392072240149E-2</c:v>
                </c:pt>
                <c:pt idx="901">
                  <c:v>1.3782807942309769E-2</c:v>
                </c:pt>
                <c:pt idx="902">
                  <c:v>-1.6157777607980288E-3</c:v>
                </c:pt>
                <c:pt idx="903">
                  <c:v>-7.2060631281886962E-3</c:v>
                </c:pt>
                <c:pt idx="904">
                  <c:v>1.0334747192132409E-2</c:v>
                </c:pt>
                <c:pt idx="905">
                  <c:v>6.2588146521694371E-3</c:v>
                </c:pt>
                <c:pt idx="906">
                  <c:v>1.3339622201682142E-2</c:v>
                </c:pt>
                <c:pt idx="907">
                  <c:v>1.7721868921646809E-2</c:v>
                </c:pt>
                <c:pt idx="908">
                  <c:v>1.1807560437469182E-3</c:v>
                </c:pt>
                <c:pt idx="909">
                  <c:v>2.053716130264175E-3</c:v>
                </c:pt>
                <c:pt idx="910">
                  <c:v>5.7014021810305104E-4</c:v>
                </c:pt>
                <c:pt idx="911">
                  <c:v>-1.924785318350126E-4</c:v>
                </c:pt>
                <c:pt idx="912">
                  <c:v>4.9592711628155184E-4</c:v>
                </c:pt>
                <c:pt idx="913">
                  <c:v>-1.2232818899308136E-2</c:v>
                </c:pt>
                <c:pt idx="914">
                  <c:v>1.8726100868555107E-4</c:v>
                </c:pt>
                <c:pt idx="915">
                  <c:v>-8.8417998072372035E-4</c:v>
                </c:pt>
                <c:pt idx="916">
                  <c:v>2.1022173858916963E-2</c:v>
                </c:pt>
                <c:pt idx="917">
                  <c:v>2.0532081245819575E-3</c:v>
                </c:pt>
                <c:pt idx="918">
                  <c:v>3.7352376155242996E-4</c:v>
                </c:pt>
                <c:pt idx="919">
                  <c:v>1.7421664035833125E-2</c:v>
                </c:pt>
                <c:pt idx="920">
                  <c:v>-3.8934962987961438E-3</c:v>
                </c:pt>
                <c:pt idx="921">
                  <c:v>6.5597141867204433E-3</c:v>
                </c:pt>
                <c:pt idx="922">
                  <c:v>-1.0555757996663702E-3</c:v>
                </c:pt>
                <c:pt idx="923">
                  <c:v>3.2206840046605616E-3</c:v>
                </c:pt>
                <c:pt idx="924">
                  <c:v>3.3887916439507282E-3</c:v>
                </c:pt>
                <c:pt idx="925">
                  <c:v>-1.6036834077283194E-2</c:v>
                </c:pt>
                <c:pt idx="926">
                  <c:v>-4.4193505422642264E-3</c:v>
                </c:pt>
                <c:pt idx="927">
                  <c:v>4.0058651081072323E-3</c:v>
                </c:pt>
                <c:pt idx="928">
                  <c:v>2.2611982384291027E-3</c:v>
                </c:pt>
                <c:pt idx="929">
                  <c:v>1.011975777918124E-2</c:v>
                </c:pt>
                <c:pt idx="930">
                  <c:v>-4.6906119496631909E-3</c:v>
                </c:pt>
                <c:pt idx="931">
                  <c:v>-2.5520700747258861E-3</c:v>
                </c:pt>
                <c:pt idx="932">
                  <c:v>-1.0937796162595348E-2</c:v>
                </c:pt>
                <c:pt idx="933">
                  <c:v>-1.7530152692064717E-3</c:v>
                </c:pt>
                <c:pt idx="934">
                  <c:v>5.5334351801988686E-3</c:v>
                </c:pt>
                <c:pt idx="935">
                  <c:v>-3.9628823516053126E-3</c:v>
                </c:pt>
                <c:pt idx="936">
                  <c:v>-5.606848291316322E-3</c:v>
                </c:pt>
                <c:pt idx="937">
                  <c:v>-9.8407134379891034E-4</c:v>
                </c:pt>
                <c:pt idx="938">
                  <c:v>-2.9654070096847124E-3</c:v>
                </c:pt>
                <c:pt idx="939">
                  <c:v>5.4164425879222019E-3</c:v>
                </c:pt>
                <c:pt idx="940">
                  <c:v>5.0591559999204677E-3</c:v>
                </c:pt>
                <c:pt idx="941">
                  <c:v>4.8885623748023185E-3</c:v>
                </c:pt>
                <c:pt idx="942">
                  <c:v>-4.2688955898893396E-3</c:v>
                </c:pt>
                <c:pt idx="943">
                  <c:v>1.477950286073916E-2</c:v>
                </c:pt>
                <c:pt idx="944">
                  <c:v>-2.9917748568225582E-3</c:v>
                </c:pt>
                <c:pt idx="945">
                  <c:v>-8.8630449278335284E-4</c:v>
                </c:pt>
                <c:pt idx="946">
                  <c:v>-1.1608603605417879E-2</c:v>
                </c:pt>
                <c:pt idx="947">
                  <c:v>-4.1291116776962242E-3</c:v>
                </c:pt>
                <c:pt idx="948">
                  <c:v>4.486409489219979E-3</c:v>
                </c:pt>
                <c:pt idx="949">
                  <c:v>-1.024439953093223E-2</c:v>
                </c:pt>
                <c:pt idx="950">
                  <c:v>9.8725154232333044E-3</c:v>
                </c:pt>
                <c:pt idx="951">
                  <c:v>-1.8103516149526658E-3</c:v>
                </c:pt>
                <c:pt idx="952">
                  <c:v>1.4427878203027652E-2</c:v>
                </c:pt>
                <c:pt idx="953">
                  <c:v>4.9855708790098596E-3</c:v>
                </c:pt>
                <c:pt idx="954">
                  <c:v>-3.5750217545030402E-3</c:v>
                </c:pt>
                <c:pt idx="955">
                  <c:v>1.3408349348369071E-2</c:v>
                </c:pt>
                <c:pt idx="956">
                  <c:v>2.3813584990666514E-3</c:v>
                </c:pt>
                <c:pt idx="957">
                  <c:v>-1.2637566055082773E-2</c:v>
                </c:pt>
                <c:pt idx="958">
                  <c:v>-1.3414972975935146E-3</c:v>
                </c:pt>
                <c:pt idx="959">
                  <c:v>-1.316569106609318E-2</c:v>
                </c:pt>
                <c:pt idx="960">
                  <c:v>-5.3824740483495214E-3</c:v>
                </c:pt>
                <c:pt idx="961">
                  <c:v>-4.0743104029118925E-3</c:v>
                </c:pt>
                <c:pt idx="962">
                  <c:v>-6.5417971227676661E-3</c:v>
                </c:pt>
                <c:pt idx="963">
                  <c:v>-3.6222643983724768E-4</c:v>
                </c:pt>
                <c:pt idx="964">
                  <c:v>1.9279001099889968E-3</c:v>
                </c:pt>
                <c:pt idx="965">
                  <c:v>3.9841225866030157E-4</c:v>
                </c:pt>
                <c:pt idx="966">
                  <c:v>-1.623403825166329E-2</c:v>
                </c:pt>
                <c:pt idx="967">
                  <c:v>5.8681008158948771E-3</c:v>
                </c:pt>
                <c:pt idx="968">
                  <c:v>-9.7687207389582104E-4</c:v>
                </c:pt>
                <c:pt idx="969">
                  <c:v>9.8885751807496237E-3</c:v>
                </c:pt>
                <c:pt idx="970">
                  <c:v>-1.1591059127155513E-2</c:v>
                </c:pt>
                <c:pt idx="971">
                  <c:v>-2.1246996756061906E-3</c:v>
                </c:pt>
                <c:pt idx="972">
                  <c:v>-1.0502518870021092E-2</c:v>
                </c:pt>
                <c:pt idx="973">
                  <c:v>4.5081347233979566E-3</c:v>
                </c:pt>
                <c:pt idx="974">
                  <c:v>9.4783174835761045E-3</c:v>
                </c:pt>
                <c:pt idx="975">
                  <c:v>-6.882349931289211E-3</c:v>
                </c:pt>
                <c:pt idx="976">
                  <c:v>-4.7757597135748711E-3</c:v>
                </c:pt>
                <c:pt idx="977">
                  <c:v>4.0239986780274449E-3</c:v>
                </c:pt>
                <c:pt idx="978">
                  <c:v>1.3527632247580187E-3</c:v>
                </c:pt>
                <c:pt idx="979">
                  <c:v>1.0362864461010604E-2</c:v>
                </c:pt>
                <c:pt idx="980">
                  <c:v>1.4683034774780354E-2</c:v>
                </c:pt>
                <c:pt idx="981">
                  <c:v>-4.5147466396407154E-3</c:v>
                </c:pt>
                <c:pt idx="982">
                  <c:v>-2.1359975123744438E-3</c:v>
                </c:pt>
                <c:pt idx="983">
                  <c:v>1.6751324846586885E-2</c:v>
                </c:pt>
                <c:pt idx="984">
                  <c:v>-8.9366620374711544E-3</c:v>
                </c:pt>
                <c:pt idx="985">
                  <c:v>-2.4245277274571593E-3</c:v>
                </c:pt>
                <c:pt idx="986">
                  <c:v>-1.1001221146639011E-4</c:v>
                </c:pt>
                <c:pt idx="987">
                  <c:v>7.1694324918510442E-3</c:v>
                </c:pt>
                <c:pt idx="988">
                  <c:v>-2.1270038017285425E-2</c:v>
                </c:pt>
                <c:pt idx="989">
                  <c:v>1.739143798765551E-3</c:v>
                </c:pt>
                <c:pt idx="990">
                  <c:v>-1.1516587013869009E-3</c:v>
                </c:pt>
                <c:pt idx="991">
                  <c:v>2.5375794125618325E-2</c:v>
                </c:pt>
                <c:pt idx="992">
                  <c:v>4.1305396013961606E-4</c:v>
                </c:pt>
                <c:pt idx="993">
                  <c:v>-1.841941665674481E-3</c:v>
                </c:pt>
                <c:pt idx="994">
                  <c:v>1.0361963915234503E-2</c:v>
                </c:pt>
                <c:pt idx="995">
                  <c:v>1.3152497318696129E-2</c:v>
                </c:pt>
                <c:pt idx="996">
                  <c:v>2.6409806089782262E-3</c:v>
                </c:pt>
                <c:pt idx="997">
                  <c:v>-9.8335728905380956E-4</c:v>
                </c:pt>
                <c:pt idx="998">
                  <c:v>-6.7325496299813188E-3</c:v>
                </c:pt>
                <c:pt idx="999">
                  <c:v>-3.3618995329596697E-3</c:v>
                </c:pt>
                <c:pt idx="1000">
                  <c:v>8.0397218603763532E-3</c:v>
                </c:pt>
                <c:pt idx="1001">
                  <c:v>1.1613729799160741E-2</c:v>
                </c:pt>
                <c:pt idx="1002">
                  <c:v>-5.962778537805977E-3</c:v>
                </c:pt>
                <c:pt idx="1003">
                  <c:v>-1.2279031922820362E-3</c:v>
                </c:pt>
                <c:pt idx="1004">
                  <c:v>5.1484969360426954E-3</c:v>
                </c:pt>
                <c:pt idx="1005">
                  <c:v>5.6182284382417869E-3</c:v>
                </c:pt>
                <c:pt idx="1006">
                  <c:v>-6.1592988573502209E-3</c:v>
                </c:pt>
                <c:pt idx="1007">
                  <c:v>8.9217893653735589E-3</c:v>
                </c:pt>
                <c:pt idx="1008">
                  <c:v>3.5812547620045201E-3</c:v>
                </c:pt>
                <c:pt idx="1009">
                  <c:v>1.0578163653161774E-2</c:v>
                </c:pt>
                <c:pt idx="1010">
                  <c:v>-6.527123865758635E-4</c:v>
                </c:pt>
                <c:pt idx="1011">
                  <c:v>2.5123226789089724E-3</c:v>
                </c:pt>
                <c:pt idx="1012">
                  <c:v>-5.1963522591713784E-3</c:v>
                </c:pt>
                <c:pt idx="1013">
                  <c:v>9.0281678204130727E-3</c:v>
                </c:pt>
                <c:pt idx="1014">
                  <c:v>4.5746748169926297E-4</c:v>
                </c:pt>
                <c:pt idx="1015">
                  <c:v>-8.1289558591347531E-3</c:v>
                </c:pt>
                <c:pt idx="1016">
                  <c:v>9.6989548553711856E-4</c:v>
                </c:pt>
                <c:pt idx="1017">
                  <c:v>6.1004219568020351E-3</c:v>
                </c:pt>
                <c:pt idx="1018">
                  <c:v>-6.8358776852422303E-4</c:v>
                </c:pt>
                <c:pt idx="1019">
                  <c:v>-4.935674997790354E-3</c:v>
                </c:pt>
                <c:pt idx="1020">
                  <c:v>-1.0826901216250307E-2</c:v>
                </c:pt>
                <c:pt idx="1021">
                  <c:v>1.7421425813781979E-3</c:v>
                </c:pt>
                <c:pt idx="1022">
                  <c:v>-4.1207942707940613E-3</c:v>
                </c:pt>
                <c:pt idx="1023">
                  <c:v>-1.580583430550405E-2</c:v>
                </c:pt>
                <c:pt idx="1024">
                  <c:v>5.5661323032665019E-3</c:v>
                </c:pt>
                <c:pt idx="1025">
                  <c:v>-3.079060959386678E-3</c:v>
                </c:pt>
                <c:pt idx="1026">
                  <c:v>-7.2807948013631479E-3</c:v>
                </c:pt>
                <c:pt idx="1027">
                  <c:v>7.8099121401836022E-3</c:v>
                </c:pt>
                <c:pt idx="1028">
                  <c:v>-7.0555201786718085E-4</c:v>
                </c:pt>
                <c:pt idx="1029">
                  <c:v>6.4793903495732842E-3</c:v>
                </c:pt>
                <c:pt idx="1030">
                  <c:v>-2.8370407085309395E-3</c:v>
                </c:pt>
                <c:pt idx="1031">
                  <c:v>8.396437271367168E-3</c:v>
                </c:pt>
                <c:pt idx="1032">
                  <c:v>7.710834709451911E-3</c:v>
                </c:pt>
                <c:pt idx="1033">
                  <c:v>-2.9383861415826188E-3</c:v>
                </c:pt>
                <c:pt idx="1034">
                  <c:v>5.4540933519348191E-3</c:v>
                </c:pt>
                <c:pt idx="1035">
                  <c:v>5.836338032486013E-3</c:v>
                </c:pt>
                <c:pt idx="1036">
                  <c:v>3.090175913024558E-3</c:v>
                </c:pt>
                <c:pt idx="1037">
                  <c:v>5.437669679940583E-3</c:v>
                </c:pt>
                <c:pt idx="1038">
                  <c:v>3.1250237729508112E-3</c:v>
                </c:pt>
                <c:pt idx="1039">
                  <c:v>8.1334763487889133E-3</c:v>
                </c:pt>
                <c:pt idx="1040">
                  <c:v>9.8852445569267951E-4</c:v>
                </c:pt>
                <c:pt idx="1041">
                  <c:v>5.0952108085741826E-3</c:v>
                </c:pt>
                <c:pt idx="1042">
                  <c:v>6.0934740568079522E-3</c:v>
                </c:pt>
                <c:pt idx="1043">
                  <c:v>1.6602584518837942E-3</c:v>
                </c:pt>
                <c:pt idx="1044">
                  <c:v>1.7039998088110148E-2</c:v>
                </c:pt>
                <c:pt idx="1045">
                  <c:v>2.9351048532322868E-4</c:v>
                </c:pt>
                <c:pt idx="1046">
                  <c:v>4.7169438440333913E-3</c:v>
                </c:pt>
                <c:pt idx="1047">
                  <c:v>7.7137078660288721E-3</c:v>
                </c:pt>
                <c:pt idx="1048">
                  <c:v>1.5923353893057563E-2</c:v>
                </c:pt>
                <c:pt idx="1049">
                  <c:v>-7.3561588949862917E-4</c:v>
                </c:pt>
                <c:pt idx="1050">
                  <c:v>-2.9924258737813302E-3</c:v>
                </c:pt>
                <c:pt idx="1051">
                  <c:v>3.6646479099267464E-3</c:v>
                </c:pt>
                <c:pt idx="1052">
                  <c:v>-4.7405500365991478E-3</c:v>
                </c:pt>
                <c:pt idx="1053">
                  <c:v>-3.0046431867328249E-3</c:v>
                </c:pt>
                <c:pt idx="1054">
                  <c:v>-7.3164098440368364E-3</c:v>
                </c:pt>
                <c:pt idx="1055">
                  <c:v>-3.940021411624358E-3</c:v>
                </c:pt>
                <c:pt idx="1056">
                  <c:v>3.2769148943550433E-3</c:v>
                </c:pt>
                <c:pt idx="1057">
                  <c:v>4.061858869436886E-3</c:v>
                </c:pt>
                <c:pt idx="1058">
                  <c:v>1.682261859177861E-2</c:v>
                </c:pt>
                <c:pt idx="1059">
                  <c:v>-1.2306140423089997E-3</c:v>
                </c:pt>
                <c:pt idx="1060">
                  <c:v>4.4860076743322898E-3</c:v>
                </c:pt>
                <c:pt idx="1061">
                  <c:v>-2.9022662439556171E-3</c:v>
                </c:pt>
                <c:pt idx="1062">
                  <c:v>1.5520966684448561E-2</c:v>
                </c:pt>
                <c:pt idx="1063">
                  <c:v>4.1072144515737494E-3</c:v>
                </c:pt>
                <c:pt idx="1064">
                  <c:v>1.6560212419042871E-2</c:v>
                </c:pt>
                <c:pt idx="1065">
                  <c:v>-4.404969108208158E-2</c:v>
                </c:pt>
                <c:pt idx="1066">
                  <c:v>5.1845113530515959E-3</c:v>
                </c:pt>
                <c:pt idx="1067">
                  <c:v>-1.3031048629235497E-3</c:v>
                </c:pt>
                <c:pt idx="1068">
                  <c:v>6.901016487437418E-3</c:v>
                </c:pt>
                <c:pt idx="1069">
                  <c:v>7.1638642683735524E-4</c:v>
                </c:pt>
                <c:pt idx="1070">
                  <c:v>9.8577160559257006E-3</c:v>
                </c:pt>
                <c:pt idx="1071">
                  <c:v>1.0617334802039698E-2</c:v>
                </c:pt>
                <c:pt idx="1072">
                  <c:v>-2.4320640569823537E-2</c:v>
                </c:pt>
                <c:pt idx="1073">
                  <c:v>-7.9201439639011995E-3</c:v>
                </c:pt>
                <c:pt idx="1074">
                  <c:v>3.7811305952837721E-3</c:v>
                </c:pt>
                <c:pt idx="1075">
                  <c:v>3.4766593382642478E-3</c:v>
                </c:pt>
                <c:pt idx="1076">
                  <c:v>-2.090868219047623E-3</c:v>
                </c:pt>
                <c:pt idx="1077">
                  <c:v>1.4526398099311243E-2</c:v>
                </c:pt>
                <c:pt idx="1078">
                  <c:v>2.7446470195760103E-3</c:v>
                </c:pt>
                <c:pt idx="1079">
                  <c:v>-2.5327733702570038E-3</c:v>
                </c:pt>
                <c:pt idx="1080">
                  <c:v>3.9488259262867326E-3</c:v>
                </c:pt>
                <c:pt idx="1081">
                  <c:v>-3.6435575525227432E-3</c:v>
                </c:pt>
                <c:pt idx="1082">
                  <c:v>8.2566402390405035E-3</c:v>
                </c:pt>
                <c:pt idx="1083">
                  <c:v>1.1022001768782493E-2</c:v>
                </c:pt>
                <c:pt idx="1084">
                  <c:v>-1.0373543378630586E-2</c:v>
                </c:pt>
                <c:pt idx="1085">
                  <c:v>5.915483331434713E-3</c:v>
                </c:pt>
                <c:pt idx="1086">
                  <c:v>2.6600813709616667E-3</c:v>
                </c:pt>
                <c:pt idx="1087">
                  <c:v>-1.3475439990876148E-3</c:v>
                </c:pt>
                <c:pt idx="1088">
                  <c:v>-7.2403683640444938E-3</c:v>
                </c:pt>
                <c:pt idx="1089">
                  <c:v>1.9400276462503047E-2</c:v>
                </c:pt>
                <c:pt idx="1090">
                  <c:v>2.5520554257758591E-3</c:v>
                </c:pt>
                <c:pt idx="1091">
                  <c:v>-4.6493690881925891E-3</c:v>
                </c:pt>
                <c:pt idx="1092">
                  <c:v>2.9728590325400425E-4</c:v>
                </c:pt>
                <c:pt idx="1093">
                  <c:v>8.6251689859467504E-3</c:v>
                </c:pt>
                <c:pt idx="1094">
                  <c:v>3.2774884560211708E-2</c:v>
                </c:pt>
                <c:pt idx="1095">
                  <c:v>2.1716079945097163E-2</c:v>
                </c:pt>
                <c:pt idx="1096">
                  <c:v>1.8451749067524337E-2</c:v>
                </c:pt>
                <c:pt idx="1097">
                  <c:v>-7.7185528749511094E-4</c:v>
                </c:pt>
                <c:pt idx="1098">
                  <c:v>1.7735602415484001E-2</c:v>
                </c:pt>
                <c:pt idx="1099">
                  <c:v>1.5122625286082807E-2</c:v>
                </c:pt>
                <c:pt idx="1100">
                  <c:v>-8.4660330301281686E-3</c:v>
                </c:pt>
                <c:pt idx="1101">
                  <c:v>-9.7120637852340531E-3</c:v>
                </c:pt>
                <c:pt idx="1102">
                  <c:v>7.8483035341009571E-3</c:v>
                </c:pt>
                <c:pt idx="1103">
                  <c:v>1.5638082715962554E-2</c:v>
                </c:pt>
                <c:pt idx="1104">
                  <c:v>-2.1591444734681664E-2</c:v>
                </c:pt>
                <c:pt idx="1105">
                  <c:v>2.3032428723481209E-3</c:v>
                </c:pt>
                <c:pt idx="1106">
                  <c:v>4.5086455413714558E-3</c:v>
                </c:pt>
                <c:pt idx="1107">
                  <c:v>1.7828642479249562E-2</c:v>
                </c:pt>
                <c:pt idx="1108">
                  <c:v>-1.676653535160545E-3</c:v>
                </c:pt>
                <c:pt idx="1109">
                  <c:v>2.0073725036483168E-2</c:v>
                </c:pt>
                <c:pt idx="1110">
                  <c:v>-1.0242098725479569E-2</c:v>
                </c:pt>
                <c:pt idx="1111">
                  <c:v>-6.9583157596447183E-3</c:v>
                </c:pt>
                <c:pt idx="1112">
                  <c:v>-2.4054994417236223E-3</c:v>
                </c:pt>
                <c:pt idx="1113">
                  <c:v>1.3445670456953917E-2</c:v>
                </c:pt>
                <c:pt idx="1114">
                  <c:v>1.0552294355902355E-2</c:v>
                </c:pt>
                <c:pt idx="1115">
                  <c:v>-8.861721675994803E-3</c:v>
                </c:pt>
                <c:pt idx="1116">
                  <c:v>1.3866653280274307E-2</c:v>
                </c:pt>
                <c:pt idx="1117">
                  <c:v>-1.2698016269710613E-3</c:v>
                </c:pt>
                <c:pt idx="1118">
                  <c:v>-1.2661805946415547E-3</c:v>
                </c:pt>
                <c:pt idx="1119">
                  <c:v>-1.1680210305944518E-2</c:v>
                </c:pt>
                <c:pt idx="1120">
                  <c:v>2.7506404643340716E-3</c:v>
                </c:pt>
                <c:pt idx="1121">
                  <c:v>-3.3310277082979824E-2</c:v>
                </c:pt>
                <c:pt idx="1122">
                  <c:v>1.2272490253614616E-2</c:v>
                </c:pt>
                <c:pt idx="1123">
                  <c:v>-2.6800937145926171E-2</c:v>
                </c:pt>
                <c:pt idx="1124">
                  <c:v>-6.1084760666357055E-3</c:v>
                </c:pt>
                <c:pt idx="1125">
                  <c:v>8.6044718723907263E-3</c:v>
                </c:pt>
                <c:pt idx="1126">
                  <c:v>1.389848973449679E-2</c:v>
                </c:pt>
                <c:pt idx="1127">
                  <c:v>2.8414677162470199E-3</c:v>
                </c:pt>
                <c:pt idx="1128">
                  <c:v>-2.579612444219051E-2</c:v>
                </c:pt>
                <c:pt idx="1129">
                  <c:v>-9.1389312497889025E-3</c:v>
                </c:pt>
                <c:pt idx="1130">
                  <c:v>1.2429955745451733E-2</c:v>
                </c:pt>
                <c:pt idx="1131">
                  <c:v>2.9698732571798066E-3</c:v>
                </c:pt>
                <c:pt idx="1132">
                  <c:v>-4.2771902451743914E-3</c:v>
                </c:pt>
                <c:pt idx="1133">
                  <c:v>3.5064260137266513E-3</c:v>
                </c:pt>
                <c:pt idx="1134">
                  <c:v>-2.2733734535557337E-2</c:v>
                </c:pt>
                <c:pt idx="1135">
                  <c:v>3.1905451189738386E-2</c:v>
                </c:pt>
                <c:pt idx="1136">
                  <c:v>3.1664959876464699E-3</c:v>
                </c:pt>
                <c:pt idx="1137">
                  <c:v>1.5845607716943915E-2</c:v>
                </c:pt>
                <c:pt idx="1138">
                  <c:v>-1.4619023544892614E-2</c:v>
                </c:pt>
                <c:pt idx="1139">
                  <c:v>-6.4564170587095189E-3</c:v>
                </c:pt>
                <c:pt idx="1140">
                  <c:v>5.2572284206400472E-3</c:v>
                </c:pt>
                <c:pt idx="1141">
                  <c:v>2.6749275795061686E-2</c:v>
                </c:pt>
                <c:pt idx="1142">
                  <c:v>2.6157733706051872E-3</c:v>
                </c:pt>
                <c:pt idx="1143">
                  <c:v>5.2658875433937312E-4</c:v>
                </c:pt>
                <c:pt idx="1144">
                  <c:v>5.8477357639339516E-4</c:v>
                </c:pt>
                <c:pt idx="1145">
                  <c:v>5.1538039666785716E-4</c:v>
                </c:pt>
                <c:pt idx="1146">
                  <c:v>2.0723025134148063E-2</c:v>
                </c:pt>
                <c:pt idx="1147">
                  <c:v>1.5119178868884541E-2</c:v>
                </c:pt>
                <c:pt idx="1148">
                  <c:v>1.118616949487319E-2</c:v>
                </c:pt>
                <c:pt idx="1149">
                  <c:v>3.4250333867857992E-3</c:v>
                </c:pt>
                <c:pt idx="1150">
                  <c:v>3.3076383084621446E-3</c:v>
                </c:pt>
                <c:pt idx="1151">
                  <c:v>-4.6367973689509139E-3</c:v>
                </c:pt>
                <c:pt idx="1152">
                  <c:v>-4.6583974528840782E-3</c:v>
                </c:pt>
                <c:pt idx="1153">
                  <c:v>-5.5279300525129423E-3</c:v>
                </c:pt>
                <c:pt idx="1154">
                  <c:v>2.0313073185864619E-3</c:v>
                </c:pt>
                <c:pt idx="1155">
                  <c:v>-1.667300801875608E-2</c:v>
                </c:pt>
                <c:pt idx="1156">
                  <c:v>-7.8643640370569673E-3</c:v>
                </c:pt>
                <c:pt idx="1157">
                  <c:v>-3.3130723824923184E-3</c:v>
                </c:pt>
                <c:pt idx="1158">
                  <c:v>-6.1316333082623159E-3</c:v>
                </c:pt>
                <c:pt idx="1159">
                  <c:v>-5.0767167560026756E-3</c:v>
                </c:pt>
                <c:pt idx="1160">
                  <c:v>-2.0725547608651033E-2</c:v>
                </c:pt>
                <c:pt idx="1161">
                  <c:v>1.3804147513524724E-2</c:v>
                </c:pt>
                <c:pt idx="1162">
                  <c:v>-9.2138869897355914E-3</c:v>
                </c:pt>
                <c:pt idx="1163">
                  <c:v>6.1984224408135032E-3</c:v>
                </c:pt>
                <c:pt idx="1164">
                  <c:v>5.0047507954110518E-3</c:v>
                </c:pt>
                <c:pt idx="1165">
                  <c:v>-2.4120292899722708E-2</c:v>
                </c:pt>
                <c:pt idx="1166">
                  <c:v>4.8458412505193458E-3</c:v>
                </c:pt>
                <c:pt idx="1167">
                  <c:v>-1.2015979904008506E-2</c:v>
                </c:pt>
                <c:pt idx="1168">
                  <c:v>-8.6515138618223891E-3</c:v>
                </c:pt>
                <c:pt idx="1169">
                  <c:v>-1.8151796503041141E-2</c:v>
                </c:pt>
                <c:pt idx="1170">
                  <c:v>7.1343673527781287E-3</c:v>
                </c:pt>
                <c:pt idx="1171">
                  <c:v>-6.0846525417580389E-3</c:v>
                </c:pt>
                <c:pt idx="1172">
                  <c:v>-1.7388363213712867E-3</c:v>
                </c:pt>
                <c:pt idx="1173">
                  <c:v>-1.5356666820164483E-2</c:v>
                </c:pt>
                <c:pt idx="1174">
                  <c:v>1.7501548714450497E-2</c:v>
                </c:pt>
                <c:pt idx="1175">
                  <c:v>1.6563104128516277E-3</c:v>
                </c:pt>
                <c:pt idx="1176">
                  <c:v>-8.1388568863968863E-3</c:v>
                </c:pt>
                <c:pt idx="1177">
                  <c:v>9.0728422018261715E-3</c:v>
                </c:pt>
                <c:pt idx="1178">
                  <c:v>-6.9243092082816142E-3</c:v>
                </c:pt>
                <c:pt idx="1179">
                  <c:v>-4.7966078687328006E-3</c:v>
                </c:pt>
                <c:pt idx="1180">
                  <c:v>-3.8824815663893483E-3</c:v>
                </c:pt>
                <c:pt idx="1181">
                  <c:v>-7.3154977244288362E-3</c:v>
                </c:pt>
                <c:pt idx="1182">
                  <c:v>-9.1912411755478932E-3</c:v>
                </c:pt>
                <c:pt idx="1183">
                  <c:v>1.1553413057152436E-2</c:v>
                </c:pt>
                <c:pt idx="1184">
                  <c:v>-2.2448980484606716E-2</c:v>
                </c:pt>
                <c:pt idx="1185">
                  <c:v>-7.7324681723873051E-3</c:v>
                </c:pt>
                <c:pt idx="1186">
                  <c:v>-2.0729201234814414E-3</c:v>
                </c:pt>
                <c:pt idx="1187">
                  <c:v>6.7596170904668327E-3</c:v>
                </c:pt>
                <c:pt idx="1188">
                  <c:v>-7.0560996238878664E-3</c:v>
                </c:pt>
                <c:pt idx="1189">
                  <c:v>1.6924041759284237E-2</c:v>
                </c:pt>
                <c:pt idx="1190">
                  <c:v>-2.1247417735788059E-3</c:v>
                </c:pt>
                <c:pt idx="1191">
                  <c:v>-4.2043932780686626E-3</c:v>
                </c:pt>
                <c:pt idx="1192">
                  <c:v>-4.5109365065350909E-3</c:v>
                </c:pt>
                <c:pt idx="1193">
                  <c:v>-7.0629866941401276E-3</c:v>
                </c:pt>
                <c:pt idx="1194">
                  <c:v>-1.04534179125742E-3</c:v>
                </c:pt>
                <c:pt idx="1195">
                  <c:v>3.3272729740247591E-4</c:v>
                </c:pt>
                <c:pt idx="1196">
                  <c:v>1.2022441562003477E-2</c:v>
                </c:pt>
                <c:pt idx="1197">
                  <c:v>5.2044879484571755E-3</c:v>
                </c:pt>
                <c:pt idx="1198">
                  <c:v>-4.4006789066243883E-3</c:v>
                </c:pt>
                <c:pt idx="1199">
                  <c:v>8.6599839891173449E-3</c:v>
                </c:pt>
                <c:pt idx="1200">
                  <c:v>7.5590090146906109E-3</c:v>
                </c:pt>
                <c:pt idx="1201">
                  <c:v>-5.1948053116282586E-4</c:v>
                </c:pt>
                <c:pt idx="1202">
                  <c:v>-6.8418621088413021E-3</c:v>
                </c:pt>
                <c:pt idx="1203">
                  <c:v>-1.9493013419746006E-3</c:v>
                </c:pt>
                <c:pt idx="1204">
                  <c:v>6.3807088930207751E-3</c:v>
                </c:pt>
                <c:pt idx="1205">
                  <c:v>7.3921076504841112E-3</c:v>
                </c:pt>
                <c:pt idx="1206">
                  <c:v>-9.3617754135317307E-3</c:v>
                </c:pt>
                <c:pt idx="1207">
                  <c:v>-2.479179367123923E-3</c:v>
                </c:pt>
                <c:pt idx="1208">
                  <c:v>-7.9843073439884466E-3</c:v>
                </c:pt>
                <c:pt idx="1209">
                  <c:v>1.2166896839385667E-2</c:v>
                </c:pt>
                <c:pt idx="1210">
                  <c:v>2.9231305920983337E-2</c:v>
                </c:pt>
                <c:pt idx="1211">
                  <c:v>-1.2030517973030126E-2</c:v>
                </c:pt>
                <c:pt idx="1212">
                  <c:v>5.1194844772770197E-3</c:v>
                </c:pt>
                <c:pt idx="1213">
                  <c:v>-3.5729312194816357E-3</c:v>
                </c:pt>
                <c:pt idx="1214">
                  <c:v>-1.2497447100026602E-2</c:v>
                </c:pt>
                <c:pt idx="1215">
                  <c:v>-6.3877725247722813E-4</c:v>
                </c:pt>
                <c:pt idx="1216">
                  <c:v>-1.9764617408297562E-3</c:v>
                </c:pt>
                <c:pt idx="1217">
                  <c:v>-2.59592671714585E-4</c:v>
                </c:pt>
                <c:pt idx="1218">
                  <c:v>2.4066780573038536E-2</c:v>
                </c:pt>
                <c:pt idx="1219">
                  <c:v>-4.6518013610730149E-3</c:v>
                </c:pt>
                <c:pt idx="1220">
                  <c:v>-1.5292544134450248E-2</c:v>
                </c:pt>
                <c:pt idx="1221">
                  <c:v>7.3960769461651173E-3</c:v>
                </c:pt>
                <c:pt idx="1222">
                  <c:v>6.9963541888132617E-3</c:v>
                </c:pt>
                <c:pt idx="1223">
                  <c:v>-1.5294919361854634E-2</c:v>
                </c:pt>
                <c:pt idx="1224">
                  <c:v>1.8653473253330367E-2</c:v>
                </c:pt>
                <c:pt idx="1225">
                  <c:v>4.7302978747469039E-3</c:v>
                </c:pt>
                <c:pt idx="1226">
                  <c:v>5.6179933089820755E-6</c:v>
                </c:pt>
                <c:pt idx="1227">
                  <c:v>-5.9006169261445072E-4</c:v>
                </c:pt>
                <c:pt idx="1228">
                  <c:v>-9.5045012933571557E-4</c:v>
                </c:pt>
                <c:pt idx="1229">
                  <c:v>-1.2341921646475547E-2</c:v>
                </c:pt>
                <c:pt idx="1230">
                  <c:v>-1.7428520873001237E-2</c:v>
                </c:pt>
                <c:pt idx="1231">
                  <c:v>-1.9321547208495883E-3</c:v>
                </c:pt>
                <c:pt idx="1232">
                  <c:v>-2.5320786386406981E-2</c:v>
                </c:pt>
                <c:pt idx="1233">
                  <c:v>-2.2900363651444928E-3</c:v>
                </c:pt>
                <c:pt idx="1234">
                  <c:v>-2.3311984543610879E-3</c:v>
                </c:pt>
                <c:pt idx="1235">
                  <c:v>-9.9989530386784429E-4</c:v>
                </c:pt>
                <c:pt idx="1236">
                  <c:v>-8.989626577030215E-4</c:v>
                </c:pt>
                <c:pt idx="1237">
                  <c:v>-2.6957349890363853E-3</c:v>
                </c:pt>
                <c:pt idx="1238">
                  <c:v>8.9477352467989477E-3</c:v>
                </c:pt>
                <c:pt idx="1239">
                  <c:v>5.7779884082011603E-4</c:v>
                </c:pt>
                <c:pt idx="1240">
                  <c:v>1.8321312337198768E-2</c:v>
                </c:pt>
                <c:pt idx="1241">
                  <c:v>5.1029594112268883E-3</c:v>
                </c:pt>
                <c:pt idx="1242">
                  <c:v>1.5412272151241094E-2</c:v>
                </c:pt>
                <c:pt idx="1243">
                  <c:v>5.1551854016567569E-5</c:v>
                </c:pt>
                <c:pt idx="1244">
                  <c:v>3.1396481822684973E-3</c:v>
                </c:pt>
                <c:pt idx="1245">
                  <c:v>3.0216670653502985E-3</c:v>
                </c:pt>
                <c:pt idx="1246">
                  <c:v>9.9353945712057357E-3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2-4579-8ABE-283E4480C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474022"/>
        <c:axId val="27280492"/>
      </c:lineChart>
      <c:dateAx>
        <c:axId val="93474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/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280492"/>
        <c:crosses val="autoZero"/>
        <c:auto val="1"/>
        <c:lblOffset val="100"/>
        <c:baseTimeUnit val="days"/>
        <c:majorUnit val="6"/>
        <c:majorTimeUnit val="months"/>
      </c:dateAx>
      <c:valAx>
        <c:axId val="27280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Log-retorno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4740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175680</xdr:rowOff>
    </xdr:from>
    <xdr:to>
      <xdr:col>19</xdr:col>
      <xdr:colOff>186480</xdr:colOff>
      <xdr:row>24</xdr:row>
      <xdr:rowOff>113040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175680</xdr:rowOff>
    </xdr:from>
    <xdr:to>
      <xdr:col>9</xdr:col>
      <xdr:colOff>435240</xdr:colOff>
      <xdr:row>19</xdr:row>
      <xdr:rowOff>165600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175680</xdr:rowOff>
    </xdr:from>
    <xdr:to>
      <xdr:col>18</xdr:col>
      <xdr:colOff>435600</xdr:colOff>
      <xdr:row>19</xdr:row>
      <xdr:rowOff>165600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251460</xdr:colOff>
      <xdr:row>21</xdr:row>
      <xdr:rowOff>118827</xdr:rowOff>
    </xdr:from>
    <xdr:to>
      <xdr:col>9</xdr:col>
      <xdr:colOff>205740</xdr:colOff>
      <xdr:row>39</xdr:row>
      <xdr:rowOff>115781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435429</xdr:colOff>
      <xdr:row>21</xdr:row>
      <xdr:rowOff>27599</xdr:rowOff>
    </xdr:from>
    <xdr:to>
      <xdr:col>20</xdr:col>
      <xdr:colOff>277262</xdr:colOff>
      <xdr:row>39</xdr:row>
      <xdr:rowOff>17518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8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baseColWidth="10" defaultColWidth="8.6640625" defaultRowHeight="15" x14ac:dyDescent="0.2"/>
  <cols>
    <col min="1" max="1" width="12" customWidth="1"/>
    <col min="2" max="2" width="18" customWidth="1"/>
    <col min="3" max="3" width="19.83203125" bestFit="1" customWidth="1"/>
    <col min="4" max="6" width="18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2">
        <v>44440</v>
      </c>
      <c r="B2" s="3">
        <v>2386.8501000000001</v>
      </c>
      <c r="C2" s="3">
        <v>119396</v>
      </c>
      <c r="D2" s="3"/>
      <c r="E2" s="3"/>
      <c r="F2" s="3">
        <f t="shared" ref="F2:F65" si="0">YEAR(A2)</f>
        <v>2021</v>
      </c>
    </row>
    <row r="3" spans="1:6" ht="15" customHeight="1" x14ac:dyDescent="0.2">
      <c r="A3" s="2">
        <v>44441</v>
      </c>
      <c r="B3" s="3">
        <v>2321.5500000000002</v>
      </c>
      <c r="C3" s="3">
        <v>116677</v>
      </c>
      <c r="D3" s="4">
        <f t="shared" ref="D3:D66" si="1">LN(B3/B2)</f>
        <v>-2.773948084821316E-2</v>
      </c>
      <c r="E3" s="4">
        <f t="shared" ref="E3:E66" si="2">LN(C3/C2)</f>
        <v>-2.3036266238111426E-2</v>
      </c>
      <c r="F3" s="3">
        <f t="shared" si="0"/>
        <v>2021</v>
      </c>
    </row>
    <row r="4" spans="1:6" ht="15" customHeight="1" x14ac:dyDescent="0.2">
      <c r="A4" s="2">
        <v>44442</v>
      </c>
      <c r="B4" s="3">
        <v>2326.8798999999999</v>
      </c>
      <c r="C4" s="3">
        <v>116933</v>
      </c>
      <c r="D4" s="4">
        <f t="shared" si="1"/>
        <v>2.293205426518397E-3</v>
      </c>
      <c r="E4" s="4">
        <f t="shared" si="2"/>
        <v>2.1916878770134804E-3</v>
      </c>
      <c r="F4" s="3">
        <f t="shared" si="0"/>
        <v>2021</v>
      </c>
    </row>
    <row r="5" spans="1:6" ht="15" customHeight="1" x14ac:dyDescent="0.2">
      <c r="A5" s="2">
        <v>44445</v>
      </c>
      <c r="B5" s="3">
        <v>2361.4699999999998</v>
      </c>
      <c r="C5" s="3">
        <v>117869</v>
      </c>
      <c r="D5" s="4">
        <f t="shared" si="1"/>
        <v>1.4756035012116918E-2</v>
      </c>
      <c r="E5" s="4">
        <f t="shared" si="2"/>
        <v>7.9727170808061368E-3</v>
      </c>
      <c r="F5" s="3">
        <f t="shared" si="0"/>
        <v>2021</v>
      </c>
    </row>
    <row r="6" spans="1:6" ht="15" customHeight="1" x14ac:dyDescent="0.2">
      <c r="A6" s="2">
        <v>44447</v>
      </c>
      <c r="B6" s="3">
        <v>2264.7399999999998</v>
      </c>
      <c r="C6" s="3">
        <v>113413</v>
      </c>
      <c r="D6" s="4">
        <f t="shared" si="1"/>
        <v>-4.1824344424264498E-2</v>
      </c>
      <c r="E6" s="4">
        <f t="shared" si="2"/>
        <v>-3.8537815108384707E-2</v>
      </c>
      <c r="F6" s="3">
        <f t="shared" si="0"/>
        <v>2021</v>
      </c>
    </row>
    <row r="7" spans="1:6" ht="15" customHeight="1" x14ac:dyDescent="0.2">
      <c r="A7" s="2">
        <v>44448</v>
      </c>
      <c r="B7" s="3">
        <v>2313.6100999999999</v>
      </c>
      <c r="C7" s="3">
        <v>115361</v>
      </c>
      <c r="D7" s="4">
        <f t="shared" si="1"/>
        <v>2.134915640467714E-2</v>
      </c>
      <c r="E7" s="4">
        <f t="shared" si="2"/>
        <v>1.7030318843878799E-2</v>
      </c>
      <c r="F7" s="3">
        <f t="shared" si="0"/>
        <v>2021</v>
      </c>
    </row>
    <row r="8" spans="1:6" ht="15" customHeight="1" x14ac:dyDescent="0.2">
      <c r="A8" s="2">
        <v>44449</v>
      </c>
      <c r="B8" s="3">
        <v>2287.3101000000001</v>
      </c>
      <c r="C8" s="3">
        <v>114286</v>
      </c>
      <c r="D8" s="4">
        <f t="shared" si="1"/>
        <v>-1.143262013574416E-2</v>
      </c>
      <c r="E8" s="4">
        <f t="shared" si="2"/>
        <v>-9.3622634055286046E-3</v>
      </c>
      <c r="F8" s="3">
        <f t="shared" si="0"/>
        <v>2021</v>
      </c>
    </row>
    <row r="9" spans="1:6" ht="15" customHeight="1" x14ac:dyDescent="0.2">
      <c r="A9" s="2">
        <v>44452</v>
      </c>
      <c r="B9" s="3">
        <v>2333.3899000000001</v>
      </c>
      <c r="C9" s="3">
        <v>116404</v>
      </c>
      <c r="D9" s="4">
        <f t="shared" si="1"/>
        <v>1.9945604622447887E-2</v>
      </c>
      <c r="E9" s="4">
        <f t="shared" si="2"/>
        <v>1.8362820358579113E-2</v>
      </c>
      <c r="F9" s="3">
        <f t="shared" si="0"/>
        <v>2021</v>
      </c>
    </row>
    <row r="10" spans="1:6" ht="15" customHeight="1" x14ac:dyDescent="0.2">
      <c r="A10" s="2">
        <v>44453</v>
      </c>
      <c r="B10" s="3">
        <v>2330.3600999999999</v>
      </c>
      <c r="C10" s="3">
        <v>116181</v>
      </c>
      <c r="D10" s="4">
        <f t="shared" si="1"/>
        <v>-1.2992979581822664E-3</v>
      </c>
      <c r="E10" s="4">
        <f t="shared" si="2"/>
        <v>-1.9175791072764776E-3</v>
      </c>
      <c r="F10" s="3">
        <f t="shared" si="0"/>
        <v>2021</v>
      </c>
    </row>
    <row r="11" spans="1:6" ht="15" customHeight="1" x14ac:dyDescent="0.2">
      <c r="A11" s="2">
        <v>44454</v>
      </c>
      <c r="B11" s="3">
        <v>2300.9499999999998</v>
      </c>
      <c r="C11" s="3">
        <v>115063</v>
      </c>
      <c r="D11" s="4">
        <f t="shared" si="1"/>
        <v>-1.2700723857921738E-2</v>
      </c>
      <c r="E11" s="4">
        <f t="shared" si="2"/>
        <v>-9.6695154125150864E-3</v>
      </c>
      <c r="F11" s="3">
        <f t="shared" si="0"/>
        <v>2021</v>
      </c>
    </row>
    <row r="12" spans="1:6" ht="15" customHeight="1" x14ac:dyDescent="0.2">
      <c r="A12" s="2">
        <v>44455</v>
      </c>
      <c r="B12" s="3">
        <v>2291.9099000000001</v>
      </c>
      <c r="C12" s="3">
        <v>113794</v>
      </c>
      <c r="D12" s="4">
        <f t="shared" si="1"/>
        <v>-3.9365937003038639E-3</v>
      </c>
      <c r="E12" s="4">
        <f t="shared" si="2"/>
        <v>-1.1090008223337737E-2</v>
      </c>
      <c r="F12" s="3">
        <f t="shared" si="0"/>
        <v>2021</v>
      </c>
    </row>
    <row r="13" spans="1:6" ht="15" customHeight="1" x14ac:dyDescent="0.2">
      <c r="A13" s="2">
        <v>44456</v>
      </c>
      <c r="B13" s="3">
        <v>2251.8701000000001</v>
      </c>
      <c r="C13" s="3">
        <v>111439</v>
      </c>
      <c r="D13" s="4">
        <f t="shared" si="1"/>
        <v>-1.762446088070602E-2</v>
      </c>
      <c r="E13" s="4">
        <f t="shared" si="2"/>
        <v>-2.0912440232271887E-2</v>
      </c>
      <c r="F13" s="3">
        <f t="shared" si="0"/>
        <v>2021</v>
      </c>
    </row>
    <row r="14" spans="1:6" ht="15" customHeight="1" x14ac:dyDescent="0.2">
      <c r="A14" s="2">
        <v>44459</v>
      </c>
      <c r="B14" s="3">
        <v>2201.9499999999998</v>
      </c>
      <c r="C14" s="3">
        <v>108844</v>
      </c>
      <c r="D14" s="4">
        <f t="shared" si="1"/>
        <v>-2.2417695141026529E-2</v>
      </c>
      <c r="E14" s="4">
        <f t="shared" si="2"/>
        <v>-2.3561691558516278E-2</v>
      </c>
      <c r="F14" s="3">
        <f t="shared" si="0"/>
        <v>2021</v>
      </c>
    </row>
    <row r="15" spans="1:6" ht="15" customHeight="1" x14ac:dyDescent="0.2">
      <c r="A15" s="2">
        <v>44460</v>
      </c>
      <c r="B15" s="3">
        <v>2229.4699999999998</v>
      </c>
      <c r="C15" s="3">
        <v>110250</v>
      </c>
      <c r="D15" s="4">
        <f t="shared" si="1"/>
        <v>1.2420557650686379E-2</v>
      </c>
      <c r="E15" s="4">
        <f t="shared" si="2"/>
        <v>1.2834849892804551E-2</v>
      </c>
      <c r="F15" s="3">
        <f t="shared" si="0"/>
        <v>2021</v>
      </c>
    </row>
    <row r="16" spans="1:6" ht="15" customHeight="1" x14ac:dyDescent="0.2">
      <c r="A16" s="2">
        <v>44461</v>
      </c>
      <c r="B16" s="3">
        <v>2262.5100000000002</v>
      </c>
      <c r="C16" s="3">
        <v>112282</v>
      </c>
      <c r="D16" s="4">
        <f t="shared" si="1"/>
        <v>1.4710927408640292E-2</v>
      </c>
      <c r="E16" s="4">
        <f t="shared" si="2"/>
        <v>1.8263049619412546E-2</v>
      </c>
      <c r="F16" s="3">
        <f t="shared" si="0"/>
        <v>2021</v>
      </c>
    </row>
    <row r="17" spans="1:6" ht="15" customHeight="1" x14ac:dyDescent="0.2">
      <c r="A17" s="2">
        <v>44462</v>
      </c>
      <c r="B17" s="3">
        <v>2295.4899999999998</v>
      </c>
      <c r="C17" s="3">
        <v>114064</v>
      </c>
      <c r="D17" s="4">
        <f t="shared" si="1"/>
        <v>1.4471511876592145E-2</v>
      </c>
      <c r="E17" s="4">
        <f t="shared" si="2"/>
        <v>1.5746130428904784E-2</v>
      </c>
      <c r="F17" s="3">
        <f t="shared" si="0"/>
        <v>2021</v>
      </c>
    </row>
    <row r="18" spans="1:6" ht="15" customHeight="1" x14ac:dyDescent="0.2">
      <c r="A18" s="2">
        <v>44463</v>
      </c>
      <c r="B18" s="3">
        <v>2279.6999999999998</v>
      </c>
      <c r="C18" s="3">
        <v>113283</v>
      </c>
      <c r="D18" s="4">
        <f t="shared" si="1"/>
        <v>-6.9024729865596402E-3</v>
      </c>
      <c r="E18" s="4">
        <f t="shared" si="2"/>
        <v>-6.870581729685357E-3</v>
      </c>
      <c r="F18" s="3">
        <f t="shared" si="0"/>
        <v>2021</v>
      </c>
    </row>
    <row r="19" spans="1:6" ht="15" customHeight="1" x14ac:dyDescent="0.2">
      <c r="A19" s="2">
        <v>44466</v>
      </c>
      <c r="B19" s="3">
        <v>2282.0601000000001</v>
      </c>
      <c r="C19" s="3">
        <v>113583</v>
      </c>
      <c r="D19" s="4">
        <f t="shared" si="1"/>
        <v>1.034732278260125E-3</v>
      </c>
      <c r="E19" s="4">
        <f t="shared" si="2"/>
        <v>2.6447345557775244E-3</v>
      </c>
      <c r="F19" s="3">
        <f t="shared" si="0"/>
        <v>2021</v>
      </c>
    </row>
    <row r="20" spans="1:6" ht="15" customHeight="1" x14ac:dyDescent="0.2">
      <c r="A20" s="2">
        <v>44467</v>
      </c>
      <c r="B20" s="3">
        <v>2216.2800000000002</v>
      </c>
      <c r="C20" s="3">
        <v>110124</v>
      </c>
      <c r="D20" s="4">
        <f t="shared" si="1"/>
        <v>-2.9248472946288604E-2</v>
      </c>
      <c r="E20" s="4">
        <f t="shared" si="2"/>
        <v>-3.0926843576488346E-2</v>
      </c>
      <c r="F20" s="3">
        <f t="shared" si="0"/>
        <v>2021</v>
      </c>
    </row>
    <row r="21" spans="1:6" ht="15" customHeight="1" x14ac:dyDescent="0.2">
      <c r="A21" s="2">
        <v>44468</v>
      </c>
      <c r="B21" s="3">
        <v>2226.6698999999999</v>
      </c>
      <c r="C21" s="3">
        <v>111107</v>
      </c>
      <c r="D21" s="4">
        <f t="shared" si="1"/>
        <v>4.6770362815153404E-3</v>
      </c>
      <c r="E21" s="4">
        <f t="shared" si="2"/>
        <v>8.8866973365242935E-3</v>
      </c>
      <c r="F21" s="3">
        <f t="shared" si="0"/>
        <v>2021</v>
      </c>
    </row>
    <row r="22" spans="1:6" ht="15" customHeight="1" x14ac:dyDescent="0.2">
      <c r="A22" s="2">
        <v>44469</v>
      </c>
      <c r="B22" s="3">
        <v>2213.4499999999998</v>
      </c>
      <c r="C22" s="3">
        <v>110979</v>
      </c>
      <c r="D22" s="4">
        <f t="shared" si="1"/>
        <v>-5.9547667007601836E-3</v>
      </c>
      <c r="E22" s="4">
        <f t="shared" si="2"/>
        <v>-1.1527067367879625E-3</v>
      </c>
      <c r="F22" s="3">
        <f t="shared" si="0"/>
        <v>2021</v>
      </c>
    </row>
    <row r="23" spans="1:6" ht="15" customHeight="1" x14ac:dyDescent="0.2">
      <c r="A23" s="2">
        <v>44470</v>
      </c>
      <c r="B23" s="3">
        <v>2255.96</v>
      </c>
      <c r="C23" s="3">
        <v>112900</v>
      </c>
      <c r="D23" s="4">
        <f t="shared" si="1"/>
        <v>1.9023218707732891E-2</v>
      </c>
      <c r="E23" s="4">
        <f t="shared" si="2"/>
        <v>1.7161476931003637E-2</v>
      </c>
      <c r="F23" s="3">
        <f t="shared" si="0"/>
        <v>2021</v>
      </c>
    </row>
    <row r="24" spans="1:6" ht="15" customHeight="1" x14ac:dyDescent="0.2">
      <c r="A24" s="2">
        <v>44473</v>
      </c>
      <c r="B24" s="3">
        <v>2192.9198999999999</v>
      </c>
      <c r="C24" s="3">
        <v>110393</v>
      </c>
      <c r="D24" s="4">
        <f t="shared" si="1"/>
        <v>-2.8341659521283185E-2</v>
      </c>
      <c r="E24" s="4">
        <f t="shared" si="2"/>
        <v>-2.2455745119955416E-2</v>
      </c>
      <c r="F24" s="3">
        <f t="shared" si="0"/>
        <v>2021</v>
      </c>
    </row>
    <row r="25" spans="1:6" ht="15" customHeight="1" x14ac:dyDescent="0.2">
      <c r="A25" s="2">
        <v>44474</v>
      </c>
      <c r="B25" s="3">
        <v>2197.8000000000002</v>
      </c>
      <c r="C25" s="3">
        <v>110458</v>
      </c>
      <c r="D25" s="4">
        <f t="shared" si="1"/>
        <v>2.2229165697983761E-3</v>
      </c>
      <c r="E25" s="4">
        <f t="shared" si="2"/>
        <v>5.8863217170670936E-4</v>
      </c>
      <c r="F25" s="3">
        <f t="shared" si="0"/>
        <v>2021</v>
      </c>
    </row>
    <row r="26" spans="1:6" ht="15" customHeight="1" x14ac:dyDescent="0.2">
      <c r="A26" s="2">
        <v>44475</v>
      </c>
      <c r="B26" s="3">
        <v>2200.3301000000001</v>
      </c>
      <c r="C26" s="3">
        <v>110560</v>
      </c>
      <c r="D26" s="4">
        <f t="shared" si="1"/>
        <v>1.1505345324355806E-3</v>
      </c>
      <c r="E26" s="4">
        <f t="shared" si="2"/>
        <v>9.2300181199191826E-4</v>
      </c>
      <c r="F26" s="3">
        <f t="shared" si="0"/>
        <v>2021</v>
      </c>
    </row>
    <row r="27" spans="1:6" ht="15" customHeight="1" x14ac:dyDescent="0.2">
      <c r="A27" s="2">
        <v>44476</v>
      </c>
      <c r="B27" s="3">
        <v>2191.1898999999999</v>
      </c>
      <c r="C27" s="3">
        <v>110585</v>
      </c>
      <c r="D27" s="4">
        <f t="shared" si="1"/>
        <v>-4.1626649534909702E-3</v>
      </c>
      <c r="E27" s="4">
        <f t="shared" si="2"/>
        <v>2.2609600132487658E-4</v>
      </c>
      <c r="F27" s="3">
        <f t="shared" si="0"/>
        <v>2021</v>
      </c>
    </row>
    <row r="28" spans="1:6" ht="15" customHeight="1" x14ac:dyDescent="0.2">
      <c r="A28" s="2">
        <v>44477</v>
      </c>
      <c r="B28" s="3">
        <v>2242.48</v>
      </c>
      <c r="C28" s="3">
        <v>112833</v>
      </c>
      <c r="D28" s="4">
        <f t="shared" si="1"/>
        <v>2.3137666683797364E-2</v>
      </c>
      <c r="E28" s="4">
        <f t="shared" si="2"/>
        <v>2.0124393449422674E-2</v>
      </c>
      <c r="F28" s="3">
        <f t="shared" si="0"/>
        <v>2021</v>
      </c>
    </row>
    <row r="29" spans="1:6" ht="15" customHeight="1" x14ac:dyDescent="0.2">
      <c r="A29" s="2">
        <v>44480</v>
      </c>
      <c r="B29" s="3">
        <v>2209.8899000000001</v>
      </c>
      <c r="C29" s="3">
        <v>112180</v>
      </c>
      <c r="D29" s="4">
        <f t="shared" si="1"/>
        <v>-1.4639701009300001E-2</v>
      </c>
      <c r="E29" s="4">
        <f t="shared" si="2"/>
        <v>-5.8041253899165637E-3</v>
      </c>
      <c r="F29" s="3">
        <f t="shared" si="0"/>
        <v>2021</v>
      </c>
    </row>
    <row r="30" spans="1:6" ht="15" customHeight="1" x14ac:dyDescent="0.2">
      <c r="A30" s="2">
        <v>44482</v>
      </c>
      <c r="B30" s="3">
        <v>2256.79</v>
      </c>
      <c r="C30" s="3">
        <v>113456</v>
      </c>
      <c r="D30" s="4">
        <f t="shared" si="1"/>
        <v>2.1000754358885328E-2</v>
      </c>
      <c r="E30" s="4">
        <f t="shared" si="2"/>
        <v>1.1310372481449938E-2</v>
      </c>
      <c r="F30" s="3">
        <f t="shared" si="0"/>
        <v>2021</v>
      </c>
    </row>
    <row r="31" spans="1:6" ht="15" customHeight="1" x14ac:dyDescent="0.2">
      <c r="A31" s="2">
        <v>44483</v>
      </c>
      <c r="B31" s="3">
        <v>2248.75</v>
      </c>
      <c r="C31" s="3">
        <v>113185</v>
      </c>
      <c r="D31" s="4">
        <f t="shared" si="1"/>
        <v>-3.5689433604083891E-3</v>
      </c>
      <c r="E31" s="4">
        <f t="shared" si="2"/>
        <v>-2.3914484065517263E-3</v>
      </c>
      <c r="F31" s="3">
        <f t="shared" si="0"/>
        <v>2021</v>
      </c>
    </row>
    <row r="32" spans="1:6" ht="15" customHeight="1" x14ac:dyDescent="0.2">
      <c r="A32" s="2">
        <v>44484</v>
      </c>
      <c r="B32" s="3">
        <v>2285.0801000000001</v>
      </c>
      <c r="C32" s="3">
        <v>114648</v>
      </c>
      <c r="D32" s="4">
        <f t="shared" si="1"/>
        <v>1.602657215375565E-2</v>
      </c>
      <c r="E32" s="4">
        <f t="shared" si="2"/>
        <v>1.2842916600681277E-2</v>
      </c>
      <c r="F32" s="3">
        <f t="shared" si="0"/>
        <v>2021</v>
      </c>
    </row>
    <row r="33" spans="1:6" ht="15" customHeight="1" x14ac:dyDescent="0.2">
      <c r="A33" s="2">
        <v>44487</v>
      </c>
      <c r="B33" s="3">
        <v>2286.5601000000001</v>
      </c>
      <c r="C33" s="3">
        <v>114428</v>
      </c>
      <c r="D33" s="4">
        <f t="shared" si="1"/>
        <v>6.4747004880362513E-4</v>
      </c>
      <c r="E33" s="4">
        <f t="shared" si="2"/>
        <v>-1.9207605129961168E-3</v>
      </c>
      <c r="F33" s="3">
        <f t="shared" si="0"/>
        <v>2021</v>
      </c>
    </row>
    <row r="34" spans="1:6" ht="15" customHeight="1" x14ac:dyDescent="0.2">
      <c r="A34" s="2">
        <v>44488</v>
      </c>
      <c r="B34" s="3">
        <v>2206.6999999999998</v>
      </c>
      <c r="C34" s="3">
        <v>110673</v>
      </c>
      <c r="D34" s="4">
        <f t="shared" si="1"/>
        <v>-3.5550361578267325E-2</v>
      </c>
      <c r="E34" s="4">
        <f t="shared" si="2"/>
        <v>-3.3365896716244792E-2</v>
      </c>
      <c r="F34" s="3">
        <f t="shared" si="0"/>
        <v>2021</v>
      </c>
    </row>
    <row r="35" spans="1:6" ht="15" customHeight="1" x14ac:dyDescent="0.2">
      <c r="A35" s="2">
        <v>44489</v>
      </c>
      <c r="B35" s="3">
        <v>2228.3998999999999</v>
      </c>
      <c r="C35" s="3">
        <v>110786</v>
      </c>
      <c r="D35" s="4">
        <f t="shared" si="1"/>
        <v>9.7856073823778048E-3</v>
      </c>
      <c r="E35" s="4">
        <f t="shared" si="2"/>
        <v>1.0205050127274299E-3</v>
      </c>
      <c r="F35" s="3">
        <f t="shared" si="0"/>
        <v>2021</v>
      </c>
    </row>
    <row r="36" spans="1:6" ht="15" customHeight="1" x14ac:dyDescent="0.2">
      <c r="A36" s="2">
        <v>44490</v>
      </c>
      <c r="B36" s="3">
        <v>2155.8798999999999</v>
      </c>
      <c r="C36" s="3">
        <v>107735</v>
      </c>
      <c r="D36" s="4">
        <f t="shared" si="1"/>
        <v>-3.3084847803382909E-2</v>
      </c>
      <c r="E36" s="4">
        <f t="shared" si="2"/>
        <v>-2.7925904383060526E-2</v>
      </c>
      <c r="F36" s="3">
        <f t="shared" si="0"/>
        <v>2021</v>
      </c>
    </row>
    <row r="37" spans="1:6" ht="15" customHeight="1" x14ac:dyDescent="0.2">
      <c r="A37" s="2">
        <v>44491</v>
      </c>
      <c r="B37" s="3">
        <v>2110.8600999999999</v>
      </c>
      <c r="C37" s="3">
        <v>106296</v>
      </c>
      <c r="D37" s="4">
        <f t="shared" si="1"/>
        <v>-2.1103451724836873E-2</v>
      </c>
      <c r="E37" s="4">
        <f t="shared" si="2"/>
        <v>-1.3446852867189786E-2</v>
      </c>
      <c r="F37" s="3">
        <f t="shared" si="0"/>
        <v>2021</v>
      </c>
    </row>
    <row r="38" spans="1:6" ht="15" customHeight="1" x14ac:dyDescent="0.2">
      <c r="A38" s="2">
        <v>44494</v>
      </c>
      <c r="B38" s="3">
        <v>2153.1898999999999</v>
      </c>
      <c r="C38" s="3">
        <v>108715</v>
      </c>
      <c r="D38" s="4">
        <f t="shared" si="1"/>
        <v>1.9854922239685845E-2</v>
      </c>
      <c r="E38" s="4">
        <f t="shared" si="2"/>
        <v>2.2502123798015278E-2</v>
      </c>
      <c r="F38" s="3">
        <f t="shared" si="0"/>
        <v>2021</v>
      </c>
    </row>
    <row r="39" spans="1:6" ht="15" customHeight="1" x14ac:dyDescent="0.2">
      <c r="A39" s="2">
        <v>44495</v>
      </c>
      <c r="B39" s="3">
        <v>2101.1298999999999</v>
      </c>
      <c r="C39" s="3">
        <v>106420</v>
      </c>
      <c r="D39" s="4">
        <f t="shared" si="1"/>
        <v>-2.4475169348037121E-2</v>
      </c>
      <c r="E39" s="4">
        <f t="shared" si="2"/>
        <v>-2.1336249918798813E-2</v>
      </c>
      <c r="F39" s="3">
        <f t="shared" si="0"/>
        <v>2021</v>
      </c>
    </row>
    <row r="40" spans="1:6" ht="15" customHeight="1" x14ac:dyDescent="0.2">
      <c r="A40" s="2">
        <v>44496</v>
      </c>
      <c r="B40" s="3">
        <v>2110.0601000000001</v>
      </c>
      <c r="C40" s="3">
        <v>106363</v>
      </c>
      <c r="D40" s="4">
        <f t="shared" si="1"/>
        <v>4.241182841948311E-3</v>
      </c>
      <c r="E40" s="4">
        <f t="shared" si="2"/>
        <v>-5.3575709867251286E-4</v>
      </c>
      <c r="F40" s="3">
        <f t="shared" si="0"/>
        <v>2021</v>
      </c>
    </row>
    <row r="41" spans="1:6" ht="15" customHeight="1" x14ac:dyDescent="0.2">
      <c r="A41" s="2">
        <v>44497</v>
      </c>
      <c r="B41" s="3">
        <v>2097.1599000000001</v>
      </c>
      <c r="C41" s="3">
        <v>105705</v>
      </c>
      <c r="D41" s="4">
        <f t="shared" si="1"/>
        <v>-6.1324296936207277E-3</v>
      </c>
      <c r="E41" s="4">
        <f t="shared" si="2"/>
        <v>-6.205576622455162E-3</v>
      </c>
      <c r="F41" s="3">
        <f t="shared" si="0"/>
        <v>2021</v>
      </c>
    </row>
    <row r="42" spans="1:6" ht="15" customHeight="1" x14ac:dyDescent="0.2">
      <c r="A42" s="2">
        <v>44498</v>
      </c>
      <c r="B42" s="3">
        <v>2069.0601000000001</v>
      </c>
      <c r="C42" s="3">
        <v>103501</v>
      </c>
      <c r="D42" s="4">
        <f t="shared" si="1"/>
        <v>-1.3489554610304103E-2</v>
      </c>
      <c r="E42" s="4">
        <f t="shared" si="2"/>
        <v>-2.1070920952598139E-2</v>
      </c>
      <c r="F42" s="3">
        <f t="shared" si="0"/>
        <v>2021</v>
      </c>
    </row>
    <row r="43" spans="1:6" ht="15" customHeight="1" x14ac:dyDescent="0.2">
      <c r="A43" s="2">
        <v>44501</v>
      </c>
      <c r="B43" s="3">
        <v>2116.0100000000002</v>
      </c>
      <c r="C43" s="3">
        <v>105551</v>
      </c>
      <c r="D43" s="4">
        <f t="shared" si="1"/>
        <v>2.2437793692078739E-2</v>
      </c>
      <c r="E43" s="4">
        <f t="shared" si="2"/>
        <v>1.9612973937804295E-2</v>
      </c>
      <c r="F43" s="3">
        <f t="shared" si="0"/>
        <v>2021</v>
      </c>
    </row>
    <row r="44" spans="1:6" ht="15" customHeight="1" x14ac:dyDescent="0.2">
      <c r="A44" s="2">
        <v>44503</v>
      </c>
      <c r="B44" s="3">
        <v>2152.8301000000001</v>
      </c>
      <c r="C44" s="3">
        <v>105617</v>
      </c>
      <c r="D44" s="4">
        <f t="shared" si="1"/>
        <v>1.7251062241163791E-2</v>
      </c>
      <c r="E44" s="4">
        <f t="shared" si="2"/>
        <v>6.2509473167430976E-4</v>
      </c>
      <c r="F44" s="3">
        <f t="shared" si="0"/>
        <v>2021</v>
      </c>
    </row>
    <row r="45" spans="1:6" ht="15" customHeight="1" x14ac:dyDescent="0.2">
      <c r="A45" s="2">
        <v>44504</v>
      </c>
      <c r="B45" s="3">
        <v>2105.1799000000001</v>
      </c>
      <c r="C45" s="3">
        <v>103412</v>
      </c>
      <c r="D45" s="4">
        <f t="shared" si="1"/>
        <v>-2.2382375458497542E-2</v>
      </c>
      <c r="E45" s="4">
        <f t="shared" si="2"/>
        <v>-2.1098333664802561E-2</v>
      </c>
      <c r="F45" s="3">
        <f t="shared" si="0"/>
        <v>2021</v>
      </c>
    </row>
    <row r="46" spans="1:6" ht="15" customHeight="1" x14ac:dyDescent="0.2">
      <c r="A46" s="2">
        <v>44505</v>
      </c>
      <c r="B46" s="3">
        <v>2149.3000000000002</v>
      </c>
      <c r="C46" s="3">
        <v>104824</v>
      </c>
      <c r="D46" s="4">
        <f t="shared" si="1"/>
        <v>2.0741281065620263E-2</v>
      </c>
      <c r="E46" s="4">
        <f t="shared" si="2"/>
        <v>1.3561743803110999E-2</v>
      </c>
      <c r="F46" s="3">
        <f t="shared" si="0"/>
        <v>2021</v>
      </c>
    </row>
    <row r="47" spans="1:6" ht="15" customHeight="1" x14ac:dyDescent="0.2">
      <c r="A47" s="2">
        <v>44508</v>
      </c>
      <c r="B47" s="3">
        <v>2123.98</v>
      </c>
      <c r="C47" s="3">
        <v>104781</v>
      </c>
      <c r="D47" s="4">
        <f t="shared" si="1"/>
        <v>-1.1850520591590233E-2</v>
      </c>
      <c r="E47" s="4">
        <f t="shared" si="2"/>
        <v>-4.102955616825185E-4</v>
      </c>
      <c r="F47" s="3">
        <f t="shared" si="0"/>
        <v>2021</v>
      </c>
    </row>
    <row r="48" spans="1:6" ht="15" customHeight="1" x14ac:dyDescent="0.2">
      <c r="A48" s="2">
        <v>44509</v>
      </c>
      <c r="B48" s="3">
        <v>2148.52</v>
      </c>
      <c r="C48" s="3">
        <v>105535</v>
      </c>
      <c r="D48" s="4">
        <f t="shared" si="1"/>
        <v>1.1487545870190166E-2</v>
      </c>
      <c r="E48" s="4">
        <f t="shared" si="2"/>
        <v>7.1701937119794303E-3</v>
      </c>
      <c r="F48" s="3">
        <f t="shared" si="0"/>
        <v>2021</v>
      </c>
    </row>
    <row r="49" spans="1:6" ht="15" customHeight="1" x14ac:dyDescent="0.2">
      <c r="A49" s="2">
        <v>44510</v>
      </c>
      <c r="B49" s="3">
        <v>2171.98</v>
      </c>
      <c r="C49" s="3">
        <v>105968</v>
      </c>
      <c r="D49" s="4">
        <f t="shared" si="1"/>
        <v>1.0859960916470351E-2</v>
      </c>
      <c r="E49" s="4">
        <f t="shared" si="2"/>
        <v>4.0945102900425117E-3</v>
      </c>
      <c r="F49" s="3">
        <f t="shared" si="0"/>
        <v>2021</v>
      </c>
    </row>
    <row r="50" spans="1:6" ht="15" customHeight="1" x14ac:dyDescent="0.2">
      <c r="A50" s="2">
        <v>44511</v>
      </c>
      <c r="B50" s="3">
        <v>2198.1599000000001</v>
      </c>
      <c r="C50" s="3">
        <v>107595</v>
      </c>
      <c r="D50" s="4">
        <f t="shared" si="1"/>
        <v>1.1981407361946576E-2</v>
      </c>
      <c r="E50" s="4">
        <f t="shared" si="2"/>
        <v>1.5237016503883751E-2</v>
      </c>
      <c r="F50" s="3">
        <f t="shared" si="0"/>
        <v>2021</v>
      </c>
    </row>
    <row r="51" spans="1:6" ht="15" customHeight="1" x14ac:dyDescent="0.2">
      <c r="A51" s="2">
        <v>44512</v>
      </c>
      <c r="B51" s="3">
        <v>2161.1999999999998</v>
      </c>
      <c r="C51" s="3">
        <v>106335</v>
      </c>
      <c r="D51" s="4">
        <f t="shared" si="1"/>
        <v>-1.6956978300336351E-2</v>
      </c>
      <c r="E51" s="4">
        <f t="shared" si="2"/>
        <v>-1.1779690271416914E-2</v>
      </c>
      <c r="F51" s="3">
        <f t="shared" si="0"/>
        <v>2021</v>
      </c>
    </row>
    <row r="52" spans="1:6" ht="15" customHeight="1" x14ac:dyDescent="0.2">
      <c r="A52" s="2">
        <v>44516</v>
      </c>
      <c r="B52" s="3">
        <v>2122.2600000000002</v>
      </c>
      <c r="C52" s="3">
        <v>104404</v>
      </c>
      <c r="D52" s="4">
        <f t="shared" si="1"/>
        <v>-1.8182064382724968E-2</v>
      </c>
      <c r="E52" s="4">
        <f t="shared" si="2"/>
        <v>-1.8326499084276245E-2</v>
      </c>
      <c r="F52" s="3">
        <f t="shared" si="0"/>
        <v>2021</v>
      </c>
    </row>
    <row r="53" spans="1:6" ht="15" customHeight="1" x14ac:dyDescent="0.2">
      <c r="A53" s="2">
        <v>44517</v>
      </c>
      <c r="B53" s="3">
        <v>2097.1799000000001</v>
      </c>
      <c r="C53" s="3">
        <v>102948</v>
      </c>
      <c r="D53" s="4">
        <f t="shared" si="1"/>
        <v>-1.1888021142251399E-2</v>
      </c>
      <c r="E53" s="4">
        <f t="shared" si="2"/>
        <v>-1.4043982511985725E-2</v>
      </c>
      <c r="F53" s="3">
        <f t="shared" si="0"/>
        <v>2021</v>
      </c>
    </row>
    <row r="54" spans="1:6" ht="15" customHeight="1" x14ac:dyDescent="0.2">
      <c r="A54" s="2">
        <v>44518</v>
      </c>
      <c r="B54" s="3">
        <v>2094.46</v>
      </c>
      <c r="C54" s="3">
        <v>102426</v>
      </c>
      <c r="D54" s="4">
        <f t="shared" si="1"/>
        <v>-1.2977738768742259E-3</v>
      </c>
      <c r="E54" s="4">
        <f t="shared" si="2"/>
        <v>-5.0834197521577376E-3</v>
      </c>
      <c r="F54" s="3">
        <f t="shared" si="0"/>
        <v>2021</v>
      </c>
    </row>
    <row r="55" spans="1:6" ht="15" customHeight="1" x14ac:dyDescent="0.2">
      <c r="A55" s="2">
        <v>44519</v>
      </c>
      <c r="B55" s="3">
        <v>2104.6201000000001</v>
      </c>
      <c r="C55" s="3">
        <v>103035</v>
      </c>
      <c r="D55" s="4">
        <f t="shared" si="1"/>
        <v>4.8392122014561719E-3</v>
      </c>
      <c r="E55" s="4">
        <f t="shared" si="2"/>
        <v>5.9281497072837469E-3</v>
      </c>
      <c r="F55" s="3">
        <f t="shared" si="0"/>
        <v>2021</v>
      </c>
    </row>
    <row r="56" spans="1:6" ht="15" customHeight="1" x14ac:dyDescent="0.2">
      <c r="A56" s="2">
        <v>44522</v>
      </c>
      <c r="B56" s="3">
        <v>2060.71</v>
      </c>
      <c r="C56" s="3">
        <v>102122</v>
      </c>
      <c r="D56" s="4">
        <f t="shared" si="1"/>
        <v>-2.1084392173395385E-2</v>
      </c>
      <c r="E56" s="4">
        <f t="shared" si="2"/>
        <v>-8.9005593502577904E-3</v>
      </c>
      <c r="F56" s="3">
        <f t="shared" si="0"/>
        <v>2021</v>
      </c>
    </row>
    <row r="57" spans="1:6" ht="15" customHeight="1" x14ac:dyDescent="0.2">
      <c r="A57" s="2">
        <v>44523</v>
      </c>
      <c r="B57" s="3">
        <v>2083.3101000000001</v>
      </c>
      <c r="C57" s="3">
        <v>103654</v>
      </c>
      <c r="D57" s="4">
        <f t="shared" si="1"/>
        <v>1.0907439404032743E-2</v>
      </c>
      <c r="E57" s="4">
        <f t="shared" si="2"/>
        <v>1.4890252566872897E-2</v>
      </c>
      <c r="F57" s="3">
        <f t="shared" si="0"/>
        <v>2021</v>
      </c>
    </row>
    <row r="58" spans="1:6" ht="15" customHeight="1" x14ac:dyDescent="0.2">
      <c r="A58" s="2">
        <v>44524</v>
      </c>
      <c r="B58" s="3">
        <v>2097.6999999999998</v>
      </c>
      <c r="C58" s="3">
        <v>104514</v>
      </c>
      <c r="D58" s="4">
        <f t="shared" si="1"/>
        <v>6.883483404590187E-3</v>
      </c>
      <c r="E58" s="4">
        <f t="shared" si="2"/>
        <v>8.2626041728099207E-3</v>
      </c>
      <c r="F58" s="3">
        <f t="shared" si="0"/>
        <v>2021</v>
      </c>
    </row>
    <row r="59" spans="1:6" ht="15" customHeight="1" x14ac:dyDescent="0.2">
      <c r="A59" s="2">
        <v>44525</v>
      </c>
      <c r="B59" s="3">
        <v>2128.0801000000001</v>
      </c>
      <c r="C59" s="3">
        <v>105811</v>
      </c>
      <c r="D59" s="4">
        <f t="shared" si="1"/>
        <v>1.437870532583101E-2</v>
      </c>
      <c r="E59" s="4">
        <f t="shared" si="2"/>
        <v>1.2333450050592346E-2</v>
      </c>
      <c r="F59" s="3">
        <f t="shared" si="0"/>
        <v>2021</v>
      </c>
    </row>
    <row r="60" spans="1:6" ht="15" customHeight="1" x14ac:dyDescent="0.2">
      <c r="A60" s="2">
        <v>44526</v>
      </c>
      <c r="B60" s="3">
        <v>2058.9899999999998</v>
      </c>
      <c r="C60" s="3">
        <v>102224</v>
      </c>
      <c r="D60" s="4">
        <f t="shared" si="1"/>
        <v>-3.3004640441145691E-2</v>
      </c>
      <c r="E60" s="4">
        <f t="shared" si="2"/>
        <v>-3.4487999913984511E-2</v>
      </c>
      <c r="F60" s="3">
        <f t="shared" si="0"/>
        <v>2021</v>
      </c>
    </row>
    <row r="61" spans="1:6" ht="15" customHeight="1" x14ac:dyDescent="0.2">
      <c r="A61" s="2">
        <v>44529</v>
      </c>
      <c r="B61" s="3">
        <v>2059.6599000000001</v>
      </c>
      <c r="C61" s="3">
        <v>102814</v>
      </c>
      <c r="D61" s="4">
        <f t="shared" si="1"/>
        <v>3.2530077679463192E-4</v>
      </c>
      <c r="E61" s="4">
        <f t="shared" si="2"/>
        <v>5.7550466589289936E-3</v>
      </c>
      <c r="F61" s="3">
        <f t="shared" si="0"/>
        <v>2021</v>
      </c>
    </row>
    <row r="62" spans="1:6" ht="15" customHeight="1" x14ac:dyDescent="0.2">
      <c r="A62" s="2">
        <v>44530</v>
      </c>
      <c r="B62" s="3">
        <v>2039.39</v>
      </c>
      <c r="C62" s="3">
        <v>101915</v>
      </c>
      <c r="D62" s="4">
        <f t="shared" si="1"/>
        <v>-9.8901285510818449E-3</v>
      </c>
      <c r="E62" s="4">
        <f t="shared" si="2"/>
        <v>-8.7823979832226846E-3</v>
      </c>
      <c r="F62" s="3">
        <f t="shared" si="0"/>
        <v>2021</v>
      </c>
    </row>
    <row r="63" spans="1:6" ht="15" customHeight="1" x14ac:dyDescent="0.2">
      <c r="A63" s="2">
        <v>44531</v>
      </c>
      <c r="B63" s="3">
        <v>2007.29</v>
      </c>
      <c r="C63" s="3">
        <v>100775</v>
      </c>
      <c r="D63" s="4">
        <f t="shared" si="1"/>
        <v>-1.5865189887040602E-2</v>
      </c>
      <c r="E63" s="4">
        <f t="shared" si="2"/>
        <v>-1.1248823532464121E-2</v>
      </c>
      <c r="F63" s="3">
        <f t="shared" si="0"/>
        <v>2021</v>
      </c>
    </row>
    <row r="64" spans="1:6" ht="15" customHeight="1" x14ac:dyDescent="0.2">
      <c r="A64" s="2">
        <v>44532</v>
      </c>
      <c r="B64" s="3">
        <v>2064.73</v>
      </c>
      <c r="C64" s="3">
        <v>104466</v>
      </c>
      <c r="D64" s="4">
        <f t="shared" si="1"/>
        <v>2.8213913613099339E-2</v>
      </c>
      <c r="E64" s="4">
        <f t="shared" si="2"/>
        <v>3.5971350609286891E-2</v>
      </c>
      <c r="F64" s="3">
        <f t="shared" si="0"/>
        <v>2021</v>
      </c>
    </row>
    <row r="65" spans="1:6" ht="15" customHeight="1" x14ac:dyDescent="0.2">
      <c r="A65" s="2">
        <v>44533</v>
      </c>
      <c r="B65" s="3">
        <v>2082.9099000000001</v>
      </c>
      <c r="C65" s="3">
        <v>105070</v>
      </c>
      <c r="D65" s="4">
        <f t="shared" si="1"/>
        <v>8.7664391634629749E-3</v>
      </c>
      <c r="E65" s="4">
        <f t="shared" si="2"/>
        <v>5.7651350881675455E-3</v>
      </c>
      <c r="F65" s="3">
        <f t="shared" si="0"/>
        <v>2021</v>
      </c>
    </row>
    <row r="66" spans="1:6" ht="15" customHeight="1" x14ac:dyDescent="0.2">
      <c r="A66" s="2">
        <v>44536</v>
      </c>
      <c r="B66" s="3">
        <v>2104.8101000000001</v>
      </c>
      <c r="C66" s="3">
        <v>106859</v>
      </c>
      <c r="D66" s="4">
        <f t="shared" si="1"/>
        <v>1.0459342865588639E-2</v>
      </c>
      <c r="E66" s="4">
        <f t="shared" si="2"/>
        <v>1.6883413746599647E-2</v>
      </c>
      <c r="F66" s="3">
        <f t="shared" ref="F66:F129" si="3">YEAR(A66)</f>
        <v>2021</v>
      </c>
    </row>
    <row r="67" spans="1:6" ht="15" customHeight="1" x14ac:dyDescent="0.2">
      <c r="A67" s="2">
        <v>44537</v>
      </c>
      <c r="B67" s="3">
        <v>2116.4398999999999</v>
      </c>
      <c r="C67" s="3">
        <v>107558</v>
      </c>
      <c r="D67" s="4">
        <f t="shared" ref="D67:D130" si="4">LN(B67/B66)</f>
        <v>5.5101353508659103E-3</v>
      </c>
      <c r="E67" s="4">
        <f t="shared" ref="E67:E130" si="5">LN(C67/C66)</f>
        <v>6.5200285075409647E-3</v>
      </c>
      <c r="F67" s="3">
        <f t="shared" si="3"/>
        <v>2021</v>
      </c>
    </row>
    <row r="68" spans="1:6" ht="15" customHeight="1" x14ac:dyDescent="0.2">
      <c r="A68" s="2">
        <v>44538</v>
      </c>
      <c r="B68" s="3">
        <v>2132.1898999999999</v>
      </c>
      <c r="C68" s="3">
        <v>108096</v>
      </c>
      <c r="D68" s="4">
        <f t="shared" si="4"/>
        <v>7.4141889925638292E-3</v>
      </c>
      <c r="E68" s="4">
        <f t="shared" si="5"/>
        <v>4.9894842305105731E-3</v>
      </c>
      <c r="F68" s="3">
        <f t="shared" si="3"/>
        <v>2021</v>
      </c>
    </row>
    <row r="69" spans="1:6" ht="15" customHeight="1" x14ac:dyDescent="0.2">
      <c r="A69" s="2">
        <v>44539</v>
      </c>
      <c r="B69" s="3">
        <v>2084.0100000000002</v>
      </c>
      <c r="C69" s="3">
        <v>106291</v>
      </c>
      <c r="D69" s="4">
        <f t="shared" si="4"/>
        <v>-2.2855651287445558E-2</v>
      </c>
      <c r="E69" s="4">
        <f t="shared" si="5"/>
        <v>-1.6839105461314938E-2</v>
      </c>
      <c r="F69" s="3">
        <f t="shared" si="3"/>
        <v>2021</v>
      </c>
    </row>
    <row r="70" spans="1:6" ht="15" customHeight="1" x14ac:dyDescent="0.2">
      <c r="A70" s="2">
        <v>44540</v>
      </c>
      <c r="B70" s="3">
        <v>2115.4099000000001</v>
      </c>
      <c r="C70" s="3">
        <v>107758</v>
      </c>
      <c r="D70" s="4">
        <f t="shared" si="4"/>
        <v>1.4954677522729044E-2</v>
      </c>
      <c r="E70" s="4">
        <f t="shared" si="5"/>
        <v>1.3707356443419022E-2</v>
      </c>
      <c r="F70" s="3">
        <f t="shared" si="3"/>
        <v>2021</v>
      </c>
    </row>
    <row r="71" spans="1:6" ht="15" customHeight="1" x14ac:dyDescent="0.2">
      <c r="A71" s="2">
        <v>44543</v>
      </c>
      <c r="B71" s="3">
        <v>2094.0300000000002</v>
      </c>
      <c r="C71" s="3">
        <v>107383</v>
      </c>
      <c r="D71" s="4">
        <f t="shared" si="4"/>
        <v>-1.0158160873544143E-2</v>
      </c>
      <c r="E71" s="4">
        <f t="shared" si="5"/>
        <v>-3.486089399747361E-3</v>
      </c>
      <c r="F71" s="3">
        <f t="shared" si="3"/>
        <v>2021</v>
      </c>
    </row>
    <row r="72" spans="1:6" ht="15" customHeight="1" x14ac:dyDescent="0.2">
      <c r="A72" s="2">
        <v>44544</v>
      </c>
      <c r="B72" s="3">
        <v>2086.3501000000001</v>
      </c>
      <c r="C72" s="3">
        <v>106760</v>
      </c>
      <c r="D72" s="4">
        <f t="shared" si="4"/>
        <v>-3.6742633235770971E-3</v>
      </c>
      <c r="E72" s="4">
        <f t="shared" si="5"/>
        <v>-5.818558231368203E-3</v>
      </c>
      <c r="F72" s="3">
        <f t="shared" si="3"/>
        <v>2021</v>
      </c>
    </row>
    <row r="73" spans="1:6" ht="15" customHeight="1" x14ac:dyDescent="0.2">
      <c r="A73" s="2">
        <v>44545</v>
      </c>
      <c r="B73" s="3">
        <v>2106.4699999999998</v>
      </c>
      <c r="C73" s="3">
        <v>107431</v>
      </c>
      <c r="D73" s="4">
        <f t="shared" si="4"/>
        <v>9.5973850327733361E-3</v>
      </c>
      <c r="E73" s="4">
        <f t="shared" si="5"/>
        <v>6.2654564856613358E-3</v>
      </c>
      <c r="F73" s="3">
        <f t="shared" si="3"/>
        <v>2021</v>
      </c>
    </row>
    <row r="74" spans="1:6" ht="15" customHeight="1" x14ac:dyDescent="0.2">
      <c r="A74" s="2">
        <v>44546</v>
      </c>
      <c r="B74" s="3">
        <v>2111.73</v>
      </c>
      <c r="C74" s="3">
        <v>108326</v>
      </c>
      <c r="D74" s="4">
        <f t="shared" si="4"/>
        <v>2.4939560600980657E-3</v>
      </c>
      <c r="E74" s="4">
        <f t="shared" si="5"/>
        <v>8.2964180407229318E-3</v>
      </c>
      <c r="F74" s="3">
        <f t="shared" si="3"/>
        <v>2021</v>
      </c>
    </row>
    <row r="75" spans="1:6" ht="15" customHeight="1" x14ac:dyDescent="0.2">
      <c r="A75" s="2">
        <v>44547</v>
      </c>
      <c r="B75" s="3">
        <v>2095.48</v>
      </c>
      <c r="C75" s="3">
        <v>107201</v>
      </c>
      <c r="D75" s="4">
        <f t="shared" si="4"/>
        <v>-7.7248726866489701E-3</v>
      </c>
      <c r="E75" s="4">
        <f t="shared" si="5"/>
        <v>-1.0439622111306127E-2</v>
      </c>
      <c r="F75" s="3">
        <f t="shared" si="3"/>
        <v>2021</v>
      </c>
    </row>
    <row r="76" spans="1:6" ht="15" customHeight="1" x14ac:dyDescent="0.2">
      <c r="A76" s="2">
        <v>44550</v>
      </c>
      <c r="B76" s="3">
        <v>2050.9299000000001</v>
      </c>
      <c r="C76" s="3">
        <v>105020</v>
      </c>
      <c r="D76" s="4">
        <f t="shared" si="4"/>
        <v>-2.1489344019319307E-2</v>
      </c>
      <c r="E76" s="4">
        <f t="shared" si="5"/>
        <v>-2.0554768741688462E-2</v>
      </c>
      <c r="F76" s="3">
        <f t="shared" si="3"/>
        <v>2021</v>
      </c>
    </row>
    <row r="77" spans="1:6" ht="15" customHeight="1" x14ac:dyDescent="0.2">
      <c r="A77" s="2">
        <v>44551</v>
      </c>
      <c r="B77" s="3">
        <v>2044.0600999999999</v>
      </c>
      <c r="C77" s="3">
        <v>105500</v>
      </c>
      <c r="D77" s="4">
        <f t="shared" si="4"/>
        <v>-3.355225016300385E-3</v>
      </c>
      <c r="E77" s="4">
        <f t="shared" si="5"/>
        <v>4.5601447064080305E-3</v>
      </c>
      <c r="F77" s="3">
        <f t="shared" si="3"/>
        <v>2021</v>
      </c>
    </row>
    <row r="78" spans="1:6" ht="15" customHeight="1" x14ac:dyDescent="0.2">
      <c r="A78" s="2">
        <v>44552</v>
      </c>
      <c r="B78" s="3">
        <v>2041.54</v>
      </c>
      <c r="C78" s="3">
        <v>105244</v>
      </c>
      <c r="D78" s="4">
        <f t="shared" si="4"/>
        <v>-1.2336500185664884E-3</v>
      </c>
      <c r="E78" s="4">
        <f t="shared" si="5"/>
        <v>-2.4294891044890714E-3</v>
      </c>
      <c r="F78" s="3">
        <f t="shared" si="3"/>
        <v>2021</v>
      </c>
    </row>
    <row r="79" spans="1:6" ht="15" customHeight="1" x14ac:dyDescent="0.2">
      <c r="A79" s="2">
        <v>44553</v>
      </c>
      <c r="B79" s="3">
        <v>2039.0600999999999</v>
      </c>
      <c r="C79" s="3">
        <v>104891</v>
      </c>
      <c r="D79" s="4">
        <f t="shared" si="4"/>
        <v>-1.2154586308541205E-3</v>
      </c>
      <c r="E79" s="4">
        <f t="shared" si="5"/>
        <v>-3.3597480862544329E-3</v>
      </c>
      <c r="F79" s="3">
        <f t="shared" si="3"/>
        <v>2021</v>
      </c>
    </row>
    <row r="80" spans="1:6" ht="15" customHeight="1" x14ac:dyDescent="0.2">
      <c r="A80" s="2">
        <v>44557</v>
      </c>
      <c r="B80" s="3">
        <v>2051.3701000000001</v>
      </c>
      <c r="C80" s="3">
        <v>105554</v>
      </c>
      <c r="D80" s="4">
        <f t="shared" si="4"/>
        <v>6.0189449821481892E-3</v>
      </c>
      <c r="E80" s="4">
        <f t="shared" si="5"/>
        <v>6.3009545822958826E-3</v>
      </c>
      <c r="F80" s="3">
        <f t="shared" si="3"/>
        <v>2021</v>
      </c>
    </row>
    <row r="81" spans="1:6" ht="15" customHeight="1" x14ac:dyDescent="0.2">
      <c r="A81" s="2">
        <v>44558</v>
      </c>
      <c r="B81" s="3">
        <v>2044.53</v>
      </c>
      <c r="C81" s="3">
        <v>104864</v>
      </c>
      <c r="D81" s="4">
        <f t="shared" si="4"/>
        <v>-3.3399771438257439E-3</v>
      </c>
      <c r="E81" s="4">
        <f t="shared" si="5"/>
        <v>-6.5583977912694246E-3</v>
      </c>
      <c r="F81" s="3">
        <f t="shared" si="3"/>
        <v>2021</v>
      </c>
    </row>
    <row r="82" spans="1:6" ht="15" customHeight="1" x14ac:dyDescent="0.2">
      <c r="A82" s="2">
        <v>44559</v>
      </c>
      <c r="B82" s="3">
        <v>2026.41</v>
      </c>
      <c r="C82" s="3">
        <v>104107</v>
      </c>
      <c r="D82" s="4">
        <f t="shared" si="4"/>
        <v>-8.9021796762096209E-3</v>
      </c>
      <c r="E82" s="4">
        <f t="shared" si="5"/>
        <v>-7.2450561206496896E-3</v>
      </c>
      <c r="F82" s="3">
        <f t="shared" si="3"/>
        <v>2021</v>
      </c>
    </row>
    <row r="83" spans="1:6" ht="15" customHeight="1" x14ac:dyDescent="0.2">
      <c r="A83" s="2">
        <v>44560</v>
      </c>
      <c r="B83" s="3">
        <v>2038.58</v>
      </c>
      <c r="C83" s="3">
        <v>104822</v>
      </c>
      <c r="D83" s="4">
        <f t="shared" si="4"/>
        <v>5.987732496677744E-3</v>
      </c>
      <c r="E83" s="4">
        <f t="shared" si="5"/>
        <v>6.8444571244204158E-3</v>
      </c>
      <c r="F83" s="3">
        <f t="shared" si="3"/>
        <v>2021</v>
      </c>
    </row>
    <row r="84" spans="1:6" ht="15" customHeight="1" x14ac:dyDescent="0.2">
      <c r="A84" s="2">
        <v>44564</v>
      </c>
      <c r="B84" s="3">
        <v>2012.41</v>
      </c>
      <c r="C84" s="3">
        <v>103922</v>
      </c>
      <c r="D84" s="4">
        <f t="shared" si="4"/>
        <v>-1.2920478235984093E-2</v>
      </c>
      <c r="E84" s="4">
        <f t="shared" si="5"/>
        <v>-8.6230557695061334E-3</v>
      </c>
      <c r="F84" s="3">
        <f t="shared" si="3"/>
        <v>2022</v>
      </c>
    </row>
    <row r="85" spans="1:6" ht="15" customHeight="1" x14ac:dyDescent="0.2">
      <c r="A85" s="2">
        <v>44565</v>
      </c>
      <c r="B85" s="3">
        <v>2004.51</v>
      </c>
      <c r="C85" s="3">
        <v>103514</v>
      </c>
      <c r="D85" s="4">
        <f t="shared" si="4"/>
        <v>-3.9333669504594071E-3</v>
      </c>
      <c r="E85" s="4">
        <f t="shared" si="5"/>
        <v>-3.9337484923416639E-3</v>
      </c>
      <c r="F85" s="3">
        <f t="shared" si="3"/>
        <v>2022</v>
      </c>
    </row>
    <row r="86" spans="1:6" ht="15" customHeight="1" x14ac:dyDescent="0.2">
      <c r="A86" s="2">
        <v>44566</v>
      </c>
      <c r="B86" s="3">
        <v>1950.48</v>
      </c>
      <c r="C86" s="3">
        <v>101006</v>
      </c>
      <c r="D86" s="4">
        <f t="shared" si="4"/>
        <v>-2.7324145732314356E-2</v>
      </c>
      <c r="E86" s="4">
        <f t="shared" si="5"/>
        <v>-2.4526948240936423E-2</v>
      </c>
      <c r="F86" s="3">
        <f t="shared" si="3"/>
        <v>2022</v>
      </c>
    </row>
    <row r="87" spans="1:6" ht="15" customHeight="1" x14ac:dyDescent="0.2">
      <c r="A87" s="2">
        <v>44567</v>
      </c>
      <c r="B87" s="3">
        <v>1953.21</v>
      </c>
      <c r="C87" s="3">
        <v>101561</v>
      </c>
      <c r="D87" s="4">
        <f t="shared" si="4"/>
        <v>1.3986768647395174E-3</v>
      </c>
      <c r="E87" s="4">
        <f t="shared" si="5"/>
        <v>5.4796821668308257E-3</v>
      </c>
      <c r="F87" s="3">
        <f t="shared" si="3"/>
        <v>2022</v>
      </c>
    </row>
    <row r="88" spans="1:6" ht="15" customHeight="1" x14ac:dyDescent="0.2">
      <c r="A88" s="2">
        <v>44568</v>
      </c>
      <c r="B88" s="3">
        <v>1958.46</v>
      </c>
      <c r="C88" s="3">
        <v>102719</v>
      </c>
      <c r="D88" s="4">
        <f t="shared" si="4"/>
        <v>2.6842771257991624E-3</v>
      </c>
      <c r="E88" s="4">
        <f t="shared" si="5"/>
        <v>1.13375015075503E-2</v>
      </c>
      <c r="F88" s="3">
        <f t="shared" si="3"/>
        <v>2022</v>
      </c>
    </row>
    <row r="89" spans="1:6" ht="15" customHeight="1" x14ac:dyDescent="0.2">
      <c r="A89" s="2">
        <v>44571</v>
      </c>
      <c r="B89" s="3">
        <v>1945.05</v>
      </c>
      <c r="C89" s="3">
        <v>101945</v>
      </c>
      <c r="D89" s="4">
        <f t="shared" si="4"/>
        <v>-6.8707664405948466E-3</v>
      </c>
      <c r="E89" s="4">
        <f t="shared" si="5"/>
        <v>-7.5636525228337751E-3</v>
      </c>
      <c r="F89" s="3">
        <f t="shared" si="3"/>
        <v>2022</v>
      </c>
    </row>
    <row r="90" spans="1:6" ht="15" customHeight="1" x14ac:dyDescent="0.2">
      <c r="A90" s="2">
        <v>44572</v>
      </c>
      <c r="B90" s="3">
        <v>1974.24</v>
      </c>
      <c r="C90" s="3">
        <v>103779</v>
      </c>
      <c r="D90" s="4">
        <f t="shared" si="4"/>
        <v>1.4895830487220795E-2</v>
      </c>
      <c r="E90" s="4">
        <f t="shared" si="5"/>
        <v>1.7830185956260833E-2</v>
      </c>
      <c r="F90" s="3">
        <f t="shared" si="3"/>
        <v>2022</v>
      </c>
    </row>
    <row r="91" spans="1:6" ht="15" customHeight="1" x14ac:dyDescent="0.2">
      <c r="A91" s="2">
        <v>44573</v>
      </c>
      <c r="B91" s="3">
        <v>2012.4</v>
      </c>
      <c r="C91" s="3">
        <v>105686</v>
      </c>
      <c r="D91" s="4">
        <f t="shared" si="4"/>
        <v>1.9144525466939837E-2</v>
      </c>
      <c r="E91" s="4">
        <f t="shared" si="5"/>
        <v>1.8208795647547751E-2</v>
      </c>
      <c r="F91" s="3">
        <f t="shared" si="3"/>
        <v>2022</v>
      </c>
    </row>
    <row r="92" spans="1:6" ht="15" customHeight="1" x14ac:dyDescent="0.2">
      <c r="A92" s="2">
        <v>44574</v>
      </c>
      <c r="B92" s="3">
        <v>2008.16</v>
      </c>
      <c r="C92" s="3">
        <v>105530</v>
      </c>
      <c r="D92" s="4">
        <f t="shared" si="4"/>
        <v>-2.109159705027396E-3</v>
      </c>
      <c r="E92" s="4">
        <f t="shared" si="5"/>
        <v>-1.4771610897476193E-3</v>
      </c>
      <c r="F92" s="3">
        <f t="shared" si="3"/>
        <v>2022</v>
      </c>
    </row>
    <row r="93" spans="1:6" ht="15" customHeight="1" x14ac:dyDescent="0.2">
      <c r="A93" s="2">
        <v>44575</v>
      </c>
      <c r="B93" s="3">
        <v>2036.13</v>
      </c>
      <c r="C93" s="3">
        <v>106928</v>
      </c>
      <c r="D93" s="4">
        <f t="shared" si="4"/>
        <v>1.3832067407531791E-2</v>
      </c>
      <c r="E93" s="4">
        <f t="shared" si="5"/>
        <v>1.3160438085715521E-2</v>
      </c>
      <c r="F93" s="3">
        <f t="shared" si="3"/>
        <v>2022</v>
      </c>
    </row>
    <row r="94" spans="1:6" ht="15" customHeight="1" x14ac:dyDescent="0.2">
      <c r="A94" s="2">
        <v>44578</v>
      </c>
      <c r="B94" s="3">
        <v>2023.4399000000001</v>
      </c>
      <c r="C94" s="3">
        <v>106374</v>
      </c>
      <c r="D94" s="4">
        <f t="shared" si="4"/>
        <v>-6.251963457927512E-3</v>
      </c>
      <c r="E94" s="4">
        <f t="shared" si="5"/>
        <v>-5.1945246244159068E-3</v>
      </c>
      <c r="F94" s="3">
        <f t="shared" si="3"/>
        <v>2022</v>
      </c>
    </row>
    <row r="95" spans="1:6" ht="15" customHeight="1" x14ac:dyDescent="0.2">
      <c r="A95" s="2">
        <v>44579</v>
      </c>
      <c r="B95" s="3">
        <v>2017.77</v>
      </c>
      <c r="C95" s="3">
        <v>106668</v>
      </c>
      <c r="D95" s="4">
        <f t="shared" si="4"/>
        <v>-2.8060426756552218E-3</v>
      </c>
      <c r="E95" s="4">
        <f t="shared" si="5"/>
        <v>2.7600209032397037E-3</v>
      </c>
      <c r="F95" s="3">
        <f t="shared" si="3"/>
        <v>2022</v>
      </c>
    </row>
    <row r="96" spans="1:6" ht="15" customHeight="1" x14ac:dyDescent="0.2">
      <c r="A96" s="2">
        <v>44580</v>
      </c>
      <c r="B96" s="3">
        <v>2041.5</v>
      </c>
      <c r="C96" s="3">
        <v>108013</v>
      </c>
      <c r="D96" s="4">
        <f t="shared" si="4"/>
        <v>1.1691890573545362E-2</v>
      </c>
      <c r="E96" s="4">
        <f t="shared" si="5"/>
        <v>1.2530383203120159E-2</v>
      </c>
      <c r="F96" s="3">
        <f t="shared" si="3"/>
        <v>2022</v>
      </c>
    </row>
    <row r="97" spans="1:6" ht="15" customHeight="1" x14ac:dyDescent="0.2">
      <c r="A97" s="2">
        <v>44581</v>
      </c>
      <c r="B97" s="3">
        <v>2079.3301000000001</v>
      </c>
      <c r="C97" s="3">
        <v>109102</v>
      </c>
      <c r="D97" s="4">
        <f t="shared" si="4"/>
        <v>1.8360942753227288E-2</v>
      </c>
      <c r="E97" s="4">
        <f t="shared" si="5"/>
        <v>1.0031634226024161E-2</v>
      </c>
      <c r="F97" s="3">
        <f t="shared" si="3"/>
        <v>2022</v>
      </c>
    </row>
    <row r="98" spans="1:6" ht="15" customHeight="1" x14ac:dyDescent="0.2">
      <c r="A98" s="2">
        <v>44582</v>
      </c>
      <c r="B98" s="3">
        <v>2085.5700999999999</v>
      </c>
      <c r="C98" s="3">
        <v>108942</v>
      </c>
      <c r="D98" s="4">
        <f t="shared" si="4"/>
        <v>2.9964726016725408E-3</v>
      </c>
      <c r="E98" s="4">
        <f t="shared" si="5"/>
        <v>-1.4675939600976445E-3</v>
      </c>
      <c r="F98" s="3">
        <f t="shared" si="3"/>
        <v>2022</v>
      </c>
    </row>
    <row r="99" spans="1:6" ht="15" customHeight="1" x14ac:dyDescent="0.2">
      <c r="A99" s="2">
        <v>44585</v>
      </c>
      <c r="B99" s="3">
        <v>2067.8600999999999</v>
      </c>
      <c r="C99" s="3">
        <v>107937</v>
      </c>
      <c r="D99" s="4">
        <f t="shared" si="4"/>
        <v>-8.5279426778565592E-3</v>
      </c>
      <c r="E99" s="4">
        <f t="shared" si="5"/>
        <v>-9.2679069307815085E-3</v>
      </c>
      <c r="F99" s="3">
        <f t="shared" si="3"/>
        <v>2022</v>
      </c>
    </row>
    <row r="100" spans="1:6" ht="15" customHeight="1" x14ac:dyDescent="0.2">
      <c r="A100" s="2">
        <v>44586</v>
      </c>
      <c r="B100" s="3">
        <v>2117.71</v>
      </c>
      <c r="C100" s="3">
        <v>110204</v>
      </c>
      <c r="D100" s="4">
        <f t="shared" si="4"/>
        <v>2.3821011725883235E-2</v>
      </c>
      <c r="E100" s="4">
        <f t="shared" si="5"/>
        <v>2.0785470114920615E-2</v>
      </c>
      <c r="F100" s="3">
        <f t="shared" si="3"/>
        <v>2022</v>
      </c>
    </row>
    <row r="101" spans="1:6" ht="15" customHeight="1" x14ac:dyDescent="0.2">
      <c r="A101" s="2">
        <v>44587</v>
      </c>
      <c r="B101" s="3">
        <v>2136.7800000000002</v>
      </c>
      <c r="C101" s="3">
        <v>111289</v>
      </c>
      <c r="D101" s="4">
        <f t="shared" si="4"/>
        <v>8.9647067990506653E-3</v>
      </c>
      <c r="E101" s="4">
        <f t="shared" si="5"/>
        <v>9.7972277109482208E-3</v>
      </c>
      <c r="F101" s="3">
        <f t="shared" si="3"/>
        <v>2022</v>
      </c>
    </row>
    <row r="102" spans="1:6" ht="15" customHeight="1" x14ac:dyDescent="0.2">
      <c r="A102" s="2">
        <v>44588</v>
      </c>
      <c r="B102" s="3">
        <v>2171.77</v>
      </c>
      <c r="C102" s="3">
        <v>112612</v>
      </c>
      <c r="D102" s="4">
        <f t="shared" si="4"/>
        <v>1.6242480299135675E-2</v>
      </c>
      <c r="E102" s="4">
        <f t="shared" si="5"/>
        <v>1.181786055158926E-2</v>
      </c>
      <c r="F102" s="3">
        <f t="shared" si="3"/>
        <v>2022</v>
      </c>
    </row>
    <row r="103" spans="1:6" ht="15" customHeight="1" x14ac:dyDescent="0.2">
      <c r="A103" s="2">
        <v>44589</v>
      </c>
      <c r="B103" s="3">
        <v>2165.8899000000001</v>
      </c>
      <c r="C103" s="3">
        <v>111910</v>
      </c>
      <c r="D103" s="4">
        <f t="shared" si="4"/>
        <v>-2.7111870166782025E-3</v>
      </c>
      <c r="E103" s="4">
        <f t="shared" si="5"/>
        <v>-6.253305133325694E-3</v>
      </c>
      <c r="F103" s="3">
        <f t="shared" si="3"/>
        <v>2022</v>
      </c>
    </row>
    <row r="104" spans="1:6" ht="15" customHeight="1" x14ac:dyDescent="0.2">
      <c r="A104" s="2">
        <v>44592</v>
      </c>
      <c r="B104" s="3">
        <v>2188.3899000000001</v>
      </c>
      <c r="C104" s="3">
        <v>112144</v>
      </c>
      <c r="D104" s="4">
        <f t="shared" si="4"/>
        <v>1.0334751690941866E-2</v>
      </c>
      <c r="E104" s="4">
        <f t="shared" si="5"/>
        <v>2.0887829280332453E-3</v>
      </c>
      <c r="F104" s="3">
        <f t="shared" si="3"/>
        <v>2022</v>
      </c>
    </row>
    <row r="105" spans="1:6" ht="15" customHeight="1" x14ac:dyDescent="0.2">
      <c r="A105" s="2">
        <v>44593</v>
      </c>
      <c r="B105" s="3">
        <v>2187.1399000000001</v>
      </c>
      <c r="C105" s="3">
        <v>113228</v>
      </c>
      <c r="D105" s="4">
        <f t="shared" si="4"/>
        <v>-5.7135939698335712E-4</v>
      </c>
      <c r="E105" s="4">
        <f t="shared" si="5"/>
        <v>9.6197252485110407E-3</v>
      </c>
      <c r="F105" s="3">
        <f t="shared" si="3"/>
        <v>2022</v>
      </c>
    </row>
    <row r="106" spans="1:6" ht="15" customHeight="1" x14ac:dyDescent="0.2">
      <c r="A106" s="2">
        <v>44594</v>
      </c>
      <c r="B106" s="3">
        <v>2151.71</v>
      </c>
      <c r="C106" s="3">
        <v>111894</v>
      </c>
      <c r="D106" s="4">
        <f t="shared" si="4"/>
        <v>-1.6331833701384767E-2</v>
      </c>
      <c r="E106" s="4">
        <f t="shared" si="5"/>
        <v>-1.1851490429115853E-2</v>
      </c>
      <c r="F106" s="3">
        <f t="shared" si="3"/>
        <v>2022</v>
      </c>
    </row>
    <row r="107" spans="1:6" ht="15" customHeight="1" x14ac:dyDescent="0.2">
      <c r="A107" s="2">
        <v>44595</v>
      </c>
      <c r="B107" s="3">
        <v>2148.73</v>
      </c>
      <c r="C107" s="3">
        <v>111696</v>
      </c>
      <c r="D107" s="4">
        <f t="shared" si="4"/>
        <v>-1.3859049199532302E-3</v>
      </c>
      <c r="E107" s="4">
        <f t="shared" si="5"/>
        <v>-1.771099349318677E-3</v>
      </c>
      <c r="F107" s="3">
        <f t="shared" si="3"/>
        <v>2022</v>
      </c>
    </row>
    <row r="108" spans="1:6" ht="15" customHeight="1" x14ac:dyDescent="0.2">
      <c r="A108" s="2">
        <v>44596</v>
      </c>
      <c r="B108" s="3">
        <v>2139.6999999999998</v>
      </c>
      <c r="C108" s="3">
        <v>112245</v>
      </c>
      <c r="D108" s="4">
        <f t="shared" si="4"/>
        <v>-4.211337643780194E-3</v>
      </c>
      <c r="E108" s="4">
        <f t="shared" si="5"/>
        <v>4.9030869723858516E-3</v>
      </c>
      <c r="F108" s="3">
        <f t="shared" si="3"/>
        <v>2022</v>
      </c>
    </row>
    <row r="109" spans="1:6" ht="15" customHeight="1" x14ac:dyDescent="0.2">
      <c r="A109" s="2">
        <v>44599</v>
      </c>
      <c r="B109" s="3">
        <v>2122.3501000000001</v>
      </c>
      <c r="C109" s="3">
        <v>111996</v>
      </c>
      <c r="D109" s="4">
        <f t="shared" si="4"/>
        <v>-8.1416198452532174E-3</v>
      </c>
      <c r="E109" s="4">
        <f t="shared" si="5"/>
        <v>-2.2208258288215804E-3</v>
      </c>
      <c r="F109" s="3">
        <f t="shared" si="3"/>
        <v>2022</v>
      </c>
    </row>
    <row r="110" spans="1:6" ht="15" customHeight="1" x14ac:dyDescent="0.2">
      <c r="A110" s="2">
        <v>44600</v>
      </c>
      <c r="B110" s="3">
        <v>2128.3600999999999</v>
      </c>
      <c r="C110" s="3">
        <v>112234</v>
      </c>
      <c r="D110" s="4">
        <f t="shared" si="4"/>
        <v>2.8277646426185881E-3</v>
      </c>
      <c r="E110" s="4">
        <f t="shared" si="5"/>
        <v>2.1228211156074446E-3</v>
      </c>
      <c r="F110" s="3">
        <f t="shared" si="3"/>
        <v>2022</v>
      </c>
    </row>
    <row r="111" spans="1:6" ht="15" customHeight="1" x14ac:dyDescent="0.2">
      <c r="A111" s="2">
        <v>44601</v>
      </c>
      <c r="B111" s="3">
        <v>2131.6298999999999</v>
      </c>
      <c r="C111" s="3">
        <v>112461</v>
      </c>
      <c r="D111" s="4">
        <f t="shared" si="4"/>
        <v>1.5351212759341193E-3</v>
      </c>
      <c r="E111" s="4">
        <f t="shared" si="5"/>
        <v>2.0205173878110349E-3</v>
      </c>
      <c r="F111" s="3">
        <f t="shared" si="3"/>
        <v>2022</v>
      </c>
    </row>
    <row r="112" spans="1:6" ht="15" customHeight="1" x14ac:dyDescent="0.2">
      <c r="A112" s="2">
        <v>44602</v>
      </c>
      <c r="B112" s="3">
        <v>2139.5801000000001</v>
      </c>
      <c r="C112" s="3">
        <v>113368</v>
      </c>
      <c r="D112" s="4">
        <f t="shared" si="4"/>
        <v>3.7226964637489973E-3</v>
      </c>
      <c r="E112" s="4">
        <f t="shared" si="5"/>
        <v>8.0326696475407893E-3</v>
      </c>
      <c r="F112" s="3">
        <f t="shared" si="3"/>
        <v>2022</v>
      </c>
    </row>
    <row r="113" spans="1:6" ht="15" customHeight="1" x14ac:dyDescent="0.2">
      <c r="A113" s="2">
        <v>44603</v>
      </c>
      <c r="B113" s="3">
        <v>2143.0500000000002</v>
      </c>
      <c r="C113" s="3">
        <v>113572</v>
      </c>
      <c r="D113" s="4">
        <f t="shared" si="4"/>
        <v>1.6204531693230864E-3</v>
      </c>
      <c r="E113" s="4">
        <f t="shared" si="5"/>
        <v>1.7978325103323919E-3</v>
      </c>
      <c r="F113" s="3">
        <f t="shared" si="3"/>
        <v>2022</v>
      </c>
    </row>
    <row r="114" spans="1:6" ht="15" customHeight="1" x14ac:dyDescent="0.2">
      <c r="A114" s="2">
        <v>44606</v>
      </c>
      <c r="B114" s="3">
        <v>2155.6001000000001</v>
      </c>
      <c r="C114" s="3">
        <v>113899</v>
      </c>
      <c r="D114" s="4">
        <f t="shared" si="4"/>
        <v>5.8391054708598561E-3</v>
      </c>
      <c r="E114" s="4">
        <f t="shared" si="5"/>
        <v>2.8750937504379705E-3</v>
      </c>
      <c r="F114" s="3">
        <f t="shared" si="3"/>
        <v>2022</v>
      </c>
    </row>
    <row r="115" spans="1:6" ht="15" customHeight="1" x14ac:dyDescent="0.2">
      <c r="A115" s="2">
        <v>44607</v>
      </c>
      <c r="B115" s="3">
        <v>2195.3899000000001</v>
      </c>
      <c r="C115" s="3">
        <v>114828</v>
      </c>
      <c r="D115" s="4">
        <f t="shared" si="4"/>
        <v>1.8290508264119612E-2</v>
      </c>
      <c r="E115" s="4">
        <f t="shared" si="5"/>
        <v>8.1232658017864074E-3</v>
      </c>
      <c r="F115" s="3">
        <f t="shared" si="3"/>
        <v>2022</v>
      </c>
    </row>
    <row r="116" spans="1:6" ht="15" customHeight="1" x14ac:dyDescent="0.2">
      <c r="A116" s="2">
        <v>44608</v>
      </c>
      <c r="B116" s="3">
        <v>2198.6599000000001</v>
      </c>
      <c r="C116" s="3">
        <v>115181</v>
      </c>
      <c r="D116" s="4">
        <f t="shared" si="4"/>
        <v>1.4883766695860882E-3</v>
      </c>
      <c r="E116" s="4">
        <f t="shared" si="5"/>
        <v>3.0694475185693362E-3</v>
      </c>
      <c r="F116" s="3">
        <f t="shared" si="3"/>
        <v>2022</v>
      </c>
    </row>
    <row r="117" spans="1:6" ht="15" customHeight="1" x14ac:dyDescent="0.2">
      <c r="A117" s="2">
        <v>44609</v>
      </c>
      <c r="B117" s="3">
        <v>2175.0801000000001</v>
      </c>
      <c r="C117" s="3">
        <v>113528</v>
      </c>
      <c r="D117" s="4">
        <f t="shared" si="4"/>
        <v>-1.0782546952969823E-2</v>
      </c>
      <c r="E117" s="4">
        <f t="shared" si="5"/>
        <v>-1.4455301571459233E-2</v>
      </c>
      <c r="F117" s="3">
        <f t="shared" si="3"/>
        <v>2022</v>
      </c>
    </row>
    <row r="118" spans="1:6" ht="15" customHeight="1" x14ac:dyDescent="0.2">
      <c r="A118" s="2">
        <v>44610</v>
      </c>
      <c r="B118" s="3">
        <v>2158.71</v>
      </c>
      <c r="C118" s="3">
        <v>112880</v>
      </c>
      <c r="D118" s="4">
        <f t="shared" si="4"/>
        <v>-7.5546703831117961E-3</v>
      </c>
      <c r="E118" s="4">
        <f t="shared" si="5"/>
        <v>-5.72419498767778E-3</v>
      </c>
      <c r="F118" s="3">
        <f t="shared" si="3"/>
        <v>2022</v>
      </c>
    </row>
    <row r="119" spans="1:6" ht="15" customHeight="1" x14ac:dyDescent="0.2">
      <c r="A119" s="2">
        <v>44613</v>
      </c>
      <c r="B119" s="3">
        <v>2122.1698999999999</v>
      </c>
      <c r="C119" s="3">
        <v>111725</v>
      </c>
      <c r="D119" s="4">
        <f t="shared" si="4"/>
        <v>-1.7071718103446619E-2</v>
      </c>
      <c r="E119" s="4">
        <f t="shared" si="5"/>
        <v>-1.0284812725043339E-2</v>
      </c>
      <c r="F119" s="3">
        <f t="shared" si="3"/>
        <v>2022</v>
      </c>
    </row>
    <row r="120" spans="1:6" ht="15" customHeight="1" x14ac:dyDescent="0.2">
      <c r="A120" s="2">
        <v>44614</v>
      </c>
      <c r="B120" s="3">
        <v>2139.79</v>
      </c>
      <c r="C120" s="3">
        <v>112892</v>
      </c>
      <c r="D120" s="4">
        <f t="shared" si="4"/>
        <v>8.2685904153156735E-3</v>
      </c>
      <c r="E120" s="4">
        <f t="shared" si="5"/>
        <v>1.0391114658066899E-2</v>
      </c>
      <c r="F120" s="3">
        <f t="shared" si="3"/>
        <v>2022</v>
      </c>
    </row>
    <row r="121" spans="1:6" ht="15" customHeight="1" x14ac:dyDescent="0.2">
      <c r="A121" s="2">
        <v>44615</v>
      </c>
      <c r="B121" s="3">
        <v>2123.3200999999999</v>
      </c>
      <c r="C121" s="3">
        <v>112008</v>
      </c>
      <c r="D121" s="4">
        <f t="shared" si="4"/>
        <v>-7.7267448200409273E-3</v>
      </c>
      <c r="E121" s="4">
        <f t="shared" si="5"/>
        <v>-7.8613121619580152E-3</v>
      </c>
      <c r="F121" s="3">
        <f t="shared" si="3"/>
        <v>2022</v>
      </c>
    </row>
    <row r="122" spans="1:6" ht="15" customHeight="1" x14ac:dyDescent="0.2">
      <c r="A122" s="2">
        <v>44616</v>
      </c>
      <c r="B122" s="3">
        <v>2117.5601000000001</v>
      </c>
      <c r="C122" s="3">
        <v>111592</v>
      </c>
      <c r="D122" s="4">
        <f t="shared" si="4"/>
        <v>-2.7164188895911767E-3</v>
      </c>
      <c r="E122" s="4">
        <f t="shared" si="5"/>
        <v>-3.7209345256900739E-3</v>
      </c>
      <c r="F122" s="3">
        <f t="shared" si="3"/>
        <v>2022</v>
      </c>
    </row>
    <row r="123" spans="1:6" ht="15" customHeight="1" x14ac:dyDescent="0.2">
      <c r="A123" s="2">
        <v>44617</v>
      </c>
      <c r="B123" s="3">
        <v>2126.1100999999999</v>
      </c>
      <c r="C123" s="3">
        <v>113142</v>
      </c>
      <c r="D123" s="4">
        <f t="shared" si="4"/>
        <v>4.0295363051423326E-3</v>
      </c>
      <c r="E123" s="4">
        <f t="shared" si="5"/>
        <v>1.3794304182906419E-2</v>
      </c>
      <c r="F123" s="3">
        <f t="shared" si="3"/>
        <v>2022</v>
      </c>
    </row>
    <row r="124" spans="1:6" ht="15" customHeight="1" x14ac:dyDescent="0.2">
      <c r="A124" s="2">
        <v>44622</v>
      </c>
      <c r="B124" s="3">
        <v>2123.3701000000001</v>
      </c>
      <c r="C124" s="3">
        <v>115174</v>
      </c>
      <c r="D124" s="4">
        <f t="shared" si="4"/>
        <v>-1.2895696653514904E-3</v>
      </c>
      <c r="E124" s="4">
        <f t="shared" si="5"/>
        <v>1.7800361371681967E-2</v>
      </c>
      <c r="F124" s="3">
        <f t="shared" si="3"/>
        <v>2022</v>
      </c>
    </row>
    <row r="125" spans="1:6" ht="15" customHeight="1" x14ac:dyDescent="0.2">
      <c r="A125" s="2">
        <v>44623</v>
      </c>
      <c r="B125" s="3">
        <v>2130.1298999999999</v>
      </c>
      <c r="C125" s="3">
        <v>115166</v>
      </c>
      <c r="D125" s="4">
        <f t="shared" si="4"/>
        <v>3.178467469609942E-3</v>
      </c>
      <c r="E125" s="4">
        <f t="shared" si="5"/>
        <v>-6.9462533673831452E-5</v>
      </c>
      <c r="F125" s="3">
        <f t="shared" si="3"/>
        <v>2022</v>
      </c>
    </row>
    <row r="126" spans="1:6" ht="15" customHeight="1" x14ac:dyDescent="0.2">
      <c r="A126" s="2">
        <v>44624</v>
      </c>
      <c r="B126" s="3">
        <v>2101.5700999999999</v>
      </c>
      <c r="C126" s="3">
        <v>114474</v>
      </c>
      <c r="D126" s="4">
        <f t="shared" si="4"/>
        <v>-1.3498231744701085E-2</v>
      </c>
      <c r="E126" s="4">
        <f t="shared" si="5"/>
        <v>-6.0268428376199406E-3</v>
      </c>
      <c r="F126" s="3">
        <f t="shared" si="3"/>
        <v>2022</v>
      </c>
    </row>
    <row r="127" spans="1:6" ht="15" customHeight="1" x14ac:dyDescent="0.2">
      <c r="A127" s="2">
        <v>44627</v>
      </c>
      <c r="B127" s="3">
        <v>2025.86</v>
      </c>
      <c r="C127" s="3">
        <v>111593</v>
      </c>
      <c r="D127" s="4">
        <f t="shared" si="4"/>
        <v>-3.6690430271883172E-2</v>
      </c>
      <c r="E127" s="4">
        <f t="shared" si="5"/>
        <v>-2.5489399007588242E-2</v>
      </c>
      <c r="F127" s="3">
        <f t="shared" si="3"/>
        <v>2022</v>
      </c>
    </row>
    <row r="128" spans="1:6" ht="15" customHeight="1" x14ac:dyDescent="0.2">
      <c r="A128" s="2">
        <v>44628</v>
      </c>
      <c r="B128" s="3">
        <v>2037.91</v>
      </c>
      <c r="C128" s="3">
        <v>111203</v>
      </c>
      <c r="D128" s="4">
        <f t="shared" si="4"/>
        <v>5.930471122632959E-3</v>
      </c>
      <c r="E128" s="4">
        <f t="shared" si="5"/>
        <v>-3.5009640958031667E-3</v>
      </c>
      <c r="F128" s="3">
        <f t="shared" si="3"/>
        <v>2022</v>
      </c>
    </row>
    <row r="129" spans="1:6" ht="15" customHeight="1" x14ac:dyDescent="0.2">
      <c r="A129" s="2">
        <v>44629</v>
      </c>
      <c r="B129" s="3">
        <v>2121.3798999999999</v>
      </c>
      <c r="C129" s="3">
        <v>113900</v>
      </c>
      <c r="D129" s="4">
        <f t="shared" si="4"/>
        <v>4.0142000285953536E-2</v>
      </c>
      <c r="E129" s="4">
        <f t="shared" si="5"/>
        <v>2.396351058329927E-2</v>
      </c>
      <c r="F129" s="3">
        <f t="shared" si="3"/>
        <v>2022</v>
      </c>
    </row>
    <row r="130" spans="1:6" ht="15" customHeight="1" x14ac:dyDescent="0.2">
      <c r="A130" s="2">
        <v>44630</v>
      </c>
      <c r="B130" s="3">
        <v>2091.3899000000001</v>
      </c>
      <c r="C130" s="3">
        <v>113663</v>
      </c>
      <c r="D130" s="4">
        <f t="shared" si="4"/>
        <v>-1.4237904299519764E-2</v>
      </c>
      <c r="E130" s="4">
        <f t="shared" si="5"/>
        <v>-2.0829404225480188E-3</v>
      </c>
      <c r="F130" s="3">
        <f t="shared" ref="F130:F193" si="6">YEAR(A130)</f>
        <v>2022</v>
      </c>
    </row>
    <row r="131" spans="1:6" ht="15" customHeight="1" x14ac:dyDescent="0.2">
      <c r="A131" s="2">
        <v>44631</v>
      </c>
      <c r="B131" s="3">
        <v>2054.4198999999999</v>
      </c>
      <c r="C131" s="3">
        <v>111713</v>
      </c>
      <c r="D131" s="4">
        <f t="shared" ref="D131:D194" si="7">LN(B131/B130)</f>
        <v>-1.7835347876672934E-2</v>
      </c>
      <c r="E131" s="4">
        <f t="shared" ref="E131:E194" si="8">LN(C131/C130)</f>
        <v>-1.7304847558225742E-2</v>
      </c>
      <c r="F131" s="3">
        <f t="shared" si="6"/>
        <v>2022</v>
      </c>
    </row>
    <row r="132" spans="1:6" ht="15" customHeight="1" x14ac:dyDescent="0.2">
      <c r="A132" s="2">
        <v>44634</v>
      </c>
      <c r="B132" s="3">
        <v>2041.55</v>
      </c>
      <c r="C132" s="3">
        <v>109928</v>
      </c>
      <c r="D132" s="4">
        <f t="shared" si="7"/>
        <v>-6.2841977202476801E-3</v>
      </c>
      <c r="E132" s="4">
        <f t="shared" si="8"/>
        <v>-1.6107476442889377E-2</v>
      </c>
      <c r="F132" s="3">
        <f t="shared" si="6"/>
        <v>2022</v>
      </c>
    </row>
    <row r="133" spans="1:6" ht="15" customHeight="1" x14ac:dyDescent="0.2">
      <c r="A133" s="2">
        <v>44635</v>
      </c>
      <c r="B133" s="3">
        <v>2034.22</v>
      </c>
      <c r="C133" s="3">
        <v>108959</v>
      </c>
      <c r="D133" s="4">
        <f t="shared" si="7"/>
        <v>-3.5968702368580651E-3</v>
      </c>
      <c r="E133" s="4">
        <f t="shared" si="8"/>
        <v>-8.8539413502686428E-3</v>
      </c>
      <c r="F133" s="3">
        <f t="shared" si="6"/>
        <v>2022</v>
      </c>
    </row>
    <row r="134" spans="1:6" ht="15" customHeight="1" x14ac:dyDescent="0.2">
      <c r="A134" s="2">
        <v>44636</v>
      </c>
      <c r="B134" s="3">
        <v>2078.2600000000002</v>
      </c>
      <c r="C134" s="3">
        <v>111112</v>
      </c>
      <c r="D134" s="4">
        <f t="shared" si="7"/>
        <v>2.1418552122166552E-2</v>
      </c>
      <c r="E134" s="4">
        <f t="shared" si="8"/>
        <v>1.9567036934713334E-2</v>
      </c>
      <c r="F134" s="3">
        <f t="shared" si="6"/>
        <v>2022</v>
      </c>
    </row>
    <row r="135" spans="1:6" ht="15" customHeight="1" x14ac:dyDescent="0.2">
      <c r="A135" s="2">
        <v>44637</v>
      </c>
      <c r="B135" s="3">
        <v>2119.0100000000002</v>
      </c>
      <c r="C135" s="3">
        <v>113076</v>
      </c>
      <c r="D135" s="4">
        <f t="shared" si="7"/>
        <v>1.9417993324068458E-2</v>
      </c>
      <c r="E135" s="4">
        <f t="shared" si="8"/>
        <v>1.7521457398701548E-2</v>
      </c>
      <c r="F135" s="3">
        <f t="shared" si="6"/>
        <v>2022</v>
      </c>
    </row>
    <row r="136" spans="1:6" ht="15" customHeight="1" x14ac:dyDescent="0.2">
      <c r="A136" s="2">
        <v>44638</v>
      </c>
      <c r="B136" s="3">
        <v>2158.6498999999999</v>
      </c>
      <c r="C136" s="3">
        <v>115311</v>
      </c>
      <c r="D136" s="4">
        <f t="shared" si="7"/>
        <v>1.8533981494704563E-2</v>
      </c>
      <c r="E136" s="4">
        <f t="shared" si="8"/>
        <v>1.9572667007539162E-2</v>
      </c>
      <c r="F136" s="3">
        <f t="shared" si="6"/>
        <v>2022</v>
      </c>
    </row>
    <row r="137" spans="1:6" ht="15" customHeight="1" x14ac:dyDescent="0.2">
      <c r="A137" s="2">
        <v>44641</v>
      </c>
      <c r="B137" s="3">
        <v>2159.9699999999998</v>
      </c>
      <c r="C137" s="3">
        <v>116155</v>
      </c>
      <c r="D137" s="4">
        <f t="shared" si="7"/>
        <v>6.1135273382851283E-4</v>
      </c>
      <c r="E137" s="4">
        <f t="shared" si="8"/>
        <v>7.2926800527695328E-3</v>
      </c>
      <c r="F137" s="3">
        <f t="shared" si="6"/>
        <v>2022</v>
      </c>
    </row>
    <row r="138" spans="1:6" ht="15" customHeight="1" x14ac:dyDescent="0.2">
      <c r="A138" s="2">
        <v>44642</v>
      </c>
      <c r="B138" s="3">
        <v>2198.3000000000002</v>
      </c>
      <c r="C138" s="3">
        <v>117272</v>
      </c>
      <c r="D138" s="4">
        <f t="shared" si="7"/>
        <v>1.7590001673201332E-2</v>
      </c>
      <c r="E138" s="4">
        <f t="shared" si="8"/>
        <v>9.5705169148019367E-3</v>
      </c>
      <c r="F138" s="3">
        <f t="shared" si="6"/>
        <v>2022</v>
      </c>
    </row>
    <row r="139" spans="1:6" ht="15" customHeight="1" x14ac:dyDescent="0.2">
      <c r="A139" s="2">
        <v>44643</v>
      </c>
      <c r="B139" s="3">
        <v>2198.6799000000001</v>
      </c>
      <c r="C139" s="3">
        <v>117457</v>
      </c>
      <c r="D139" s="4">
        <f t="shared" si="7"/>
        <v>1.7280042646779792E-4</v>
      </c>
      <c r="E139" s="4">
        <f t="shared" si="8"/>
        <v>1.5762861709073708E-3</v>
      </c>
      <c r="F139" s="3">
        <f t="shared" si="6"/>
        <v>2022</v>
      </c>
    </row>
    <row r="140" spans="1:6" ht="15" customHeight="1" x14ac:dyDescent="0.2">
      <c r="A140" s="2">
        <v>44644</v>
      </c>
      <c r="B140" s="3">
        <v>2245.1001000000001</v>
      </c>
      <c r="C140" s="3">
        <v>119053</v>
      </c>
      <c r="D140" s="4">
        <f t="shared" si="7"/>
        <v>2.0892973363075221E-2</v>
      </c>
      <c r="E140" s="4">
        <f t="shared" si="8"/>
        <v>1.349646295274257E-2</v>
      </c>
      <c r="F140" s="3">
        <f t="shared" si="6"/>
        <v>2022</v>
      </c>
    </row>
    <row r="141" spans="1:6" ht="15" customHeight="1" x14ac:dyDescent="0.2">
      <c r="A141" s="2">
        <v>44645</v>
      </c>
      <c r="B141" s="3">
        <v>2252.96</v>
      </c>
      <c r="C141" s="3">
        <v>119081</v>
      </c>
      <c r="D141" s="4">
        <f t="shared" si="7"/>
        <v>3.4947990133869021E-3</v>
      </c>
      <c r="E141" s="4">
        <f t="shared" si="8"/>
        <v>2.3516171675646923E-4</v>
      </c>
      <c r="F141" s="3">
        <f t="shared" si="6"/>
        <v>2022</v>
      </c>
    </row>
    <row r="142" spans="1:6" ht="15" customHeight="1" x14ac:dyDescent="0.2">
      <c r="A142" s="2">
        <v>44648</v>
      </c>
      <c r="B142" s="3">
        <v>2250.4198999999999</v>
      </c>
      <c r="C142" s="3">
        <v>118738</v>
      </c>
      <c r="D142" s="4">
        <f t="shared" si="7"/>
        <v>-1.1280861600742596E-3</v>
      </c>
      <c r="E142" s="4">
        <f t="shared" si="8"/>
        <v>-2.8845486511258384E-3</v>
      </c>
      <c r="F142" s="3">
        <f t="shared" si="6"/>
        <v>2022</v>
      </c>
    </row>
    <row r="143" spans="1:6" ht="15" customHeight="1" x14ac:dyDescent="0.2">
      <c r="A143" s="2">
        <v>44649</v>
      </c>
      <c r="B143" s="3">
        <v>2280.9198999999999</v>
      </c>
      <c r="C143" s="3">
        <v>120014</v>
      </c>
      <c r="D143" s="4">
        <f t="shared" si="7"/>
        <v>1.3462005481758084E-2</v>
      </c>
      <c r="E143" s="4">
        <f t="shared" si="8"/>
        <v>1.0689017466675966E-2</v>
      </c>
      <c r="F143" s="3">
        <f t="shared" si="6"/>
        <v>2022</v>
      </c>
    </row>
    <row r="144" spans="1:6" ht="15" customHeight="1" x14ac:dyDescent="0.2">
      <c r="A144" s="2">
        <v>44650</v>
      </c>
      <c r="B144" s="3">
        <v>2274.3899000000001</v>
      </c>
      <c r="C144" s="3">
        <v>120260</v>
      </c>
      <c r="D144" s="4">
        <f t="shared" si="7"/>
        <v>-2.8669858953767769E-3</v>
      </c>
      <c r="E144" s="4">
        <f t="shared" si="8"/>
        <v>2.0476629677362562E-3</v>
      </c>
      <c r="F144" s="3">
        <f t="shared" si="6"/>
        <v>2022</v>
      </c>
    </row>
    <row r="145" spans="1:6" ht="15" customHeight="1" x14ac:dyDescent="0.2">
      <c r="A145" s="2">
        <v>44651</v>
      </c>
      <c r="B145" s="3">
        <v>2268.8798999999999</v>
      </c>
      <c r="C145" s="3">
        <v>119999</v>
      </c>
      <c r="D145" s="4">
        <f t="shared" si="7"/>
        <v>-2.4255670228740707E-3</v>
      </c>
      <c r="E145" s="4">
        <f t="shared" si="8"/>
        <v>-2.1726561974323173E-3</v>
      </c>
      <c r="F145" s="3">
        <f t="shared" si="6"/>
        <v>2022</v>
      </c>
    </row>
    <row r="146" spans="1:6" ht="15" customHeight="1" x14ac:dyDescent="0.2">
      <c r="A146" s="2">
        <v>44652</v>
      </c>
      <c r="B146" s="3">
        <v>2299.9699999999998</v>
      </c>
      <c r="C146" s="3">
        <v>121570</v>
      </c>
      <c r="D146" s="4">
        <f t="shared" si="7"/>
        <v>1.360980578147877E-2</v>
      </c>
      <c r="E146" s="4">
        <f t="shared" si="8"/>
        <v>1.300681915371244E-2</v>
      </c>
      <c r="F146" s="3">
        <f t="shared" si="6"/>
        <v>2022</v>
      </c>
    </row>
    <row r="147" spans="1:6" ht="15" customHeight="1" x14ac:dyDescent="0.2">
      <c r="A147" s="2">
        <v>44655</v>
      </c>
      <c r="B147" s="3">
        <v>2287.5500000000002</v>
      </c>
      <c r="C147" s="3">
        <v>121280</v>
      </c>
      <c r="D147" s="4">
        <f t="shared" si="7"/>
        <v>-5.4147035196203527E-3</v>
      </c>
      <c r="E147" s="4">
        <f t="shared" si="8"/>
        <v>-2.3883066736410823E-3</v>
      </c>
      <c r="F147" s="3">
        <f t="shared" si="6"/>
        <v>2022</v>
      </c>
    </row>
    <row r="148" spans="1:6" ht="15" customHeight="1" x14ac:dyDescent="0.2">
      <c r="A148" s="2">
        <v>44656</v>
      </c>
      <c r="B148" s="3">
        <v>2243.8501000000001</v>
      </c>
      <c r="C148" s="3">
        <v>118885</v>
      </c>
      <c r="D148" s="4">
        <f t="shared" si="7"/>
        <v>-1.9288190779455271E-2</v>
      </c>
      <c r="E148" s="4">
        <f t="shared" si="8"/>
        <v>-1.9945282589695797E-2</v>
      </c>
      <c r="F148" s="3">
        <f t="shared" si="6"/>
        <v>2022</v>
      </c>
    </row>
    <row r="149" spans="1:6" ht="15" customHeight="1" x14ac:dyDescent="0.2">
      <c r="A149" s="2">
        <v>44657</v>
      </c>
      <c r="B149" s="3">
        <v>2225.1999999999998</v>
      </c>
      <c r="C149" s="3">
        <v>118228</v>
      </c>
      <c r="D149" s="4">
        <f t="shared" si="7"/>
        <v>-8.3463858536995238E-3</v>
      </c>
      <c r="E149" s="4">
        <f t="shared" si="8"/>
        <v>-5.5416757527504421E-3</v>
      </c>
      <c r="F149" s="3">
        <f t="shared" si="6"/>
        <v>2022</v>
      </c>
    </row>
    <row r="150" spans="1:6" ht="15" customHeight="1" x14ac:dyDescent="0.2">
      <c r="A150" s="2">
        <v>44658</v>
      </c>
      <c r="B150" s="3">
        <v>2232.27</v>
      </c>
      <c r="C150" s="3">
        <v>118862</v>
      </c>
      <c r="D150" s="4">
        <f t="shared" si="7"/>
        <v>3.1722057259916561E-3</v>
      </c>
      <c r="E150" s="4">
        <f t="shared" si="8"/>
        <v>5.3481927639282339E-3</v>
      </c>
      <c r="F150" s="3">
        <f t="shared" si="6"/>
        <v>2022</v>
      </c>
    </row>
    <row r="151" spans="1:6" ht="15" customHeight="1" x14ac:dyDescent="0.2">
      <c r="A151" s="2">
        <v>44659</v>
      </c>
      <c r="B151" s="3">
        <v>2228.0700999999999</v>
      </c>
      <c r="C151" s="3">
        <v>118322</v>
      </c>
      <c r="D151" s="4">
        <f t="shared" si="7"/>
        <v>-1.8832201792198574E-3</v>
      </c>
      <c r="E151" s="4">
        <f t="shared" si="8"/>
        <v>-4.553434742809297E-3</v>
      </c>
      <c r="F151" s="3">
        <f t="shared" si="6"/>
        <v>2022</v>
      </c>
    </row>
    <row r="152" spans="1:6" ht="15" customHeight="1" x14ac:dyDescent="0.2">
      <c r="A152" s="2">
        <v>44662</v>
      </c>
      <c r="B152" s="3">
        <v>2203.0300000000002</v>
      </c>
      <c r="C152" s="3">
        <v>116953</v>
      </c>
      <c r="D152" s="4">
        <f t="shared" si="7"/>
        <v>-1.1302099244370579E-2</v>
      </c>
      <c r="E152" s="4">
        <f t="shared" si="8"/>
        <v>-1.1637576883523879E-2</v>
      </c>
      <c r="F152" s="3">
        <f t="shared" si="6"/>
        <v>2022</v>
      </c>
    </row>
    <row r="153" spans="1:6" ht="15" customHeight="1" x14ac:dyDescent="0.2">
      <c r="A153" s="2">
        <v>44663</v>
      </c>
      <c r="B153" s="3">
        <v>2183.71</v>
      </c>
      <c r="C153" s="3">
        <v>116147</v>
      </c>
      <c r="D153" s="4">
        <f t="shared" si="7"/>
        <v>-8.8084203380876733E-3</v>
      </c>
      <c r="E153" s="4">
        <f t="shared" si="8"/>
        <v>-6.9155144761816794E-3</v>
      </c>
      <c r="F153" s="3">
        <f t="shared" si="6"/>
        <v>2022</v>
      </c>
    </row>
    <row r="154" spans="1:6" ht="15" customHeight="1" x14ac:dyDescent="0.2">
      <c r="A154" s="2">
        <v>44664</v>
      </c>
      <c r="B154" s="3">
        <v>2197.1599000000001</v>
      </c>
      <c r="C154" s="3">
        <v>116782</v>
      </c>
      <c r="D154" s="4">
        <f t="shared" si="7"/>
        <v>6.1403066358341439E-3</v>
      </c>
      <c r="E154" s="4">
        <f t="shared" si="8"/>
        <v>5.4523187159538763E-3</v>
      </c>
      <c r="F154" s="3">
        <f t="shared" si="6"/>
        <v>2022</v>
      </c>
    </row>
    <row r="155" spans="1:6" ht="15" customHeight="1" x14ac:dyDescent="0.2">
      <c r="A155" s="2">
        <v>44665</v>
      </c>
      <c r="B155" s="3">
        <v>2192.8600999999999</v>
      </c>
      <c r="C155" s="3">
        <v>116182</v>
      </c>
      <c r="D155" s="4">
        <f t="shared" si="7"/>
        <v>-1.9588983079632367E-3</v>
      </c>
      <c r="E155" s="4">
        <f t="shared" si="8"/>
        <v>-5.1510218458707419E-3</v>
      </c>
      <c r="F155" s="3">
        <f t="shared" si="6"/>
        <v>2022</v>
      </c>
    </row>
    <row r="156" spans="1:6" ht="15" customHeight="1" x14ac:dyDescent="0.2">
      <c r="A156" s="2">
        <v>44669</v>
      </c>
      <c r="B156" s="3">
        <v>2195.4899999999998</v>
      </c>
      <c r="C156" s="3">
        <v>115687</v>
      </c>
      <c r="D156" s="4">
        <f t="shared" si="7"/>
        <v>1.1985827269537835E-3</v>
      </c>
      <c r="E156" s="4">
        <f t="shared" si="8"/>
        <v>-4.26965874685008E-3</v>
      </c>
      <c r="F156" s="3">
        <f t="shared" si="6"/>
        <v>2022</v>
      </c>
    </row>
    <row r="157" spans="1:6" ht="15" customHeight="1" x14ac:dyDescent="0.2">
      <c r="A157" s="2">
        <v>44670</v>
      </c>
      <c r="B157" s="3">
        <v>2186.4699999999998</v>
      </c>
      <c r="C157" s="3">
        <v>115057</v>
      </c>
      <c r="D157" s="4">
        <f t="shared" si="7"/>
        <v>-4.1168850193981608E-3</v>
      </c>
      <c r="E157" s="4">
        <f t="shared" si="8"/>
        <v>-5.4606105940634706E-3</v>
      </c>
      <c r="F157" s="3">
        <f t="shared" si="6"/>
        <v>2022</v>
      </c>
    </row>
    <row r="158" spans="1:6" ht="15" customHeight="1" x14ac:dyDescent="0.2">
      <c r="A158" s="2">
        <v>44671</v>
      </c>
      <c r="B158" s="3">
        <v>2177.27</v>
      </c>
      <c r="C158" s="3">
        <v>114344</v>
      </c>
      <c r="D158" s="4">
        <f t="shared" si="7"/>
        <v>-4.2165727705751974E-3</v>
      </c>
      <c r="E158" s="4">
        <f t="shared" si="8"/>
        <v>-6.2162091353843195E-3</v>
      </c>
      <c r="F158" s="3">
        <f t="shared" si="6"/>
        <v>2022</v>
      </c>
    </row>
    <row r="159" spans="1:6" ht="15" customHeight="1" x14ac:dyDescent="0.2">
      <c r="A159" s="2">
        <v>44673</v>
      </c>
      <c r="B159" s="3">
        <v>2133.79</v>
      </c>
      <c r="C159" s="3">
        <v>111078</v>
      </c>
      <c r="D159" s="4">
        <f t="shared" si="7"/>
        <v>-2.0172057158757251E-2</v>
      </c>
      <c r="E159" s="4">
        <f t="shared" si="8"/>
        <v>-2.8978791371719589E-2</v>
      </c>
      <c r="F159" s="3">
        <f t="shared" si="6"/>
        <v>2022</v>
      </c>
    </row>
    <row r="160" spans="1:6" ht="15" customHeight="1" x14ac:dyDescent="0.2">
      <c r="A160" s="2">
        <v>44676</v>
      </c>
      <c r="B160" s="3">
        <v>2133.04</v>
      </c>
      <c r="C160" s="3">
        <v>110685</v>
      </c>
      <c r="D160" s="4">
        <f t="shared" si="7"/>
        <v>-3.5154904588375496E-4</v>
      </c>
      <c r="E160" s="4">
        <f t="shared" si="8"/>
        <v>-3.5443280566548503E-3</v>
      </c>
      <c r="F160" s="3">
        <f t="shared" si="6"/>
        <v>2022</v>
      </c>
    </row>
    <row r="161" spans="1:6" ht="15" customHeight="1" x14ac:dyDescent="0.2">
      <c r="A161" s="2">
        <v>44677</v>
      </c>
      <c r="B161" s="3">
        <v>2076.5</v>
      </c>
      <c r="C161" s="3">
        <v>108213</v>
      </c>
      <c r="D161" s="4">
        <f t="shared" si="7"/>
        <v>-2.6864408154853664E-2</v>
      </c>
      <c r="E161" s="4">
        <f t="shared" si="8"/>
        <v>-2.2586822108929414E-2</v>
      </c>
      <c r="F161" s="3">
        <f t="shared" si="6"/>
        <v>2022</v>
      </c>
    </row>
    <row r="162" spans="1:6" ht="15" customHeight="1" x14ac:dyDescent="0.2">
      <c r="A162" s="2">
        <v>44678</v>
      </c>
      <c r="B162" s="3">
        <v>2086.0900999999999</v>
      </c>
      <c r="C162" s="3">
        <v>109349</v>
      </c>
      <c r="D162" s="4">
        <f t="shared" si="7"/>
        <v>4.6077642704579575E-3</v>
      </c>
      <c r="E162" s="4">
        <f t="shared" si="8"/>
        <v>1.0443095064034739E-2</v>
      </c>
      <c r="F162" s="3">
        <f t="shared" si="6"/>
        <v>2022</v>
      </c>
    </row>
    <row r="163" spans="1:6" ht="15" customHeight="1" x14ac:dyDescent="0.2">
      <c r="A163" s="2">
        <v>44679</v>
      </c>
      <c r="B163" s="3">
        <v>2090.1999999999998</v>
      </c>
      <c r="C163" s="3">
        <v>109919</v>
      </c>
      <c r="D163" s="4">
        <f t="shared" si="7"/>
        <v>1.9682068191369975E-3</v>
      </c>
      <c r="E163" s="4">
        <f t="shared" si="8"/>
        <v>5.1991287736383538E-3</v>
      </c>
      <c r="F163" s="3">
        <f t="shared" si="6"/>
        <v>2022</v>
      </c>
    </row>
    <row r="164" spans="1:6" ht="15" customHeight="1" x14ac:dyDescent="0.2">
      <c r="A164" s="2">
        <v>44680</v>
      </c>
      <c r="B164" s="3">
        <v>2042.79</v>
      </c>
      <c r="C164" s="3">
        <v>107876</v>
      </c>
      <c r="D164" s="4">
        <f t="shared" si="7"/>
        <v>-2.2943234640721111E-2</v>
      </c>
      <c r="E164" s="4">
        <f t="shared" si="8"/>
        <v>-1.8761311558144967E-2</v>
      </c>
      <c r="F164" s="3">
        <f t="shared" si="6"/>
        <v>2022</v>
      </c>
    </row>
    <row r="165" spans="1:6" ht="15" customHeight="1" x14ac:dyDescent="0.2">
      <c r="A165" s="2">
        <v>44683</v>
      </c>
      <c r="B165" s="3">
        <v>2014.98</v>
      </c>
      <c r="C165" s="3">
        <v>106639</v>
      </c>
      <c r="D165" s="4">
        <f t="shared" si="7"/>
        <v>-1.3707250746470116E-2</v>
      </c>
      <c r="E165" s="4">
        <f t="shared" si="8"/>
        <v>-1.1533120866888884E-2</v>
      </c>
      <c r="F165" s="3">
        <f t="shared" si="6"/>
        <v>2022</v>
      </c>
    </row>
    <row r="166" spans="1:6" ht="15" customHeight="1" x14ac:dyDescent="0.2">
      <c r="A166" s="2">
        <v>44684</v>
      </c>
      <c r="B166" s="3">
        <v>2009.0699</v>
      </c>
      <c r="C166" s="3">
        <v>106528</v>
      </c>
      <c r="D166" s="4">
        <f t="shared" si="7"/>
        <v>-2.9373911339880716E-3</v>
      </c>
      <c r="E166" s="4">
        <f t="shared" si="8"/>
        <v>-1.0414370895351459E-3</v>
      </c>
      <c r="F166" s="3">
        <f t="shared" si="6"/>
        <v>2022</v>
      </c>
    </row>
    <row r="167" spans="1:6" ht="15" customHeight="1" x14ac:dyDescent="0.2">
      <c r="A167" s="2">
        <v>44685</v>
      </c>
      <c r="B167" s="3">
        <v>2045.73</v>
      </c>
      <c r="C167" s="3">
        <v>108344</v>
      </c>
      <c r="D167" s="4">
        <f t="shared" si="7"/>
        <v>1.8082815354841943E-2</v>
      </c>
      <c r="E167" s="4">
        <f t="shared" si="8"/>
        <v>1.6903488960455685E-2</v>
      </c>
      <c r="F167" s="3">
        <f t="shared" si="6"/>
        <v>2022</v>
      </c>
    </row>
    <row r="168" spans="1:6" ht="15" customHeight="1" x14ac:dyDescent="0.2">
      <c r="A168" s="2">
        <v>44686</v>
      </c>
      <c r="B168" s="3">
        <v>1981.65</v>
      </c>
      <c r="C168" s="3">
        <v>105304</v>
      </c>
      <c r="D168" s="4">
        <f t="shared" si="7"/>
        <v>-3.1824863001593255E-2</v>
      </c>
      <c r="E168" s="4">
        <f t="shared" si="8"/>
        <v>-2.8459945229963642E-2</v>
      </c>
      <c r="F168" s="3">
        <f t="shared" si="6"/>
        <v>2022</v>
      </c>
    </row>
    <row r="169" spans="1:6" ht="15" customHeight="1" x14ac:dyDescent="0.2">
      <c r="A169" s="2">
        <v>44687</v>
      </c>
      <c r="B169" s="3">
        <v>1971.33</v>
      </c>
      <c r="C169" s="3">
        <v>105135</v>
      </c>
      <c r="D169" s="4">
        <f t="shared" si="7"/>
        <v>-5.2213891525317389E-3</v>
      </c>
      <c r="E169" s="4">
        <f t="shared" si="8"/>
        <v>-1.6061665027087867E-3</v>
      </c>
      <c r="F169" s="3">
        <f t="shared" si="6"/>
        <v>2022</v>
      </c>
    </row>
    <row r="170" spans="1:6" ht="15" customHeight="1" x14ac:dyDescent="0.2">
      <c r="A170" s="2">
        <v>44690</v>
      </c>
      <c r="B170" s="3">
        <v>1949.98</v>
      </c>
      <c r="C170" s="3">
        <v>103250</v>
      </c>
      <c r="D170" s="4">
        <f t="shared" si="7"/>
        <v>-1.0889325745002326E-2</v>
      </c>
      <c r="E170" s="4">
        <f t="shared" si="8"/>
        <v>-1.8092006779255626E-2</v>
      </c>
      <c r="F170" s="3">
        <f t="shared" si="6"/>
        <v>2022</v>
      </c>
    </row>
    <row r="171" spans="1:6" ht="15" customHeight="1" x14ac:dyDescent="0.2">
      <c r="A171" s="2">
        <v>44691</v>
      </c>
      <c r="B171" s="3">
        <v>1952.24</v>
      </c>
      <c r="C171" s="3">
        <v>103110</v>
      </c>
      <c r="D171" s="4">
        <f t="shared" si="7"/>
        <v>1.1583151399387156E-3</v>
      </c>
      <c r="E171" s="4">
        <f t="shared" si="8"/>
        <v>-1.3568523112899083E-3</v>
      </c>
      <c r="F171" s="3">
        <f t="shared" si="6"/>
        <v>2022</v>
      </c>
    </row>
    <row r="172" spans="1:6" ht="15" customHeight="1" x14ac:dyDescent="0.2">
      <c r="A172" s="2">
        <v>44692</v>
      </c>
      <c r="B172" s="3">
        <v>1964.05</v>
      </c>
      <c r="C172" s="3">
        <v>104397</v>
      </c>
      <c r="D172" s="4">
        <f t="shared" si="7"/>
        <v>6.031236603950582E-3</v>
      </c>
      <c r="E172" s="4">
        <f t="shared" si="8"/>
        <v>1.2404559873626073E-2</v>
      </c>
      <c r="F172" s="3">
        <f t="shared" si="6"/>
        <v>2022</v>
      </c>
    </row>
    <row r="173" spans="1:6" ht="15" customHeight="1" x14ac:dyDescent="0.2">
      <c r="A173" s="2">
        <v>44693</v>
      </c>
      <c r="B173" s="3">
        <v>2002.87</v>
      </c>
      <c r="C173" s="3">
        <v>105688</v>
      </c>
      <c r="D173" s="4">
        <f t="shared" si="7"/>
        <v>1.9572484074691438E-2</v>
      </c>
      <c r="E173" s="4">
        <f t="shared" si="8"/>
        <v>1.229041817257478E-2</v>
      </c>
      <c r="F173" s="3">
        <f t="shared" si="6"/>
        <v>2022</v>
      </c>
    </row>
    <row r="174" spans="1:6" ht="15" customHeight="1" x14ac:dyDescent="0.2">
      <c r="A174" s="2">
        <v>44694</v>
      </c>
      <c r="B174" s="3">
        <v>2028.9</v>
      </c>
      <c r="C174" s="3">
        <v>106924</v>
      </c>
      <c r="D174" s="4">
        <f t="shared" si="7"/>
        <v>1.2912622335484731E-2</v>
      </c>
      <c r="E174" s="4">
        <f t="shared" si="8"/>
        <v>1.162694414340801E-2</v>
      </c>
      <c r="F174" s="3">
        <f t="shared" si="6"/>
        <v>2022</v>
      </c>
    </row>
    <row r="175" spans="1:6" ht="15" customHeight="1" x14ac:dyDescent="0.2">
      <c r="A175" s="2">
        <v>44697</v>
      </c>
      <c r="B175" s="3">
        <v>2049.23</v>
      </c>
      <c r="C175" s="3">
        <v>108233</v>
      </c>
      <c r="D175" s="4">
        <f t="shared" si="7"/>
        <v>9.9703385683389285E-3</v>
      </c>
      <c r="E175" s="4">
        <f t="shared" si="8"/>
        <v>1.216800895054939E-2</v>
      </c>
      <c r="F175" s="3">
        <f t="shared" si="6"/>
        <v>2022</v>
      </c>
    </row>
    <row r="176" spans="1:6" ht="15" customHeight="1" x14ac:dyDescent="0.2">
      <c r="A176" s="2">
        <v>44698</v>
      </c>
      <c r="B176" s="3">
        <v>2077.5900999999999</v>
      </c>
      <c r="C176" s="3">
        <v>108789</v>
      </c>
      <c r="D176" s="4">
        <f t="shared" si="7"/>
        <v>1.3744503406249988E-2</v>
      </c>
      <c r="E176" s="4">
        <f t="shared" si="8"/>
        <v>5.1239156994085048E-3</v>
      </c>
      <c r="F176" s="3">
        <f t="shared" si="6"/>
        <v>2022</v>
      </c>
    </row>
    <row r="177" spans="1:6" ht="15" customHeight="1" x14ac:dyDescent="0.2">
      <c r="A177" s="2">
        <v>44699</v>
      </c>
      <c r="B177" s="3">
        <v>2025.01</v>
      </c>
      <c r="C177" s="3">
        <v>106247</v>
      </c>
      <c r="D177" s="4">
        <f t="shared" si="7"/>
        <v>-2.5633977423541648E-2</v>
      </c>
      <c r="E177" s="4">
        <f t="shared" si="8"/>
        <v>-2.3643654257633789E-2</v>
      </c>
      <c r="F177" s="3">
        <f t="shared" si="6"/>
        <v>2022</v>
      </c>
    </row>
    <row r="178" spans="1:6" ht="15" customHeight="1" x14ac:dyDescent="0.2">
      <c r="A178" s="2">
        <v>44700</v>
      </c>
      <c r="B178" s="3">
        <v>2028.4399000000001</v>
      </c>
      <c r="C178" s="3">
        <v>107005</v>
      </c>
      <c r="D178" s="4">
        <f t="shared" si="7"/>
        <v>1.6923366037427847E-3</v>
      </c>
      <c r="E178" s="4">
        <f t="shared" si="8"/>
        <v>7.1089902303193096E-3</v>
      </c>
      <c r="F178" s="3">
        <f t="shared" si="6"/>
        <v>2022</v>
      </c>
    </row>
    <row r="179" spans="1:6" ht="15" customHeight="1" x14ac:dyDescent="0.2">
      <c r="A179" s="2">
        <v>44701</v>
      </c>
      <c r="B179" s="3">
        <v>2053.6001000000001</v>
      </c>
      <c r="C179" s="3">
        <v>108488</v>
      </c>
      <c r="D179" s="4">
        <f t="shared" si="7"/>
        <v>1.2327423848110225E-2</v>
      </c>
      <c r="E179" s="4">
        <f t="shared" si="8"/>
        <v>1.3764005443539715E-2</v>
      </c>
      <c r="F179" s="3">
        <f t="shared" si="6"/>
        <v>2022</v>
      </c>
    </row>
    <row r="180" spans="1:6" ht="15" customHeight="1" x14ac:dyDescent="0.2">
      <c r="A180" s="2">
        <v>44704</v>
      </c>
      <c r="B180" s="3">
        <v>2083.3101000000001</v>
      </c>
      <c r="C180" s="3">
        <v>110346</v>
      </c>
      <c r="D180" s="4">
        <f t="shared" si="7"/>
        <v>1.4363623748249423E-2</v>
      </c>
      <c r="E180" s="4">
        <f t="shared" si="8"/>
        <v>1.6981315959254846E-2</v>
      </c>
      <c r="F180" s="3">
        <f t="shared" si="6"/>
        <v>2022</v>
      </c>
    </row>
    <row r="181" spans="1:6" ht="15" customHeight="1" x14ac:dyDescent="0.2">
      <c r="A181" s="2">
        <v>44705</v>
      </c>
      <c r="B181" s="3">
        <v>2086.27</v>
      </c>
      <c r="C181" s="3">
        <v>110581</v>
      </c>
      <c r="D181" s="4">
        <f t="shared" si="7"/>
        <v>1.4197595087300223E-3</v>
      </c>
      <c r="E181" s="4">
        <f t="shared" si="8"/>
        <v>2.1274003506215498E-3</v>
      </c>
      <c r="F181" s="3">
        <f t="shared" si="6"/>
        <v>2022</v>
      </c>
    </row>
    <row r="182" spans="1:6" ht="15" customHeight="1" x14ac:dyDescent="0.2">
      <c r="A182" s="2">
        <v>44706</v>
      </c>
      <c r="B182" s="3">
        <v>2079.9899999999998</v>
      </c>
      <c r="C182" s="3">
        <v>110580</v>
      </c>
      <c r="D182" s="4">
        <f t="shared" si="7"/>
        <v>-3.0146965173846697E-3</v>
      </c>
      <c r="E182" s="4">
        <f t="shared" si="8"/>
        <v>-9.0431857335483902E-6</v>
      </c>
      <c r="F182" s="3">
        <f t="shared" si="6"/>
        <v>2022</v>
      </c>
    </row>
    <row r="183" spans="1:6" ht="15" customHeight="1" x14ac:dyDescent="0.2">
      <c r="A183" s="2">
        <v>44707</v>
      </c>
      <c r="B183" s="3">
        <v>2110.0100000000002</v>
      </c>
      <c r="C183" s="3">
        <v>111890</v>
      </c>
      <c r="D183" s="4">
        <f t="shared" si="7"/>
        <v>1.4329600803875634E-2</v>
      </c>
      <c r="E183" s="4">
        <f t="shared" si="8"/>
        <v>1.1777004909842785E-2</v>
      </c>
      <c r="F183" s="3">
        <f t="shared" si="6"/>
        <v>2022</v>
      </c>
    </row>
    <row r="184" spans="1:6" ht="15" customHeight="1" x14ac:dyDescent="0.2">
      <c r="A184" s="2">
        <v>44708</v>
      </c>
      <c r="B184" s="3">
        <v>2115.9099000000001</v>
      </c>
      <c r="C184" s="3">
        <v>111942</v>
      </c>
      <c r="D184" s="4">
        <f t="shared" si="7"/>
        <v>2.792245935982365E-3</v>
      </c>
      <c r="E184" s="4">
        <f t="shared" si="8"/>
        <v>4.6463419828718925E-4</v>
      </c>
      <c r="F184" s="3">
        <f t="shared" si="6"/>
        <v>2022</v>
      </c>
    </row>
    <row r="185" spans="1:6" ht="15" customHeight="1" x14ac:dyDescent="0.2">
      <c r="A185" s="2">
        <v>44711</v>
      </c>
      <c r="B185" s="3">
        <v>2092.6298999999999</v>
      </c>
      <c r="C185" s="3">
        <v>111032</v>
      </c>
      <c r="D185" s="4">
        <f t="shared" si="7"/>
        <v>-1.1063332441492242E-2</v>
      </c>
      <c r="E185" s="4">
        <f t="shared" si="8"/>
        <v>-8.1624319643782417E-3</v>
      </c>
      <c r="F185" s="3">
        <f t="shared" si="6"/>
        <v>2022</v>
      </c>
    </row>
    <row r="186" spans="1:6" ht="15" customHeight="1" x14ac:dyDescent="0.2">
      <c r="A186" s="2">
        <v>44712</v>
      </c>
      <c r="B186" s="3">
        <v>2104.1599000000001</v>
      </c>
      <c r="C186" s="3">
        <v>111351</v>
      </c>
      <c r="D186" s="4">
        <f t="shared" si="7"/>
        <v>5.4946897788860413E-3</v>
      </c>
      <c r="E186" s="4">
        <f t="shared" si="8"/>
        <v>2.8689263010249245E-3</v>
      </c>
      <c r="F186" s="3">
        <f t="shared" si="6"/>
        <v>2022</v>
      </c>
    </row>
    <row r="187" spans="1:6" ht="15" customHeight="1" x14ac:dyDescent="0.2">
      <c r="A187" s="2">
        <v>44713</v>
      </c>
      <c r="B187" s="3">
        <v>2093.4499999999998</v>
      </c>
      <c r="C187" s="3">
        <v>111360</v>
      </c>
      <c r="D187" s="4">
        <f t="shared" si="7"/>
        <v>-5.102867343536815E-3</v>
      </c>
      <c r="E187" s="4">
        <f t="shared" si="8"/>
        <v>8.0822231545909135E-5</v>
      </c>
      <c r="F187" s="3">
        <f t="shared" si="6"/>
        <v>2022</v>
      </c>
    </row>
    <row r="188" spans="1:6" ht="15" customHeight="1" x14ac:dyDescent="0.2">
      <c r="A188" s="2">
        <v>44714</v>
      </c>
      <c r="B188" s="3">
        <v>2113.1898999999999</v>
      </c>
      <c r="C188" s="3">
        <v>112393</v>
      </c>
      <c r="D188" s="4">
        <f t="shared" si="7"/>
        <v>9.3851840721697905E-3</v>
      </c>
      <c r="E188" s="4">
        <f t="shared" si="8"/>
        <v>9.2334613540809643E-3</v>
      </c>
      <c r="F188" s="3">
        <f t="shared" si="6"/>
        <v>2022</v>
      </c>
    </row>
    <row r="189" spans="1:6" ht="15" customHeight="1" x14ac:dyDescent="0.2">
      <c r="A189" s="2">
        <v>44715</v>
      </c>
      <c r="B189" s="3">
        <v>2084.6001000000001</v>
      </c>
      <c r="C189" s="3">
        <v>111102</v>
      </c>
      <c r="D189" s="4">
        <f t="shared" si="7"/>
        <v>-1.3621568521329048E-2</v>
      </c>
      <c r="E189" s="4">
        <f t="shared" si="8"/>
        <v>-1.1552959656456625E-2</v>
      </c>
      <c r="F189" s="3">
        <f t="shared" si="6"/>
        <v>2022</v>
      </c>
    </row>
    <row r="190" spans="1:6" ht="15" customHeight="1" x14ac:dyDescent="0.2">
      <c r="A190" s="2">
        <v>44718</v>
      </c>
      <c r="B190" s="3">
        <v>2062.8400999999999</v>
      </c>
      <c r="C190" s="3">
        <v>110186</v>
      </c>
      <c r="D190" s="4">
        <f t="shared" si="7"/>
        <v>-1.0493315691532477E-2</v>
      </c>
      <c r="E190" s="4">
        <f t="shared" si="8"/>
        <v>-8.2788513776921313E-3</v>
      </c>
      <c r="F190" s="3">
        <f t="shared" si="6"/>
        <v>2022</v>
      </c>
    </row>
    <row r="191" spans="1:6" ht="15" customHeight="1" x14ac:dyDescent="0.2">
      <c r="A191" s="2">
        <v>44719</v>
      </c>
      <c r="B191" s="3">
        <v>2045.09</v>
      </c>
      <c r="C191" s="3">
        <v>110070</v>
      </c>
      <c r="D191" s="4">
        <f t="shared" si="7"/>
        <v>-8.6419242960708437E-3</v>
      </c>
      <c r="E191" s="4">
        <f t="shared" si="8"/>
        <v>-1.0533198707413352E-3</v>
      </c>
      <c r="F191" s="3">
        <f t="shared" si="6"/>
        <v>2022</v>
      </c>
    </row>
    <row r="192" spans="1:6" ht="15" customHeight="1" x14ac:dyDescent="0.2">
      <c r="A192" s="2">
        <v>44720</v>
      </c>
      <c r="B192" s="3">
        <v>2013.96</v>
      </c>
      <c r="C192" s="3">
        <v>108368</v>
      </c>
      <c r="D192" s="4">
        <f t="shared" si="7"/>
        <v>-1.5338865180363039E-2</v>
      </c>
      <c r="E192" s="4">
        <f t="shared" si="8"/>
        <v>-1.5583684562752545E-2</v>
      </c>
      <c r="F192" s="3">
        <f t="shared" si="6"/>
        <v>2022</v>
      </c>
    </row>
    <row r="193" spans="1:6" ht="15" customHeight="1" x14ac:dyDescent="0.2">
      <c r="A193" s="2">
        <v>44721</v>
      </c>
      <c r="B193" s="3">
        <v>2002.36</v>
      </c>
      <c r="C193" s="3">
        <v>107094</v>
      </c>
      <c r="D193" s="4">
        <f t="shared" si="7"/>
        <v>-5.7764482188127431E-3</v>
      </c>
      <c r="E193" s="4">
        <f t="shared" si="8"/>
        <v>-1.182588899712207E-2</v>
      </c>
      <c r="F193" s="3">
        <f t="shared" si="6"/>
        <v>2022</v>
      </c>
    </row>
    <row r="194" spans="1:6" ht="15" customHeight="1" x14ac:dyDescent="0.2">
      <c r="A194" s="2">
        <v>44722</v>
      </c>
      <c r="B194" s="3">
        <v>1964.41</v>
      </c>
      <c r="C194" s="3">
        <v>105481</v>
      </c>
      <c r="D194" s="4">
        <f t="shared" si="7"/>
        <v>-1.9134539124233171E-2</v>
      </c>
      <c r="E194" s="4">
        <f t="shared" si="8"/>
        <v>-1.5176111565047851E-2</v>
      </c>
      <c r="F194" s="3">
        <f t="shared" ref="F194:F257" si="9">YEAR(A194)</f>
        <v>2022</v>
      </c>
    </row>
    <row r="195" spans="1:6" ht="15" customHeight="1" x14ac:dyDescent="0.2">
      <c r="A195" s="2">
        <v>44725</v>
      </c>
      <c r="B195" s="3">
        <v>1911.37</v>
      </c>
      <c r="C195" s="3">
        <v>102598</v>
      </c>
      <c r="D195" s="4">
        <f t="shared" ref="D195:D258" si="10">LN(B195/B194)</f>
        <v>-2.7371683358008495E-2</v>
      </c>
      <c r="E195" s="4">
        <f t="shared" ref="E195:E258" si="11">LN(C195/C194)</f>
        <v>-2.7712402541091127E-2</v>
      </c>
      <c r="F195" s="3">
        <f t="shared" si="9"/>
        <v>2022</v>
      </c>
    </row>
    <row r="196" spans="1:6" ht="15" customHeight="1" x14ac:dyDescent="0.2">
      <c r="A196" s="2">
        <v>44726</v>
      </c>
      <c r="B196" s="3">
        <v>1895.5699</v>
      </c>
      <c r="C196" s="3">
        <v>102063</v>
      </c>
      <c r="D196" s="4">
        <f t="shared" si="10"/>
        <v>-8.3007303170715106E-3</v>
      </c>
      <c r="E196" s="4">
        <f t="shared" si="11"/>
        <v>-5.2281696916315632E-3</v>
      </c>
      <c r="F196" s="3">
        <f t="shared" si="9"/>
        <v>2022</v>
      </c>
    </row>
    <row r="197" spans="1:6" ht="15" customHeight="1" x14ac:dyDescent="0.2">
      <c r="A197" s="2">
        <v>44727</v>
      </c>
      <c r="B197" s="3">
        <v>1915.12</v>
      </c>
      <c r="C197" s="3">
        <v>102807</v>
      </c>
      <c r="D197" s="4">
        <f t="shared" si="10"/>
        <v>1.02607517469072E-2</v>
      </c>
      <c r="E197" s="4">
        <f t="shared" si="11"/>
        <v>7.2631744103742284E-3</v>
      </c>
      <c r="F197" s="3">
        <f t="shared" si="9"/>
        <v>2022</v>
      </c>
    </row>
    <row r="198" spans="1:6" ht="15" customHeight="1" x14ac:dyDescent="0.2">
      <c r="A198" s="2">
        <v>44729</v>
      </c>
      <c r="B198" s="3">
        <v>1875.9399000000001</v>
      </c>
      <c r="C198" s="3">
        <v>99825</v>
      </c>
      <c r="D198" s="4">
        <f t="shared" si="10"/>
        <v>-2.0670470031205732E-2</v>
      </c>
      <c r="E198" s="4">
        <f t="shared" si="11"/>
        <v>-2.9434791138744348E-2</v>
      </c>
      <c r="F198" s="3">
        <f t="shared" si="9"/>
        <v>2022</v>
      </c>
    </row>
    <row r="199" spans="1:6" ht="15" customHeight="1" x14ac:dyDescent="0.2">
      <c r="A199" s="2">
        <v>44732</v>
      </c>
      <c r="B199" s="3">
        <v>1887.86</v>
      </c>
      <c r="C199" s="3">
        <v>99853</v>
      </c>
      <c r="D199" s="4">
        <f t="shared" si="10"/>
        <v>6.334098607973555E-3</v>
      </c>
      <c r="E199" s="4">
        <f t="shared" si="11"/>
        <v>2.8045152879662441E-4</v>
      </c>
      <c r="F199" s="3">
        <f t="shared" si="9"/>
        <v>2022</v>
      </c>
    </row>
    <row r="200" spans="1:6" ht="15" customHeight="1" x14ac:dyDescent="0.2">
      <c r="A200" s="2">
        <v>44733</v>
      </c>
      <c r="B200" s="3">
        <v>1886.5</v>
      </c>
      <c r="C200" s="3">
        <v>99685</v>
      </c>
      <c r="D200" s="4">
        <f t="shared" si="10"/>
        <v>-7.2065200927216974E-4</v>
      </c>
      <c r="E200" s="4">
        <f t="shared" si="11"/>
        <v>-1.6838901832914315E-3</v>
      </c>
      <c r="F200" s="3">
        <f t="shared" si="9"/>
        <v>2022</v>
      </c>
    </row>
    <row r="201" spans="1:6" ht="15" customHeight="1" x14ac:dyDescent="0.2">
      <c r="A201" s="2">
        <v>44734</v>
      </c>
      <c r="B201" s="3">
        <v>1893.4301</v>
      </c>
      <c r="C201" s="3">
        <v>99522</v>
      </c>
      <c r="D201" s="4">
        <f t="shared" si="10"/>
        <v>3.666791491623442E-3</v>
      </c>
      <c r="E201" s="4">
        <f t="shared" si="11"/>
        <v>-1.6364890428295367E-3</v>
      </c>
      <c r="F201" s="3">
        <f t="shared" si="9"/>
        <v>2022</v>
      </c>
    </row>
    <row r="202" spans="1:6" ht="15" customHeight="1" x14ac:dyDescent="0.2">
      <c r="A202" s="2">
        <v>44735</v>
      </c>
      <c r="B202" s="3">
        <v>1876.84</v>
      </c>
      <c r="C202" s="3">
        <v>98080</v>
      </c>
      <c r="D202" s="4">
        <f t="shared" si="10"/>
        <v>-8.8005403509183386E-3</v>
      </c>
      <c r="E202" s="4">
        <f t="shared" si="11"/>
        <v>-1.4595253064059373E-2</v>
      </c>
      <c r="F202" s="3">
        <f t="shared" si="9"/>
        <v>2022</v>
      </c>
    </row>
    <row r="203" spans="1:6" ht="15" customHeight="1" x14ac:dyDescent="0.2">
      <c r="A203" s="2">
        <v>44736</v>
      </c>
      <c r="B203" s="3">
        <v>1882.3</v>
      </c>
      <c r="C203" s="3">
        <v>98672</v>
      </c>
      <c r="D203" s="4">
        <f t="shared" si="10"/>
        <v>2.9049217850620401E-3</v>
      </c>
      <c r="E203" s="4">
        <f t="shared" si="11"/>
        <v>6.0177460612357604E-3</v>
      </c>
      <c r="F203" s="3">
        <f t="shared" si="9"/>
        <v>2022</v>
      </c>
    </row>
    <row r="204" spans="1:6" ht="15" customHeight="1" x14ac:dyDescent="0.2">
      <c r="A204" s="2">
        <v>44739</v>
      </c>
      <c r="B204" s="3">
        <v>1903.98</v>
      </c>
      <c r="C204" s="3">
        <v>100764</v>
      </c>
      <c r="D204" s="4">
        <f t="shared" si="10"/>
        <v>1.1451998764328168E-2</v>
      </c>
      <c r="E204" s="4">
        <f t="shared" si="11"/>
        <v>2.0979930740289431E-2</v>
      </c>
      <c r="F204" s="3">
        <f t="shared" si="9"/>
        <v>2022</v>
      </c>
    </row>
    <row r="205" spans="1:6" ht="15" customHeight="1" x14ac:dyDescent="0.2">
      <c r="A205" s="2">
        <v>44740</v>
      </c>
      <c r="B205" s="3">
        <v>1892.05</v>
      </c>
      <c r="C205" s="3">
        <v>100591</v>
      </c>
      <c r="D205" s="4">
        <f t="shared" si="10"/>
        <v>-6.2855347705147299E-3</v>
      </c>
      <c r="E205" s="4">
        <f t="shared" si="11"/>
        <v>-1.718358546536145E-3</v>
      </c>
      <c r="F205" s="3">
        <f t="shared" si="9"/>
        <v>2022</v>
      </c>
    </row>
    <row r="206" spans="1:6" ht="15" customHeight="1" x14ac:dyDescent="0.2">
      <c r="A206" s="2">
        <v>44741</v>
      </c>
      <c r="B206" s="3">
        <v>1871.74</v>
      </c>
      <c r="C206" s="3">
        <v>99622</v>
      </c>
      <c r="D206" s="4">
        <f t="shared" si="10"/>
        <v>-1.0792417821252087E-2</v>
      </c>
      <c r="E206" s="4">
        <f t="shared" si="11"/>
        <v>-9.6797667093773739E-3</v>
      </c>
      <c r="F206" s="3">
        <f t="shared" si="9"/>
        <v>2022</v>
      </c>
    </row>
    <row r="207" spans="1:6" ht="15" customHeight="1" x14ac:dyDescent="0.2">
      <c r="A207" s="2">
        <v>44742</v>
      </c>
      <c r="B207" s="3">
        <v>1858.49</v>
      </c>
      <c r="C207" s="3">
        <v>98542</v>
      </c>
      <c r="D207" s="4">
        <f t="shared" si="10"/>
        <v>-7.1041494632095217E-3</v>
      </c>
      <c r="E207" s="4">
        <f t="shared" si="11"/>
        <v>-1.0900170497298654E-2</v>
      </c>
      <c r="F207" s="3">
        <f t="shared" si="9"/>
        <v>2022</v>
      </c>
    </row>
    <row r="208" spans="1:6" ht="15" customHeight="1" x14ac:dyDescent="0.2">
      <c r="A208" s="2">
        <v>44743</v>
      </c>
      <c r="B208" s="3">
        <v>1873.5600999999999</v>
      </c>
      <c r="C208" s="3">
        <v>98954</v>
      </c>
      <c r="D208" s="4">
        <f t="shared" si="10"/>
        <v>8.076087676268353E-3</v>
      </c>
      <c r="E208" s="4">
        <f t="shared" si="11"/>
        <v>4.172242452110367E-3</v>
      </c>
      <c r="F208" s="3">
        <f t="shared" si="9"/>
        <v>2022</v>
      </c>
    </row>
    <row r="209" spans="1:6" ht="15" customHeight="1" x14ac:dyDescent="0.2">
      <c r="A209" s="2">
        <v>44746</v>
      </c>
      <c r="B209" s="3">
        <v>1858.52</v>
      </c>
      <c r="C209" s="3">
        <v>98609</v>
      </c>
      <c r="D209" s="4">
        <f t="shared" si="10"/>
        <v>-8.0599456696553041E-3</v>
      </c>
      <c r="E209" s="4">
        <f t="shared" si="11"/>
        <v>-3.4925603548416869E-3</v>
      </c>
      <c r="F209" s="3">
        <f t="shared" si="9"/>
        <v>2022</v>
      </c>
    </row>
    <row r="210" spans="1:6" ht="15" customHeight="1" x14ac:dyDescent="0.2">
      <c r="A210" s="2">
        <v>44747</v>
      </c>
      <c r="B210" s="3">
        <v>1860.48</v>
      </c>
      <c r="C210" s="3">
        <v>98295</v>
      </c>
      <c r="D210" s="4">
        <f t="shared" si="10"/>
        <v>1.0540468843590173E-3</v>
      </c>
      <c r="E210" s="4">
        <f t="shared" si="11"/>
        <v>-3.1893741739132449E-3</v>
      </c>
      <c r="F210" s="3">
        <f t="shared" si="9"/>
        <v>2022</v>
      </c>
    </row>
    <row r="211" spans="1:6" ht="15" customHeight="1" x14ac:dyDescent="0.2">
      <c r="A211" s="2">
        <v>44748</v>
      </c>
      <c r="B211" s="3">
        <v>1868.6899000000001</v>
      </c>
      <c r="C211" s="3">
        <v>98719</v>
      </c>
      <c r="D211" s="4">
        <f t="shared" si="10"/>
        <v>4.4030781562621217E-3</v>
      </c>
      <c r="E211" s="4">
        <f t="shared" si="11"/>
        <v>4.304269286559111E-3</v>
      </c>
      <c r="F211" s="3">
        <f t="shared" si="9"/>
        <v>2022</v>
      </c>
    </row>
    <row r="212" spans="1:6" ht="15" customHeight="1" x14ac:dyDescent="0.2">
      <c r="A212" s="2">
        <v>44749</v>
      </c>
      <c r="B212" s="3">
        <v>1899.73</v>
      </c>
      <c r="C212" s="3">
        <v>100730</v>
      </c>
      <c r="D212" s="4">
        <f t="shared" si="10"/>
        <v>1.6474173706745841E-2</v>
      </c>
      <c r="E212" s="4">
        <f t="shared" si="11"/>
        <v>2.0166239508460949E-2</v>
      </c>
      <c r="F212" s="3">
        <f t="shared" si="9"/>
        <v>2022</v>
      </c>
    </row>
    <row r="213" spans="1:6" ht="15" customHeight="1" x14ac:dyDescent="0.2">
      <c r="A213" s="2">
        <v>44750</v>
      </c>
      <c r="B213" s="3">
        <v>1896.3</v>
      </c>
      <c r="C213" s="3">
        <v>100289</v>
      </c>
      <c r="D213" s="4">
        <f t="shared" si="10"/>
        <v>-1.8071516471016421E-3</v>
      </c>
      <c r="E213" s="4">
        <f t="shared" si="11"/>
        <v>-4.3876519880412671E-3</v>
      </c>
      <c r="F213" s="3">
        <f t="shared" si="9"/>
        <v>2022</v>
      </c>
    </row>
    <row r="214" spans="1:6" ht="15" customHeight="1" x14ac:dyDescent="0.2">
      <c r="A214" s="2">
        <v>44753</v>
      </c>
      <c r="B214" s="3">
        <v>1855.6801</v>
      </c>
      <c r="C214" s="3">
        <v>98212</v>
      </c>
      <c r="D214" s="4">
        <f t="shared" si="10"/>
        <v>-2.1653359569686937E-2</v>
      </c>
      <c r="E214" s="4">
        <f t="shared" si="11"/>
        <v>-2.0927610479222376E-2</v>
      </c>
      <c r="F214" s="3">
        <f t="shared" si="9"/>
        <v>2022</v>
      </c>
    </row>
    <row r="215" spans="1:6" ht="15" customHeight="1" x14ac:dyDescent="0.2">
      <c r="A215" s="2">
        <v>44754</v>
      </c>
      <c r="B215" s="3">
        <v>1859.99</v>
      </c>
      <c r="C215" s="3">
        <v>98271</v>
      </c>
      <c r="D215" s="4">
        <f t="shared" si="10"/>
        <v>2.3198517720325763E-3</v>
      </c>
      <c r="E215" s="4">
        <f t="shared" si="11"/>
        <v>6.0056088082238409E-4</v>
      </c>
      <c r="F215" s="3">
        <f t="shared" si="9"/>
        <v>2022</v>
      </c>
    </row>
    <row r="216" spans="1:6" ht="15" customHeight="1" x14ac:dyDescent="0.2">
      <c r="A216" s="2">
        <v>44755</v>
      </c>
      <c r="B216" s="3">
        <v>1855.11</v>
      </c>
      <c r="C216" s="3">
        <v>97881</v>
      </c>
      <c r="D216" s="4">
        <f t="shared" si="10"/>
        <v>-2.627117873925694E-3</v>
      </c>
      <c r="E216" s="4">
        <f t="shared" si="11"/>
        <v>-3.9765132541216587E-3</v>
      </c>
      <c r="F216" s="3">
        <f t="shared" si="9"/>
        <v>2022</v>
      </c>
    </row>
    <row r="217" spans="1:6" ht="15" customHeight="1" x14ac:dyDescent="0.2">
      <c r="A217" s="2">
        <v>44756</v>
      </c>
      <c r="B217" s="3">
        <v>1844.67</v>
      </c>
      <c r="C217" s="3">
        <v>96121</v>
      </c>
      <c r="D217" s="4">
        <f t="shared" si="10"/>
        <v>-5.6435937864501799E-3</v>
      </c>
      <c r="E217" s="4">
        <f t="shared" si="11"/>
        <v>-1.8144640637787396E-2</v>
      </c>
      <c r="F217" s="3">
        <f t="shared" si="9"/>
        <v>2022</v>
      </c>
    </row>
    <row r="218" spans="1:6" ht="15" customHeight="1" x14ac:dyDescent="0.2">
      <c r="A218" s="2">
        <v>44757</v>
      </c>
      <c r="B218" s="3">
        <v>1848.88</v>
      </c>
      <c r="C218" s="3">
        <v>96551</v>
      </c>
      <c r="D218" s="4">
        <f t="shared" si="10"/>
        <v>2.2796506467832409E-3</v>
      </c>
      <c r="E218" s="4">
        <f t="shared" si="11"/>
        <v>4.4635516724566924E-3</v>
      </c>
      <c r="F218" s="3">
        <f t="shared" si="9"/>
        <v>2022</v>
      </c>
    </row>
    <row r="219" spans="1:6" ht="15" customHeight="1" x14ac:dyDescent="0.2">
      <c r="A219" s="2">
        <v>44760</v>
      </c>
      <c r="B219" s="3">
        <v>1851.6899000000001</v>
      </c>
      <c r="C219" s="3">
        <v>96916</v>
      </c>
      <c r="D219" s="4">
        <f t="shared" si="10"/>
        <v>1.518631246514525E-3</v>
      </c>
      <c r="E219" s="4">
        <f t="shared" si="11"/>
        <v>3.7732577964862957E-3</v>
      </c>
      <c r="F219" s="3">
        <f t="shared" si="9"/>
        <v>2022</v>
      </c>
    </row>
    <row r="220" spans="1:6" ht="15" customHeight="1" x14ac:dyDescent="0.2">
      <c r="A220" s="2">
        <v>44761</v>
      </c>
      <c r="B220" s="3">
        <v>1882.35</v>
      </c>
      <c r="C220" s="3">
        <v>98245</v>
      </c>
      <c r="D220" s="4">
        <f t="shared" si="10"/>
        <v>1.642231464279666E-2</v>
      </c>
      <c r="E220" s="4">
        <f t="shared" si="11"/>
        <v>1.3619734923976747E-2</v>
      </c>
      <c r="F220" s="3">
        <f t="shared" si="9"/>
        <v>2022</v>
      </c>
    </row>
    <row r="221" spans="1:6" ht="15" customHeight="1" x14ac:dyDescent="0.2">
      <c r="A221" s="2">
        <v>44762</v>
      </c>
      <c r="B221" s="3">
        <v>1887.14</v>
      </c>
      <c r="C221" s="3">
        <v>98287</v>
      </c>
      <c r="D221" s="4">
        <f t="shared" si="10"/>
        <v>2.541459230942828E-3</v>
      </c>
      <c r="E221" s="4">
        <f t="shared" si="11"/>
        <v>4.2741131865929133E-4</v>
      </c>
      <c r="F221" s="3">
        <f t="shared" si="9"/>
        <v>2022</v>
      </c>
    </row>
    <row r="222" spans="1:6" ht="15" customHeight="1" x14ac:dyDescent="0.2">
      <c r="A222" s="2">
        <v>44763</v>
      </c>
      <c r="B222" s="3">
        <v>1899.0699</v>
      </c>
      <c r="C222" s="3">
        <v>99033</v>
      </c>
      <c r="D222" s="4">
        <f t="shared" si="10"/>
        <v>6.3017845262487784E-3</v>
      </c>
      <c r="E222" s="4">
        <f t="shared" si="11"/>
        <v>7.5613577368917771E-3</v>
      </c>
      <c r="F222" s="3">
        <f t="shared" si="9"/>
        <v>2022</v>
      </c>
    </row>
    <row r="223" spans="1:6" ht="15" customHeight="1" x14ac:dyDescent="0.2">
      <c r="A223" s="2">
        <v>44764</v>
      </c>
      <c r="B223" s="3">
        <v>1890.95</v>
      </c>
      <c r="C223" s="3">
        <v>98925</v>
      </c>
      <c r="D223" s="4">
        <f t="shared" si="10"/>
        <v>-4.2848917092198563E-3</v>
      </c>
      <c r="E223" s="4">
        <f t="shared" si="11"/>
        <v>-1.0911406532223202E-3</v>
      </c>
      <c r="F223" s="3">
        <f t="shared" si="9"/>
        <v>2022</v>
      </c>
    </row>
    <row r="224" spans="1:6" ht="15" customHeight="1" x14ac:dyDescent="0.2">
      <c r="A224" s="2">
        <v>44767</v>
      </c>
      <c r="B224" s="3">
        <v>1908.02</v>
      </c>
      <c r="C224" s="3">
        <v>100270</v>
      </c>
      <c r="D224" s="4">
        <f t="shared" si="10"/>
        <v>8.9867068611890494E-3</v>
      </c>
      <c r="E224" s="4">
        <f t="shared" si="11"/>
        <v>1.350456026434595E-2</v>
      </c>
      <c r="F224" s="3">
        <f t="shared" si="9"/>
        <v>2022</v>
      </c>
    </row>
    <row r="225" spans="1:6" ht="15" customHeight="1" x14ac:dyDescent="0.2">
      <c r="A225" s="2">
        <v>44768</v>
      </c>
      <c r="B225" s="3">
        <v>1893.27</v>
      </c>
      <c r="C225" s="3">
        <v>99772</v>
      </c>
      <c r="D225" s="4">
        <f t="shared" si="10"/>
        <v>-7.7605623502129484E-3</v>
      </c>
      <c r="E225" s="4">
        <f t="shared" si="11"/>
        <v>-4.9789647052948241E-3</v>
      </c>
      <c r="F225" s="3">
        <f t="shared" si="9"/>
        <v>2022</v>
      </c>
    </row>
    <row r="226" spans="1:6" ht="15" customHeight="1" x14ac:dyDescent="0.2">
      <c r="A226" s="2">
        <v>44769</v>
      </c>
      <c r="B226" s="3">
        <v>1928.9301</v>
      </c>
      <c r="C226" s="3">
        <v>101438</v>
      </c>
      <c r="D226" s="4">
        <f t="shared" si="10"/>
        <v>1.8660004073887532E-2</v>
      </c>
      <c r="E226" s="4">
        <f t="shared" si="11"/>
        <v>1.6560191575683916E-2</v>
      </c>
      <c r="F226" s="3">
        <f t="shared" si="9"/>
        <v>2022</v>
      </c>
    </row>
    <row r="227" spans="1:6" ht="15" customHeight="1" x14ac:dyDescent="0.2">
      <c r="A227" s="2">
        <v>44770</v>
      </c>
      <c r="B227" s="3">
        <v>1949.88</v>
      </c>
      <c r="C227" s="3">
        <v>102597</v>
      </c>
      <c r="D227" s="4">
        <f t="shared" si="10"/>
        <v>1.0802335345422961E-2</v>
      </c>
      <c r="E227" s="4">
        <f t="shared" si="11"/>
        <v>1.136091813687384E-2</v>
      </c>
      <c r="F227" s="3">
        <f t="shared" si="9"/>
        <v>2022</v>
      </c>
    </row>
    <row r="228" spans="1:6" ht="15" customHeight="1" x14ac:dyDescent="0.2">
      <c r="A228" s="2">
        <v>44771</v>
      </c>
      <c r="B228" s="3">
        <v>1951.83</v>
      </c>
      <c r="C228" s="3">
        <v>103165</v>
      </c>
      <c r="D228" s="4">
        <f t="shared" si="10"/>
        <v>9.9956181384961763E-4</v>
      </c>
      <c r="E228" s="4">
        <f t="shared" si="11"/>
        <v>5.5209556940963205E-3</v>
      </c>
      <c r="F228" s="3">
        <f t="shared" si="9"/>
        <v>2022</v>
      </c>
    </row>
    <row r="229" spans="1:6" ht="15" customHeight="1" x14ac:dyDescent="0.2">
      <c r="A229" s="2">
        <v>44774</v>
      </c>
      <c r="B229" s="3">
        <v>1942.4</v>
      </c>
      <c r="C229" s="3">
        <v>102225</v>
      </c>
      <c r="D229" s="4">
        <f t="shared" si="10"/>
        <v>-4.8430721513556367E-3</v>
      </c>
      <c r="E229" s="4">
        <f t="shared" si="11"/>
        <v>-9.1533819864872482E-3</v>
      </c>
      <c r="F229" s="3">
        <f t="shared" si="9"/>
        <v>2022</v>
      </c>
    </row>
    <row r="230" spans="1:6" ht="15" customHeight="1" x14ac:dyDescent="0.2">
      <c r="A230" s="2">
        <v>44775</v>
      </c>
      <c r="B230" s="3">
        <v>1956.26</v>
      </c>
      <c r="C230" s="3">
        <v>103362</v>
      </c>
      <c r="D230" s="4">
        <f t="shared" si="10"/>
        <v>7.1101652313051589E-3</v>
      </c>
      <c r="E230" s="4">
        <f t="shared" si="11"/>
        <v>1.1061123441581141E-2</v>
      </c>
      <c r="F230" s="3">
        <f t="shared" si="9"/>
        <v>2022</v>
      </c>
    </row>
    <row r="231" spans="1:6" ht="15" customHeight="1" x14ac:dyDescent="0.2">
      <c r="A231" s="2">
        <v>44776</v>
      </c>
      <c r="B231" s="3">
        <v>1982.8199</v>
      </c>
      <c r="C231" s="3">
        <v>103775</v>
      </c>
      <c r="D231" s="4">
        <f t="shared" si="10"/>
        <v>1.3485536311856715E-2</v>
      </c>
      <c r="E231" s="4">
        <f t="shared" si="11"/>
        <v>3.9877042468154456E-3</v>
      </c>
      <c r="F231" s="3">
        <f t="shared" si="9"/>
        <v>2022</v>
      </c>
    </row>
    <row r="232" spans="1:6" ht="15" customHeight="1" x14ac:dyDescent="0.2">
      <c r="A232" s="2">
        <v>44777</v>
      </c>
      <c r="B232" s="3">
        <v>2038.8</v>
      </c>
      <c r="C232" s="3">
        <v>105892</v>
      </c>
      <c r="D232" s="4">
        <f t="shared" si="10"/>
        <v>2.7841376057545521E-2</v>
      </c>
      <c r="E232" s="4">
        <f t="shared" si="11"/>
        <v>2.0194612849683408E-2</v>
      </c>
      <c r="F232" s="3">
        <f t="shared" si="9"/>
        <v>2022</v>
      </c>
    </row>
    <row r="233" spans="1:6" ht="15" customHeight="1" x14ac:dyDescent="0.2">
      <c r="A233" s="2">
        <v>44778</v>
      </c>
      <c r="B233" s="3">
        <v>2045.4</v>
      </c>
      <c r="C233" s="3">
        <v>106472</v>
      </c>
      <c r="D233" s="4">
        <f t="shared" si="10"/>
        <v>3.231969906025907E-3</v>
      </c>
      <c r="E233" s="4">
        <f t="shared" si="11"/>
        <v>5.4623329954691493E-3</v>
      </c>
      <c r="F233" s="3">
        <f t="shared" si="9"/>
        <v>2022</v>
      </c>
    </row>
    <row r="234" spans="1:6" ht="15" customHeight="1" x14ac:dyDescent="0.2">
      <c r="A234" s="2">
        <v>44781</v>
      </c>
      <c r="B234" s="3">
        <v>2077.0900999999999</v>
      </c>
      <c r="C234" s="3">
        <v>108402</v>
      </c>
      <c r="D234" s="4">
        <f t="shared" si="10"/>
        <v>1.5374554438139768E-2</v>
      </c>
      <c r="E234" s="4">
        <f t="shared" si="11"/>
        <v>1.7964499235590157E-2</v>
      </c>
      <c r="F234" s="3">
        <f t="shared" si="9"/>
        <v>2022</v>
      </c>
    </row>
    <row r="235" spans="1:6" ht="15" customHeight="1" x14ac:dyDescent="0.2">
      <c r="A235" s="2">
        <v>44782</v>
      </c>
      <c r="B235" s="3">
        <v>2073.7600000000002</v>
      </c>
      <c r="C235" s="3">
        <v>108651</v>
      </c>
      <c r="D235" s="4">
        <f t="shared" si="10"/>
        <v>-1.6045391349870559E-3</v>
      </c>
      <c r="E235" s="4">
        <f t="shared" si="11"/>
        <v>2.2943715058616728E-3</v>
      </c>
      <c r="F235" s="3">
        <f t="shared" si="9"/>
        <v>2022</v>
      </c>
    </row>
    <row r="236" spans="1:6" ht="15" customHeight="1" x14ac:dyDescent="0.2">
      <c r="A236" s="2">
        <v>44783</v>
      </c>
      <c r="B236" s="3">
        <v>2114.5</v>
      </c>
      <c r="C236" s="3">
        <v>110236</v>
      </c>
      <c r="D236" s="4">
        <f t="shared" si="10"/>
        <v>1.9454993237478228E-2</v>
      </c>
      <c r="E236" s="4">
        <f t="shared" si="11"/>
        <v>1.4482611611097476E-2</v>
      </c>
      <c r="F236" s="3">
        <f t="shared" si="9"/>
        <v>2022</v>
      </c>
    </row>
    <row r="237" spans="1:6" ht="15" customHeight="1" x14ac:dyDescent="0.2">
      <c r="A237" s="2">
        <v>44784</v>
      </c>
      <c r="B237" s="3">
        <v>2096.7800000000002</v>
      </c>
      <c r="C237" s="3">
        <v>109718</v>
      </c>
      <c r="D237" s="4">
        <f t="shared" si="10"/>
        <v>-8.4155432929803407E-3</v>
      </c>
      <c r="E237" s="4">
        <f t="shared" si="11"/>
        <v>-4.7100844508182506E-3</v>
      </c>
      <c r="F237" s="3">
        <f t="shared" si="9"/>
        <v>2022</v>
      </c>
    </row>
    <row r="238" spans="1:6" ht="15" customHeight="1" x14ac:dyDescent="0.2">
      <c r="A238" s="2">
        <v>44785</v>
      </c>
      <c r="B238" s="3">
        <v>2150.8000000000002</v>
      </c>
      <c r="C238" s="3">
        <v>112764</v>
      </c>
      <c r="D238" s="4">
        <f t="shared" si="10"/>
        <v>2.5437031315960212E-2</v>
      </c>
      <c r="E238" s="4">
        <f t="shared" si="11"/>
        <v>2.7383701502942084E-2</v>
      </c>
      <c r="F238" s="3">
        <f t="shared" si="9"/>
        <v>2022</v>
      </c>
    </row>
    <row r="239" spans="1:6" ht="15" customHeight="1" x14ac:dyDescent="0.2">
      <c r="A239" s="2">
        <v>44788</v>
      </c>
      <c r="B239" s="3">
        <v>2163.5300000000002</v>
      </c>
      <c r="C239" s="3">
        <v>113032</v>
      </c>
      <c r="D239" s="4">
        <f t="shared" si="10"/>
        <v>5.9012810534311609E-3</v>
      </c>
      <c r="E239" s="4">
        <f t="shared" si="11"/>
        <v>2.3738252745784125E-3</v>
      </c>
      <c r="F239" s="3">
        <f t="shared" si="9"/>
        <v>2022</v>
      </c>
    </row>
    <row r="240" spans="1:6" ht="15" customHeight="1" x14ac:dyDescent="0.2">
      <c r="A240" s="2">
        <v>44789</v>
      </c>
      <c r="B240" s="3">
        <v>2171.1001000000001</v>
      </c>
      <c r="C240" s="3">
        <v>113512</v>
      </c>
      <c r="D240" s="4">
        <f t="shared" si="10"/>
        <v>3.4928506108376088E-3</v>
      </c>
      <c r="E240" s="4">
        <f t="shared" si="11"/>
        <v>4.2375937415055987E-3</v>
      </c>
      <c r="F240" s="3">
        <f t="shared" si="9"/>
        <v>2022</v>
      </c>
    </row>
    <row r="241" spans="1:6" ht="15" customHeight="1" x14ac:dyDescent="0.2">
      <c r="A241" s="2">
        <v>44790</v>
      </c>
      <c r="B241" s="3">
        <v>2181.1898999999999</v>
      </c>
      <c r="C241" s="3">
        <v>113708</v>
      </c>
      <c r="D241" s="4">
        <f t="shared" si="10"/>
        <v>4.6365559627583467E-3</v>
      </c>
      <c r="E241" s="4">
        <f t="shared" si="11"/>
        <v>1.7252006743524594E-3</v>
      </c>
      <c r="F241" s="3">
        <f t="shared" si="9"/>
        <v>2022</v>
      </c>
    </row>
    <row r="242" spans="1:6" ht="15" customHeight="1" x14ac:dyDescent="0.2">
      <c r="A242" s="2">
        <v>44791</v>
      </c>
      <c r="B242" s="3">
        <v>2179.4099000000001</v>
      </c>
      <c r="C242" s="3">
        <v>113813</v>
      </c>
      <c r="D242" s="4">
        <f t="shared" si="10"/>
        <v>-8.1640149543904734E-4</v>
      </c>
      <c r="E242" s="4">
        <f t="shared" si="11"/>
        <v>9.2299178936660242E-4</v>
      </c>
      <c r="F242" s="3">
        <f t="shared" si="9"/>
        <v>2022</v>
      </c>
    </row>
    <row r="243" spans="1:6" ht="15" customHeight="1" x14ac:dyDescent="0.2">
      <c r="A243" s="2">
        <v>44792</v>
      </c>
      <c r="B243" s="3">
        <v>2137.0300000000002</v>
      </c>
      <c r="C243" s="3">
        <v>111496</v>
      </c>
      <c r="D243" s="4">
        <f t="shared" si="10"/>
        <v>-1.9637137474951456E-2</v>
      </c>
      <c r="E243" s="4">
        <f t="shared" si="11"/>
        <v>-2.056803485152281E-2</v>
      </c>
      <c r="F243" s="3">
        <f t="shared" si="9"/>
        <v>2022</v>
      </c>
    </row>
    <row r="244" spans="1:6" ht="15" customHeight="1" x14ac:dyDescent="0.2">
      <c r="A244" s="2">
        <v>44795</v>
      </c>
      <c r="B244" s="3">
        <v>2116.7800000000002</v>
      </c>
      <c r="C244" s="3">
        <v>110501</v>
      </c>
      <c r="D244" s="4">
        <f t="shared" si="10"/>
        <v>-9.5209484998369058E-3</v>
      </c>
      <c r="E244" s="4">
        <f t="shared" si="11"/>
        <v>-8.9641451265943042E-3</v>
      </c>
      <c r="F244" s="3">
        <f t="shared" si="9"/>
        <v>2022</v>
      </c>
    </row>
    <row r="245" spans="1:6" ht="15" customHeight="1" x14ac:dyDescent="0.2">
      <c r="A245" s="2">
        <v>44796</v>
      </c>
      <c r="B245" s="3">
        <v>2142.5500000000002</v>
      </c>
      <c r="C245" s="3">
        <v>112857</v>
      </c>
      <c r="D245" s="4">
        <f t="shared" si="10"/>
        <v>1.210064233017402E-2</v>
      </c>
      <c r="E245" s="4">
        <f t="shared" si="11"/>
        <v>2.1096959891553659E-2</v>
      </c>
      <c r="F245" s="3">
        <f t="shared" si="9"/>
        <v>2022</v>
      </c>
    </row>
    <row r="246" spans="1:6" ht="15" customHeight="1" x14ac:dyDescent="0.2">
      <c r="A246" s="2">
        <v>44797</v>
      </c>
      <c r="B246" s="3">
        <v>2153.1298999999999</v>
      </c>
      <c r="C246" s="3">
        <v>112898</v>
      </c>
      <c r="D246" s="4">
        <f t="shared" si="10"/>
        <v>4.9258425389110735E-3</v>
      </c>
      <c r="E246" s="4">
        <f t="shared" si="11"/>
        <v>3.6322562468835997E-4</v>
      </c>
      <c r="F246" s="3">
        <f t="shared" si="9"/>
        <v>2022</v>
      </c>
    </row>
    <row r="247" spans="1:6" ht="15" customHeight="1" x14ac:dyDescent="0.2">
      <c r="A247" s="2">
        <v>44798</v>
      </c>
      <c r="B247" s="3">
        <v>2163.98</v>
      </c>
      <c r="C247" s="3">
        <v>113532</v>
      </c>
      <c r="D247" s="4">
        <f t="shared" si="10"/>
        <v>5.02656781807814E-3</v>
      </c>
      <c r="E247" s="4">
        <f t="shared" si="11"/>
        <v>5.5999793034512326E-3</v>
      </c>
      <c r="F247" s="3">
        <f t="shared" si="9"/>
        <v>2022</v>
      </c>
    </row>
    <row r="248" spans="1:6" ht="15" customHeight="1" x14ac:dyDescent="0.2">
      <c r="A248" s="2">
        <v>44799</v>
      </c>
      <c r="B248" s="3">
        <v>2136.73</v>
      </c>
      <c r="C248" s="3">
        <v>112299</v>
      </c>
      <c r="D248" s="4">
        <f t="shared" si="10"/>
        <v>-1.2672495786523633E-2</v>
      </c>
      <c r="E248" s="4">
        <f t="shared" si="11"/>
        <v>-1.0919778525058552E-2</v>
      </c>
      <c r="F248" s="3">
        <f t="shared" si="9"/>
        <v>2022</v>
      </c>
    </row>
    <row r="249" spans="1:6" ht="15" customHeight="1" x14ac:dyDescent="0.2">
      <c r="A249" s="2">
        <v>44802</v>
      </c>
      <c r="B249" s="3">
        <v>2141.46</v>
      </c>
      <c r="C249" s="3">
        <v>112323</v>
      </c>
      <c r="D249" s="4">
        <f t="shared" si="10"/>
        <v>2.2112163916372315E-3</v>
      </c>
      <c r="E249" s="4">
        <f t="shared" si="11"/>
        <v>2.1369233727174124E-4</v>
      </c>
      <c r="F249" s="3">
        <f t="shared" si="9"/>
        <v>2022</v>
      </c>
    </row>
    <row r="250" spans="1:6" ht="15" customHeight="1" x14ac:dyDescent="0.2">
      <c r="A250" s="2">
        <v>44803</v>
      </c>
      <c r="B250" s="3">
        <v>2118.5601000000001</v>
      </c>
      <c r="C250" s="3">
        <v>110431</v>
      </c>
      <c r="D250" s="4">
        <f t="shared" si="10"/>
        <v>-1.0751179591280691E-2</v>
      </c>
      <c r="E250" s="4">
        <f t="shared" si="11"/>
        <v>-1.6987757794204097E-2</v>
      </c>
      <c r="F250" s="3">
        <f t="shared" si="9"/>
        <v>2022</v>
      </c>
    </row>
    <row r="251" spans="1:6" ht="15" customHeight="1" x14ac:dyDescent="0.2">
      <c r="A251" s="2">
        <v>44804</v>
      </c>
      <c r="B251" s="3">
        <v>2089.29</v>
      </c>
      <c r="C251" s="3">
        <v>109523</v>
      </c>
      <c r="D251" s="4">
        <f t="shared" si="10"/>
        <v>-1.3912364468627314E-2</v>
      </c>
      <c r="E251" s="4">
        <f t="shared" si="11"/>
        <v>-8.2563186661621622E-3</v>
      </c>
      <c r="F251" s="3">
        <f t="shared" si="9"/>
        <v>2022</v>
      </c>
    </row>
    <row r="252" spans="1:6" ht="15" customHeight="1" x14ac:dyDescent="0.2">
      <c r="A252" s="2">
        <v>44805</v>
      </c>
      <c r="B252" s="3">
        <v>2107.8501000000001</v>
      </c>
      <c r="C252" s="3">
        <v>110405</v>
      </c>
      <c r="D252" s="4">
        <f t="shared" si="10"/>
        <v>8.8442227511957294E-3</v>
      </c>
      <c r="E252" s="4">
        <f t="shared" si="11"/>
        <v>8.0208498103584748E-3</v>
      </c>
      <c r="F252" s="3">
        <f t="shared" si="9"/>
        <v>2022</v>
      </c>
    </row>
    <row r="253" spans="1:6" ht="15" customHeight="1" x14ac:dyDescent="0.2">
      <c r="A253" s="2">
        <v>44806</v>
      </c>
      <c r="B253" s="3">
        <v>2128.8501000000001</v>
      </c>
      <c r="C253" s="3">
        <v>110864</v>
      </c>
      <c r="D253" s="4">
        <f t="shared" si="10"/>
        <v>9.9134566962325692E-3</v>
      </c>
      <c r="E253" s="4">
        <f t="shared" si="11"/>
        <v>4.1488022125126455E-3</v>
      </c>
      <c r="F253" s="3">
        <f t="shared" si="9"/>
        <v>2022</v>
      </c>
    </row>
    <row r="254" spans="1:6" ht="15" customHeight="1" x14ac:dyDescent="0.2">
      <c r="A254" s="2">
        <v>44809</v>
      </c>
      <c r="B254" s="3">
        <v>2147.0500000000002</v>
      </c>
      <c r="C254" s="3">
        <v>112203</v>
      </c>
      <c r="D254" s="4">
        <f t="shared" si="10"/>
        <v>8.5128321447618706E-3</v>
      </c>
      <c r="E254" s="4">
        <f t="shared" si="11"/>
        <v>1.2005505814031875E-2</v>
      </c>
      <c r="F254" s="3">
        <f t="shared" si="9"/>
        <v>2022</v>
      </c>
    </row>
    <row r="255" spans="1:6" ht="15" customHeight="1" x14ac:dyDescent="0.2">
      <c r="A255" s="2">
        <v>44810</v>
      </c>
      <c r="B255" s="3">
        <v>2102.5900999999999</v>
      </c>
      <c r="C255" s="3">
        <v>109764</v>
      </c>
      <c r="D255" s="4">
        <f t="shared" si="10"/>
        <v>-2.0924841242432841E-2</v>
      </c>
      <c r="E255" s="4">
        <f t="shared" si="11"/>
        <v>-2.1977124236829522E-2</v>
      </c>
      <c r="F255" s="3">
        <f t="shared" si="9"/>
        <v>2022</v>
      </c>
    </row>
    <row r="256" spans="1:6" ht="15" customHeight="1" x14ac:dyDescent="0.2">
      <c r="A256" s="2">
        <v>44812</v>
      </c>
      <c r="B256" s="3">
        <v>2103.6201000000001</v>
      </c>
      <c r="C256" s="3">
        <v>109916</v>
      </c>
      <c r="D256" s="4">
        <f t="shared" si="10"/>
        <v>4.8975204357968477E-4</v>
      </c>
      <c r="E256" s="4">
        <f t="shared" si="11"/>
        <v>1.3838312477834388E-3</v>
      </c>
      <c r="F256" s="3">
        <f t="shared" si="9"/>
        <v>2022</v>
      </c>
    </row>
    <row r="257" spans="1:6" ht="15" customHeight="1" x14ac:dyDescent="0.2">
      <c r="A257" s="2">
        <v>44813</v>
      </c>
      <c r="B257" s="3">
        <v>2130.3101000000001</v>
      </c>
      <c r="C257" s="3">
        <v>112300</v>
      </c>
      <c r="D257" s="4">
        <f t="shared" si="10"/>
        <v>1.2607838243165071E-2</v>
      </c>
      <c r="E257" s="4">
        <f t="shared" si="11"/>
        <v>2.1457424034386406E-2</v>
      </c>
      <c r="F257" s="3">
        <f t="shared" si="9"/>
        <v>2022</v>
      </c>
    </row>
    <row r="258" spans="1:6" ht="15" customHeight="1" x14ac:dyDescent="0.2">
      <c r="A258" s="2">
        <v>44816</v>
      </c>
      <c r="B258" s="3">
        <v>2158.8600999999999</v>
      </c>
      <c r="C258" s="3">
        <v>113407</v>
      </c>
      <c r="D258" s="4">
        <f t="shared" si="10"/>
        <v>1.3312794936266924E-2</v>
      </c>
      <c r="E258" s="4">
        <f t="shared" si="11"/>
        <v>9.8092560391969293E-3</v>
      </c>
      <c r="F258" s="3">
        <f t="shared" ref="F258:F321" si="12">YEAR(A258)</f>
        <v>2022</v>
      </c>
    </row>
    <row r="259" spans="1:6" ht="15" customHeight="1" x14ac:dyDescent="0.2">
      <c r="A259" s="2">
        <v>44817</v>
      </c>
      <c r="B259" s="3">
        <v>2112.4099000000001</v>
      </c>
      <c r="C259" s="3">
        <v>110794</v>
      </c>
      <c r="D259" s="4">
        <f t="shared" ref="D259:D322" si="13">LN(B259/B258)</f>
        <v>-2.1750922463280316E-2</v>
      </c>
      <c r="E259" s="4">
        <f t="shared" ref="E259:E322" si="14">LN(C259/C258)</f>
        <v>-2.3310496561211938E-2</v>
      </c>
      <c r="F259" s="3">
        <f t="shared" si="12"/>
        <v>2022</v>
      </c>
    </row>
    <row r="260" spans="1:6" ht="15" customHeight="1" x14ac:dyDescent="0.2">
      <c r="A260" s="2">
        <v>44818</v>
      </c>
      <c r="B260" s="3">
        <v>2107.4398999999999</v>
      </c>
      <c r="C260" s="3">
        <v>110547</v>
      </c>
      <c r="D260" s="4">
        <f t="shared" si="13"/>
        <v>-2.3555351652671426E-3</v>
      </c>
      <c r="E260" s="4">
        <f t="shared" si="14"/>
        <v>-2.2318513292057989E-3</v>
      </c>
      <c r="F260" s="3">
        <f t="shared" si="12"/>
        <v>2022</v>
      </c>
    </row>
    <row r="261" spans="1:6" ht="15" customHeight="1" x14ac:dyDescent="0.2">
      <c r="A261" s="2">
        <v>44819</v>
      </c>
      <c r="B261" s="3">
        <v>2087.8101000000001</v>
      </c>
      <c r="C261" s="3">
        <v>109954</v>
      </c>
      <c r="D261" s="4">
        <f t="shared" si="13"/>
        <v>-9.358175678290722E-3</v>
      </c>
      <c r="E261" s="4">
        <f t="shared" si="14"/>
        <v>-5.3786733813430947E-3</v>
      </c>
      <c r="F261" s="3">
        <f t="shared" si="12"/>
        <v>2022</v>
      </c>
    </row>
    <row r="262" spans="1:6" ht="15" customHeight="1" x14ac:dyDescent="0.2">
      <c r="A262" s="2">
        <v>44820</v>
      </c>
      <c r="B262" s="3">
        <v>2074.75</v>
      </c>
      <c r="C262" s="3">
        <v>109280</v>
      </c>
      <c r="D262" s="4">
        <f t="shared" si="13"/>
        <v>-6.2750531120647733E-3</v>
      </c>
      <c r="E262" s="4">
        <f t="shared" si="14"/>
        <v>-6.1487006893536748E-3</v>
      </c>
      <c r="F262" s="3">
        <f t="shared" si="12"/>
        <v>2022</v>
      </c>
    </row>
    <row r="263" spans="1:6" ht="15" customHeight="1" x14ac:dyDescent="0.2">
      <c r="A263" s="2">
        <v>44823</v>
      </c>
      <c r="B263" s="3">
        <v>2117.3301000000001</v>
      </c>
      <c r="C263" s="3">
        <v>111824</v>
      </c>
      <c r="D263" s="4">
        <f t="shared" si="13"/>
        <v>2.0315243701053008E-2</v>
      </c>
      <c r="E263" s="4">
        <f t="shared" si="14"/>
        <v>2.3012810912293284E-2</v>
      </c>
      <c r="F263" s="3">
        <f t="shared" si="12"/>
        <v>2022</v>
      </c>
    </row>
    <row r="264" spans="1:6" ht="15" customHeight="1" x14ac:dyDescent="0.2">
      <c r="A264" s="2">
        <v>44824</v>
      </c>
      <c r="B264" s="3">
        <v>2139.6999999999998</v>
      </c>
      <c r="C264" s="3">
        <v>112517</v>
      </c>
      <c r="D264" s="4">
        <f t="shared" si="13"/>
        <v>1.0509724093294703E-2</v>
      </c>
      <c r="E264" s="4">
        <f t="shared" si="14"/>
        <v>6.1781146046789373E-3</v>
      </c>
      <c r="F264" s="3">
        <f t="shared" si="12"/>
        <v>2022</v>
      </c>
    </row>
    <row r="265" spans="1:6" ht="15" customHeight="1" x14ac:dyDescent="0.2">
      <c r="A265" s="2">
        <v>44825</v>
      </c>
      <c r="B265" s="3">
        <v>2127.2199999999998</v>
      </c>
      <c r="C265" s="3">
        <v>111936</v>
      </c>
      <c r="D265" s="4">
        <f t="shared" si="13"/>
        <v>-5.8496693574552469E-3</v>
      </c>
      <c r="E265" s="4">
        <f t="shared" si="14"/>
        <v>-5.1770419433151554E-3</v>
      </c>
      <c r="F265" s="3">
        <f t="shared" si="12"/>
        <v>2022</v>
      </c>
    </row>
    <row r="266" spans="1:6" ht="15" customHeight="1" x14ac:dyDescent="0.2">
      <c r="A266" s="2">
        <v>44826</v>
      </c>
      <c r="B266" s="3">
        <v>2163.8899000000001</v>
      </c>
      <c r="C266" s="3">
        <v>114070</v>
      </c>
      <c r="D266" s="4">
        <f t="shared" si="13"/>
        <v>1.7091518752895968E-2</v>
      </c>
      <c r="E266" s="4">
        <f t="shared" si="14"/>
        <v>1.8885015643669619E-2</v>
      </c>
      <c r="F266" s="3">
        <f t="shared" si="12"/>
        <v>2022</v>
      </c>
    </row>
    <row r="267" spans="1:6" ht="15" customHeight="1" x14ac:dyDescent="0.2">
      <c r="A267" s="2">
        <v>44827</v>
      </c>
      <c r="B267" s="3">
        <v>2126.8701000000001</v>
      </c>
      <c r="C267" s="3">
        <v>111716</v>
      </c>
      <c r="D267" s="4">
        <f t="shared" si="13"/>
        <v>-1.7256019265373981E-2</v>
      </c>
      <c r="E267" s="4">
        <f t="shared" si="14"/>
        <v>-2.0852358399003977E-2</v>
      </c>
      <c r="F267" s="3">
        <f t="shared" si="12"/>
        <v>2022</v>
      </c>
    </row>
    <row r="268" spans="1:6" ht="15" customHeight="1" x14ac:dyDescent="0.2">
      <c r="A268" s="2">
        <v>44830</v>
      </c>
      <c r="B268" s="3">
        <v>2067.9299000000001</v>
      </c>
      <c r="C268" s="3">
        <v>109114</v>
      </c>
      <c r="D268" s="4">
        <f t="shared" si="13"/>
        <v>-2.8103403834678031E-2</v>
      </c>
      <c r="E268" s="4">
        <f t="shared" si="14"/>
        <v>-2.3566729394643063E-2</v>
      </c>
      <c r="F268" s="3">
        <f t="shared" si="12"/>
        <v>2022</v>
      </c>
    </row>
    <row r="269" spans="1:6" ht="15" customHeight="1" x14ac:dyDescent="0.2">
      <c r="A269" s="2">
        <v>44831</v>
      </c>
      <c r="B269" s="3">
        <v>2048.8301000000001</v>
      </c>
      <c r="C269" s="3">
        <v>108376</v>
      </c>
      <c r="D269" s="4">
        <f t="shared" si="13"/>
        <v>-9.2791112641503574E-3</v>
      </c>
      <c r="E269" s="4">
        <f t="shared" si="14"/>
        <v>-6.7865449677241788E-3</v>
      </c>
      <c r="F269" s="3">
        <f t="shared" si="12"/>
        <v>2022</v>
      </c>
    </row>
    <row r="270" spans="1:6" ht="15" customHeight="1" x14ac:dyDescent="0.2">
      <c r="A270" s="2">
        <v>44832</v>
      </c>
      <c r="B270" s="3">
        <v>2048.6100999999999</v>
      </c>
      <c r="C270" s="3">
        <v>108451</v>
      </c>
      <c r="D270" s="4">
        <f t="shared" si="13"/>
        <v>-1.0738411763110793E-4</v>
      </c>
      <c r="E270" s="4">
        <f t="shared" si="14"/>
        <v>6.9179579103272168E-4</v>
      </c>
      <c r="F270" s="3">
        <f t="shared" si="12"/>
        <v>2022</v>
      </c>
    </row>
    <row r="271" spans="1:6" ht="15" customHeight="1" x14ac:dyDescent="0.2">
      <c r="A271" s="2">
        <v>44833</v>
      </c>
      <c r="B271" s="3">
        <v>2028.53</v>
      </c>
      <c r="C271" s="3">
        <v>107664</v>
      </c>
      <c r="D271" s="4">
        <f t="shared" si="13"/>
        <v>-9.8501703962276827E-3</v>
      </c>
      <c r="E271" s="4">
        <f t="shared" si="14"/>
        <v>-7.2831916235058915E-3</v>
      </c>
      <c r="F271" s="3">
        <f t="shared" si="12"/>
        <v>2022</v>
      </c>
    </row>
    <row r="272" spans="1:6" ht="15" customHeight="1" x14ac:dyDescent="0.2">
      <c r="A272" s="2">
        <v>44834</v>
      </c>
      <c r="B272" s="3">
        <v>2061.29</v>
      </c>
      <c r="C272" s="3">
        <v>110037</v>
      </c>
      <c r="D272" s="4">
        <f t="shared" si="13"/>
        <v>1.6020607595660343E-2</v>
      </c>
      <c r="E272" s="4">
        <f t="shared" si="14"/>
        <v>2.1801406425251878E-2</v>
      </c>
      <c r="F272" s="3">
        <f t="shared" si="12"/>
        <v>2022</v>
      </c>
    </row>
    <row r="273" spans="1:6" ht="15" customHeight="1" x14ac:dyDescent="0.2">
      <c r="A273" s="2">
        <v>44837</v>
      </c>
      <c r="B273" s="3">
        <v>2181.4899999999998</v>
      </c>
      <c r="C273" s="3">
        <v>116134</v>
      </c>
      <c r="D273" s="4">
        <f t="shared" si="13"/>
        <v>5.6676129165379091E-2</v>
      </c>
      <c r="E273" s="4">
        <f t="shared" si="14"/>
        <v>5.3928023950675689E-2</v>
      </c>
      <c r="F273" s="3">
        <f t="shared" si="12"/>
        <v>2022</v>
      </c>
    </row>
    <row r="274" spans="1:6" ht="15" customHeight="1" x14ac:dyDescent="0.2">
      <c r="A274" s="2">
        <v>44838</v>
      </c>
      <c r="B274" s="3">
        <v>2172.9398999999999</v>
      </c>
      <c r="C274" s="3">
        <v>116230</v>
      </c>
      <c r="D274" s="4">
        <f t="shared" si="13"/>
        <v>-3.9270862935721611E-3</v>
      </c>
      <c r="E274" s="4">
        <f t="shared" si="14"/>
        <v>8.2628983372666184E-4</v>
      </c>
      <c r="F274" s="3">
        <f t="shared" si="12"/>
        <v>2022</v>
      </c>
    </row>
    <row r="275" spans="1:6" ht="15" customHeight="1" x14ac:dyDescent="0.2">
      <c r="A275" s="2">
        <v>44839</v>
      </c>
      <c r="B275" s="3">
        <v>2177.98</v>
      </c>
      <c r="C275" s="3">
        <v>117198</v>
      </c>
      <c r="D275" s="4">
        <f t="shared" si="13"/>
        <v>2.3167984565369911E-3</v>
      </c>
      <c r="E275" s="4">
        <f t="shared" si="14"/>
        <v>8.2938254952731657E-3</v>
      </c>
      <c r="F275" s="3">
        <f t="shared" si="12"/>
        <v>2022</v>
      </c>
    </row>
    <row r="276" spans="1:6" ht="15" customHeight="1" x14ac:dyDescent="0.2">
      <c r="A276" s="2">
        <v>44840</v>
      </c>
      <c r="B276" s="3">
        <v>2191.4299000000001</v>
      </c>
      <c r="C276" s="3">
        <v>117561</v>
      </c>
      <c r="D276" s="4">
        <f t="shared" si="13"/>
        <v>6.1564114096099741E-3</v>
      </c>
      <c r="E276" s="4">
        <f t="shared" si="14"/>
        <v>3.0925356583066158E-3</v>
      </c>
      <c r="F276" s="3">
        <f t="shared" si="12"/>
        <v>2022</v>
      </c>
    </row>
    <row r="277" spans="1:6" ht="15" customHeight="1" x14ac:dyDescent="0.2">
      <c r="A277" s="2">
        <v>44841</v>
      </c>
      <c r="B277" s="3">
        <v>2162.6001000000001</v>
      </c>
      <c r="C277" s="3">
        <v>116375</v>
      </c>
      <c r="D277" s="4">
        <f t="shared" si="13"/>
        <v>-1.3243005371826749E-2</v>
      </c>
      <c r="E277" s="4">
        <f t="shared" si="14"/>
        <v>-1.0139612211965188E-2</v>
      </c>
      <c r="F277" s="3">
        <f t="shared" si="12"/>
        <v>2022</v>
      </c>
    </row>
    <row r="278" spans="1:6" ht="15" customHeight="1" x14ac:dyDescent="0.2">
      <c r="A278" s="2">
        <v>44844</v>
      </c>
      <c r="B278" s="3">
        <v>2161.73</v>
      </c>
      <c r="C278" s="3">
        <v>115941</v>
      </c>
      <c r="D278" s="4">
        <f t="shared" si="13"/>
        <v>-4.0242071794767469E-4</v>
      </c>
      <c r="E278" s="4">
        <f t="shared" si="14"/>
        <v>-3.7362945719006061E-3</v>
      </c>
      <c r="F278" s="3">
        <f t="shared" si="12"/>
        <v>2022</v>
      </c>
    </row>
    <row r="279" spans="1:6" ht="15" customHeight="1" x14ac:dyDescent="0.2">
      <c r="A279" s="2">
        <v>44845</v>
      </c>
      <c r="B279" s="3">
        <v>2137.5500000000002</v>
      </c>
      <c r="C279" s="3">
        <v>114827</v>
      </c>
      <c r="D279" s="4">
        <f t="shared" si="13"/>
        <v>-1.1248513683927725E-2</v>
      </c>
      <c r="E279" s="4">
        <f t="shared" si="14"/>
        <v>-9.6547931554512422E-3</v>
      </c>
      <c r="F279" s="3">
        <f t="shared" si="12"/>
        <v>2022</v>
      </c>
    </row>
    <row r="280" spans="1:6" ht="15" customHeight="1" x14ac:dyDescent="0.2">
      <c r="A280" s="2">
        <v>44847</v>
      </c>
      <c r="B280" s="3">
        <v>2124.3600999999999</v>
      </c>
      <c r="C280" s="3">
        <v>114300</v>
      </c>
      <c r="D280" s="4">
        <f t="shared" si="13"/>
        <v>-6.1896857520096311E-3</v>
      </c>
      <c r="E280" s="4">
        <f t="shared" si="14"/>
        <v>-4.6000770691143125E-3</v>
      </c>
      <c r="F280" s="3">
        <f t="shared" si="12"/>
        <v>2022</v>
      </c>
    </row>
    <row r="281" spans="1:6" ht="15" customHeight="1" x14ac:dyDescent="0.2">
      <c r="A281" s="2">
        <v>44848</v>
      </c>
      <c r="B281" s="3">
        <v>2088.54</v>
      </c>
      <c r="C281" s="3">
        <v>112072</v>
      </c>
      <c r="D281" s="4">
        <f t="shared" si="13"/>
        <v>-1.7005370342568306E-2</v>
      </c>
      <c r="E281" s="4">
        <f t="shared" si="14"/>
        <v>-1.9685048906952152E-2</v>
      </c>
      <c r="F281" s="3">
        <f t="shared" si="12"/>
        <v>2022</v>
      </c>
    </row>
    <row r="282" spans="1:6" ht="15" customHeight="1" x14ac:dyDescent="0.2">
      <c r="A282" s="2">
        <v>44851</v>
      </c>
      <c r="B282" s="3">
        <v>2121.3899000000001</v>
      </c>
      <c r="C282" s="3">
        <v>113624</v>
      </c>
      <c r="D282" s="4">
        <f t="shared" si="13"/>
        <v>1.5606229797535245E-2</v>
      </c>
      <c r="E282" s="4">
        <f t="shared" si="14"/>
        <v>1.3753229685014192E-2</v>
      </c>
      <c r="F282" s="3">
        <f t="shared" si="12"/>
        <v>2022</v>
      </c>
    </row>
    <row r="283" spans="1:6" ht="15" customHeight="1" x14ac:dyDescent="0.2">
      <c r="A283" s="2">
        <v>44852</v>
      </c>
      <c r="B283" s="3">
        <v>2162.5</v>
      </c>
      <c r="C283" s="3">
        <v>115743</v>
      </c>
      <c r="D283" s="4">
        <f t="shared" si="13"/>
        <v>1.9193472752880344E-2</v>
      </c>
      <c r="E283" s="4">
        <f t="shared" si="14"/>
        <v>1.8477464396833121E-2</v>
      </c>
      <c r="F283" s="3">
        <f t="shared" si="12"/>
        <v>2022</v>
      </c>
    </row>
    <row r="284" spans="1:6" ht="15" customHeight="1" x14ac:dyDescent="0.2">
      <c r="A284" s="2">
        <v>44853</v>
      </c>
      <c r="B284" s="3">
        <v>2172.9198999999999</v>
      </c>
      <c r="C284" s="3">
        <v>116274</v>
      </c>
      <c r="D284" s="4">
        <f t="shared" si="13"/>
        <v>4.806879289171651E-3</v>
      </c>
      <c r="E284" s="4">
        <f t="shared" si="14"/>
        <v>4.5772587965072636E-3</v>
      </c>
      <c r="F284" s="3">
        <f t="shared" si="12"/>
        <v>2022</v>
      </c>
    </row>
    <row r="285" spans="1:6" ht="15" customHeight="1" x14ac:dyDescent="0.2">
      <c r="A285" s="2">
        <v>44854</v>
      </c>
      <c r="B285" s="3">
        <v>2185.6599000000001</v>
      </c>
      <c r="C285" s="3">
        <v>117171</v>
      </c>
      <c r="D285" s="4">
        <f t="shared" si="13"/>
        <v>5.8459575674954505E-3</v>
      </c>
      <c r="E285" s="4">
        <f t="shared" si="14"/>
        <v>7.6849314793119581E-3</v>
      </c>
      <c r="F285" s="3">
        <f t="shared" si="12"/>
        <v>2022</v>
      </c>
    </row>
    <row r="286" spans="1:6" ht="15" customHeight="1" x14ac:dyDescent="0.2">
      <c r="A286" s="2">
        <v>44855</v>
      </c>
      <c r="B286" s="3">
        <v>2234.54</v>
      </c>
      <c r="C286" s="3">
        <v>119929</v>
      </c>
      <c r="D286" s="4">
        <f t="shared" si="13"/>
        <v>2.2117593647024109E-2</v>
      </c>
      <c r="E286" s="4">
        <f t="shared" si="14"/>
        <v>2.3265494760105525E-2</v>
      </c>
      <c r="F286" s="3">
        <f t="shared" si="12"/>
        <v>2022</v>
      </c>
    </row>
    <row r="287" spans="1:6" ht="15" customHeight="1" x14ac:dyDescent="0.2">
      <c r="A287" s="2">
        <v>44858</v>
      </c>
      <c r="B287" s="3">
        <v>2173.1898999999999</v>
      </c>
      <c r="C287" s="3">
        <v>116013</v>
      </c>
      <c r="D287" s="4">
        <f t="shared" si="13"/>
        <v>-2.7839302167545498E-2</v>
      </c>
      <c r="E287" s="4">
        <f t="shared" si="14"/>
        <v>-3.3197647218960513E-2</v>
      </c>
      <c r="F287" s="3">
        <f t="shared" si="12"/>
        <v>2022</v>
      </c>
    </row>
    <row r="288" spans="1:6" ht="15" customHeight="1" x14ac:dyDescent="0.2">
      <c r="A288" s="2">
        <v>44859</v>
      </c>
      <c r="B288" s="3">
        <v>2144.73</v>
      </c>
      <c r="C288" s="3">
        <v>114626</v>
      </c>
      <c r="D288" s="4">
        <f t="shared" si="13"/>
        <v>-1.3182417828749545E-2</v>
      </c>
      <c r="E288" s="4">
        <f t="shared" si="14"/>
        <v>-1.2027599153723175E-2</v>
      </c>
      <c r="F288" s="3">
        <f t="shared" si="12"/>
        <v>2022</v>
      </c>
    </row>
    <row r="289" spans="1:6" ht="15" customHeight="1" x14ac:dyDescent="0.2">
      <c r="A289" s="2">
        <v>44860</v>
      </c>
      <c r="B289" s="3">
        <v>2092.3501000000001</v>
      </c>
      <c r="C289" s="3">
        <v>112764</v>
      </c>
      <c r="D289" s="4">
        <f t="shared" si="13"/>
        <v>-2.4725786313926489E-2</v>
      </c>
      <c r="E289" s="4">
        <f t="shared" si="14"/>
        <v>-1.6377515449973047E-2</v>
      </c>
      <c r="F289" s="3">
        <f t="shared" si="12"/>
        <v>2022</v>
      </c>
    </row>
    <row r="290" spans="1:6" ht="15" customHeight="1" x14ac:dyDescent="0.2">
      <c r="A290" s="2">
        <v>44861</v>
      </c>
      <c r="B290" s="3">
        <v>2151.6201000000001</v>
      </c>
      <c r="C290" s="3">
        <v>114641</v>
      </c>
      <c r="D290" s="4">
        <f t="shared" si="13"/>
        <v>2.7933209241057105E-2</v>
      </c>
      <c r="E290" s="4">
        <f t="shared" si="14"/>
        <v>1.6508367251771076E-2</v>
      </c>
      <c r="F290" s="3">
        <f t="shared" si="12"/>
        <v>2022</v>
      </c>
    </row>
    <row r="291" spans="1:6" ht="15" customHeight="1" x14ac:dyDescent="0.2">
      <c r="A291" s="2">
        <v>44862</v>
      </c>
      <c r="B291" s="3">
        <v>2171.7399999999998</v>
      </c>
      <c r="C291" s="3">
        <v>114539</v>
      </c>
      <c r="D291" s="4">
        <f t="shared" si="13"/>
        <v>9.307596307308803E-3</v>
      </c>
      <c r="E291" s="4">
        <f t="shared" si="14"/>
        <v>-8.9013008757144775E-4</v>
      </c>
      <c r="F291" s="3">
        <f t="shared" si="12"/>
        <v>2022</v>
      </c>
    </row>
    <row r="292" spans="1:6" ht="15" customHeight="1" x14ac:dyDescent="0.2">
      <c r="A292" s="2">
        <v>44865</v>
      </c>
      <c r="B292" s="3">
        <v>2219.0500000000002</v>
      </c>
      <c r="C292" s="3">
        <v>116037</v>
      </c>
      <c r="D292" s="4">
        <f t="shared" si="13"/>
        <v>2.1550486803242064E-2</v>
      </c>
      <c r="E292" s="4">
        <f t="shared" si="14"/>
        <v>1.2993729411792092E-2</v>
      </c>
      <c r="F292" s="3">
        <f t="shared" si="12"/>
        <v>2022</v>
      </c>
    </row>
    <row r="293" spans="1:6" ht="15" customHeight="1" x14ac:dyDescent="0.2">
      <c r="A293" s="2">
        <v>44866</v>
      </c>
      <c r="B293" s="3">
        <v>2230.3200999999999</v>
      </c>
      <c r="C293" s="3">
        <v>116929</v>
      </c>
      <c r="D293" s="4">
        <f t="shared" si="13"/>
        <v>5.0659414026958645E-3</v>
      </c>
      <c r="E293" s="4">
        <f t="shared" si="14"/>
        <v>7.6578072255343984E-3</v>
      </c>
      <c r="F293" s="3">
        <f t="shared" si="12"/>
        <v>2022</v>
      </c>
    </row>
    <row r="294" spans="1:6" ht="15" customHeight="1" x14ac:dyDescent="0.2">
      <c r="A294" s="2">
        <v>44868</v>
      </c>
      <c r="B294" s="3">
        <v>2244.6898999999999</v>
      </c>
      <c r="C294" s="3">
        <v>116896</v>
      </c>
      <c r="D294" s="4">
        <f t="shared" si="13"/>
        <v>6.4222647058870498E-3</v>
      </c>
      <c r="E294" s="4">
        <f t="shared" si="14"/>
        <v>-2.822623775823929E-4</v>
      </c>
      <c r="F294" s="3">
        <f t="shared" si="12"/>
        <v>2022</v>
      </c>
    </row>
    <row r="295" spans="1:6" ht="15" customHeight="1" x14ac:dyDescent="0.2">
      <c r="A295" s="2">
        <v>44869</v>
      </c>
      <c r="B295" s="3">
        <v>2257.0300000000002</v>
      </c>
      <c r="C295" s="3">
        <v>118155</v>
      </c>
      <c r="D295" s="4">
        <f t="shared" si="13"/>
        <v>5.4824072500084392E-3</v>
      </c>
      <c r="E295" s="4">
        <f t="shared" si="14"/>
        <v>1.0712671210525302E-2</v>
      </c>
      <c r="F295" s="3">
        <f t="shared" si="12"/>
        <v>2022</v>
      </c>
    </row>
    <row r="296" spans="1:6" ht="15" customHeight="1" x14ac:dyDescent="0.2">
      <c r="A296" s="2">
        <v>44872</v>
      </c>
      <c r="B296" s="3">
        <v>2196.8400999999999</v>
      </c>
      <c r="C296" s="3">
        <v>115342</v>
      </c>
      <c r="D296" s="4">
        <f t="shared" si="13"/>
        <v>-2.7029780038852116E-2</v>
      </c>
      <c r="E296" s="4">
        <f t="shared" si="14"/>
        <v>-2.4095693748319456E-2</v>
      </c>
      <c r="F296" s="3">
        <f t="shared" si="12"/>
        <v>2022</v>
      </c>
    </row>
    <row r="297" spans="1:6" ht="15" customHeight="1" x14ac:dyDescent="0.2">
      <c r="A297" s="2">
        <v>44873</v>
      </c>
      <c r="B297" s="3">
        <v>2200.5100000000002</v>
      </c>
      <c r="C297" s="3">
        <v>116160</v>
      </c>
      <c r="D297" s="4">
        <f t="shared" si="13"/>
        <v>1.669141991691489E-3</v>
      </c>
      <c r="E297" s="4">
        <f t="shared" si="14"/>
        <v>7.0669230014080578E-3</v>
      </c>
      <c r="F297" s="3">
        <f t="shared" si="12"/>
        <v>2022</v>
      </c>
    </row>
    <row r="298" spans="1:6" ht="15" customHeight="1" x14ac:dyDescent="0.2">
      <c r="A298" s="2">
        <v>44874</v>
      </c>
      <c r="B298" s="3">
        <v>2138.1799000000001</v>
      </c>
      <c r="C298" s="3">
        <v>113580</v>
      </c>
      <c r="D298" s="4">
        <f t="shared" si="13"/>
        <v>-2.8734198557595955E-2</v>
      </c>
      <c r="E298" s="4">
        <f t="shared" si="14"/>
        <v>-2.2461116627199473E-2</v>
      </c>
      <c r="F298" s="3">
        <f t="shared" si="12"/>
        <v>2022</v>
      </c>
    </row>
    <row r="299" spans="1:6" ht="15" customHeight="1" x14ac:dyDescent="0.2">
      <c r="A299" s="2">
        <v>44875</v>
      </c>
      <c r="B299" s="3">
        <v>2041.76</v>
      </c>
      <c r="C299" s="3">
        <v>109775</v>
      </c>
      <c r="D299" s="4">
        <f t="shared" si="13"/>
        <v>-4.6142772119280591E-2</v>
      </c>
      <c r="E299" s="4">
        <f t="shared" si="14"/>
        <v>-3.4074618001505283E-2</v>
      </c>
      <c r="F299" s="3">
        <f t="shared" si="12"/>
        <v>2022</v>
      </c>
    </row>
    <row r="300" spans="1:6" ht="15" customHeight="1" x14ac:dyDescent="0.2">
      <c r="A300" s="2">
        <v>44876</v>
      </c>
      <c r="B300" s="3">
        <v>2051.1698999999999</v>
      </c>
      <c r="C300" s="3">
        <v>112253</v>
      </c>
      <c r="D300" s="4">
        <f t="shared" si="13"/>
        <v>4.5981322960419752E-3</v>
      </c>
      <c r="E300" s="4">
        <f t="shared" si="14"/>
        <v>2.2322435875354176E-2</v>
      </c>
      <c r="F300" s="3">
        <f t="shared" si="12"/>
        <v>2022</v>
      </c>
    </row>
    <row r="301" spans="1:6" ht="15" customHeight="1" x14ac:dyDescent="0.2">
      <c r="A301" s="2">
        <v>44879</v>
      </c>
      <c r="B301" s="3">
        <v>2057.2399999999998</v>
      </c>
      <c r="C301" s="3">
        <v>113161</v>
      </c>
      <c r="D301" s="4">
        <f t="shared" si="13"/>
        <v>2.9549653343584523E-3</v>
      </c>
      <c r="E301" s="4">
        <f t="shared" si="14"/>
        <v>8.0563311160766638E-3</v>
      </c>
      <c r="F301" s="3">
        <f t="shared" si="12"/>
        <v>2022</v>
      </c>
    </row>
    <row r="302" spans="1:6" ht="15" customHeight="1" x14ac:dyDescent="0.2">
      <c r="A302" s="2">
        <v>44881</v>
      </c>
      <c r="B302" s="3">
        <v>2000.14</v>
      </c>
      <c r="C302" s="3">
        <v>110243</v>
      </c>
      <c r="D302" s="4">
        <f t="shared" si="13"/>
        <v>-2.8148100523869988E-2</v>
      </c>
      <c r="E302" s="4">
        <f t="shared" si="14"/>
        <v>-2.6124563191455251E-2</v>
      </c>
      <c r="F302" s="3">
        <f t="shared" si="12"/>
        <v>2022</v>
      </c>
    </row>
    <row r="303" spans="1:6" ht="15" customHeight="1" x14ac:dyDescent="0.2">
      <c r="A303" s="2">
        <v>44882</v>
      </c>
      <c r="B303" s="3">
        <v>1986.39</v>
      </c>
      <c r="C303" s="3">
        <v>109703</v>
      </c>
      <c r="D303" s="4">
        <f t="shared" si="13"/>
        <v>-6.8982571436945785E-3</v>
      </c>
      <c r="E303" s="4">
        <f t="shared" si="14"/>
        <v>-4.9103060296554653E-3</v>
      </c>
      <c r="F303" s="3">
        <f t="shared" si="12"/>
        <v>2022</v>
      </c>
    </row>
    <row r="304" spans="1:6" ht="15" customHeight="1" x14ac:dyDescent="0.2">
      <c r="A304" s="2">
        <v>44883</v>
      </c>
      <c r="B304" s="3">
        <v>1982.9</v>
      </c>
      <c r="C304" s="3">
        <v>108870</v>
      </c>
      <c r="D304" s="4">
        <f t="shared" si="13"/>
        <v>-1.7585013437424063E-3</v>
      </c>
      <c r="E304" s="4">
        <f t="shared" si="14"/>
        <v>-7.6222043250128131E-3</v>
      </c>
      <c r="F304" s="3">
        <f t="shared" si="12"/>
        <v>2022</v>
      </c>
    </row>
    <row r="305" spans="1:6" ht="15" customHeight="1" x14ac:dyDescent="0.2">
      <c r="A305" s="2">
        <v>44886</v>
      </c>
      <c r="B305" s="3">
        <v>2011.9301</v>
      </c>
      <c r="C305" s="3">
        <v>109748</v>
      </c>
      <c r="D305" s="4">
        <f t="shared" si="13"/>
        <v>1.4534090460672677E-2</v>
      </c>
      <c r="E305" s="4">
        <f t="shared" si="14"/>
        <v>8.0323186615228713E-3</v>
      </c>
      <c r="F305" s="3">
        <f t="shared" si="12"/>
        <v>2022</v>
      </c>
    </row>
    <row r="306" spans="1:6" ht="15" customHeight="1" x14ac:dyDescent="0.2">
      <c r="A306" s="2">
        <v>44887</v>
      </c>
      <c r="B306" s="3">
        <v>1993.4</v>
      </c>
      <c r="C306" s="3">
        <v>109037</v>
      </c>
      <c r="D306" s="4">
        <f t="shared" si="13"/>
        <v>-9.2527865320764409E-3</v>
      </c>
      <c r="E306" s="4">
        <f t="shared" si="14"/>
        <v>-6.4995543841443789E-3</v>
      </c>
      <c r="F306" s="3">
        <f t="shared" si="12"/>
        <v>2022</v>
      </c>
    </row>
    <row r="307" spans="1:6" ht="15" customHeight="1" x14ac:dyDescent="0.2">
      <c r="A307" s="2">
        <v>44888</v>
      </c>
      <c r="B307" s="3">
        <v>1982.62</v>
      </c>
      <c r="C307" s="3">
        <v>108841</v>
      </c>
      <c r="D307" s="4">
        <f t="shared" si="13"/>
        <v>-5.4225212218971417E-3</v>
      </c>
      <c r="E307" s="4">
        <f t="shared" si="14"/>
        <v>-1.7991724990256087E-3</v>
      </c>
      <c r="F307" s="3">
        <f t="shared" si="12"/>
        <v>2022</v>
      </c>
    </row>
    <row r="308" spans="1:6" ht="15" customHeight="1" x14ac:dyDescent="0.2">
      <c r="A308" s="2">
        <v>44889</v>
      </c>
      <c r="B308" s="3">
        <v>2044.84</v>
      </c>
      <c r="C308" s="3">
        <v>111831</v>
      </c>
      <c r="D308" s="4">
        <f t="shared" si="13"/>
        <v>3.0900344495763492E-2</v>
      </c>
      <c r="E308" s="4">
        <f t="shared" si="14"/>
        <v>2.7100701473000931E-2</v>
      </c>
      <c r="F308" s="3">
        <f t="shared" si="12"/>
        <v>2022</v>
      </c>
    </row>
    <row r="309" spans="1:6" ht="15" customHeight="1" x14ac:dyDescent="0.2">
      <c r="A309" s="2">
        <v>44890</v>
      </c>
      <c r="B309" s="3">
        <v>1985.95</v>
      </c>
      <c r="C309" s="3">
        <v>108977</v>
      </c>
      <c r="D309" s="4">
        <f t="shared" si="13"/>
        <v>-2.9222157752666535E-2</v>
      </c>
      <c r="E309" s="4">
        <f t="shared" si="14"/>
        <v>-2.5851952355178724E-2</v>
      </c>
      <c r="F309" s="3">
        <f t="shared" si="12"/>
        <v>2022</v>
      </c>
    </row>
    <row r="310" spans="1:6" ht="15" customHeight="1" x14ac:dyDescent="0.2">
      <c r="A310" s="2">
        <v>44893</v>
      </c>
      <c r="B310" s="3">
        <v>1976.5699</v>
      </c>
      <c r="C310" s="3">
        <v>108782</v>
      </c>
      <c r="D310" s="4">
        <f t="shared" si="13"/>
        <v>-4.7344203980061329E-3</v>
      </c>
      <c r="E310" s="4">
        <f t="shared" si="14"/>
        <v>-1.79097123079314E-3</v>
      </c>
      <c r="F310" s="3">
        <f t="shared" si="12"/>
        <v>2022</v>
      </c>
    </row>
    <row r="311" spans="1:6" ht="15" customHeight="1" x14ac:dyDescent="0.2">
      <c r="A311" s="2">
        <v>44894</v>
      </c>
      <c r="B311" s="3">
        <v>2002</v>
      </c>
      <c r="C311" s="3">
        <v>110910</v>
      </c>
      <c r="D311" s="4">
        <f t="shared" si="13"/>
        <v>1.2783712218616208E-2</v>
      </c>
      <c r="E311" s="4">
        <f t="shared" si="14"/>
        <v>1.9373182058179658E-2</v>
      </c>
      <c r="F311" s="3">
        <f t="shared" si="12"/>
        <v>2022</v>
      </c>
    </row>
    <row r="312" spans="1:6" ht="15" customHeight="1" x14ac:dyDescent="0.2">
      <c r="A312" s="2">
        <v>44895</v>
      </c>
      <c r="B312" s="3">
        <v>2023.03</v>
      </c>
      <c r="C312" s="3">
        <v>112486</v>
      </c>
      <c r="D312" s="4">
        <f t="shared" si="13"/>
        <v>1.0449706643820441E-2</v>
      </c>
      <c r="E312" s="4">
        <f t="shared" si="14"/>
        <v>1.410970783952787E-2</v>
      </c>
      <c r="F312" s="3">
        <f t="shared" si="12"/>
        <v>2022</v>
      </c>
    </row>
    <row r="313" spans="1:6" ht="15" customHeight="1" x14ac:dyDescent="0.2">
      <c r="A313" s="2">
        <v>44896</v>
      </c>
      <c r="B313" s="3">
        <v>1987.76</v>
      </c>
      <c r="C313" s="3">
        <v>110926</v>
      </c>
      <c r="D313" s="4">
        <f t="shared" si="13"/>
        <v>-1.7588010936313819E-2</v>
      </c>
      <c r="E313" s="4">
        <f t="shared" si="14"/>
        <v>-1.3965457131547676E-2</v>
      </c>
      <c r="F313" s="3">
        <f t="shared" si="12"/>
        <v>2022</v>
      </c>
    </row>
    <row r="314" spans="1:6" ht="15" customHeight="1" x14ac:dyDescent="0.2">
      <c r="A314" s="2">
        <v>44897</v>
      </c>
      <c r="B314" s="3">
        <v>2003.13</v>
      </c>
      <c r="C314" s="3">
        <v>111924</v>
      </c>
      <c r="D314" s="4">
        <f t="shared" si="13"/>
        <v>7.702580623091179E-3</v>
      </c>
      <c r="E314" s="4">
        <f t="shared" si="14"/>
        <v>8.9567572080963588E-3</v>
      </c>
      <c r="F314" s="3">
        <f t="shared" si="12"/>
        <v>2022</v>
      </c>
    </row>
    <row r="315" spans="1:6" ht="15" customHeight="1" x14ac:dyDescent="0.2">
      <c r="A315" s="2">
        <v>44900</v>
      </c>
      <c r="B315" s="3">
        <v>1943.89</v>
      </c>
      <c r="C315" s="3">
        <v>109401</v>
      </c>
      <c r="D315" s="4">
        <f t="shared" si="13"/>
        <v>-3.0019837148474508E-2</v>
      </c>
      <c r="E315" s="4">
        <f t="shared" si="14"/>
        <v>-2.2800038818797972E-2</v>
      </c>
      <c r="F315" s="3">
        <f t="shared" si="12"/>
        <v>2022</v>
      </c>
    </row>
    <row r="316" spans="1:6" ht="15" customHeight="1" x14ac:dyDescent="0.2">
      <c r="A316" s="2">
        <v>44901</v>
      </c>
      <c r="B316" s="3">
        <v>1962.01</v>
      </c>
      <c r="C316" s="3">
        <v>110189</v>
      </c>
      <c r="D316" s="4">
        <f t="shared" si="13"/>
        <v>9.2783378949895627E-3</v>
      </c>
      <c r="E316" s="4">
        <f t="shared" si="14"/>
        <v>7.1770425108895006E-3</v>
      </c>
      <c r="F316" s="3">
        <f t="shared" si="12"/>
        <v>2022</v>
      </c>
    </row>
    <row r="317" spans="1:6" ht="15" customHeight="1" x14ac:dyDescent="0.2">
      <c r="A317" s="2">
        <v>44902</v>
      </c>
      <c r="B317" s="3">
        <v>1958.53</v>
      </c>
      <c r="C317" s="3">
        <v>109069</v>
      </c>
      <c r="D317" s="4">
        <f t="shared" si="13"/>
        <v>-1.7752661184200346E-3</v>
      </c>
      <c r="E317" s="4">
        <f t="shared" si="14"/>
        <v>-1.0216363750144826E-2</v>
      </c>
      <c r="F317" s="3">
        <f t="shared" si="12"/>
        <v>2022</v>
      </c>
    </row>
    <row r="318" spans="1:6" ht="15" customHeight="1" x14ac:dyDescent="0.2">
      <c r="A318" s="2">
        <v>44903</v>
      </c>
      <c r="B318" s="3">
        <v>1908.34</v>
      </c>
      <c r="C318" s="3">
        <v>107249</v>
      </c>
      <c r="D318" s="4">
        <f t="shared" si="13"/>
        <v>-2.5960437635848564E-2</v>
      </c>
      <c r="E318" s="4">
        <f t="shared" si="14"/>
        <v>-1.6827475719339902E-2</v>
      </c>
      <c r="F318" s="3">
        <f t="shared" si="12"/>
        <v>2022</v>
      </c>
    </row>
    <row r="319" spans="1:6" ht="15" customHeight="1" x14ac:dyDescent="0.2">
      <c r="A319" s="2">
        <v>44904</v>
      </c>
      <c r="B319" s="3">
        <v>1897.16</v>
      </c>
      <c r="C319" s="3">
        <v>107520</v>
      </c>
      <c r="D319" s="4">
        <f t="shared" si="13"/>
        <v>-5.8757231191460231E-3</v>
      </c>
      <c r="E319" s="4">
        <f t="shared" si="14"/>
        <v>2.5236430195059332E-3</v>
      </c>
      <c r="F319" s="3">
        <f t="shared" si="12"/>
        <v>2022</v>
      </c>
    </row>
    <row r="320" spans="1:6" ht="15" customHeight="1" x14ac:dyDescent="0.2">
      <c r="A320" s="2">
        <v>44907</v>
      </c>
      <c r="B320" s="3">
        <v>1863.53</v>
      </c>
      <c r="C320" s="3">
        <v>105343</v>
      </c>
      <c r="D320" s="4">
        <f t="shared" si="13"/>
        <v>-1.7885492550202244E-2</v>
      </c>
      <c r="E320" s="4">
        <f t="shared" si="14"/>
        <v>-2.0455183914944584E-2</v>
      </c>
      <c r="F320" s="3">
        <f t="shared" si="12"/>
        <v>2022</v>
      </c>
    </row>
    <row r="321" spans="1:6" ht="15" customHeight="1" x14ac:dyDescent="0.2">
      <c r="A321" s="2">
        <v>44908</v>
      </c>
      <c r="B321" s="3">
        <v>1820.63</v>
      </c>
      <c r="C321" s="3">
        <v>103540</v>
      </c>
      <c r="D321" s="4">
        <f t="shared" si="13"/>
        <v>-2.3289943509087453E-2</v>
      </c>
      <c r="E321" s="4">
        <f t="shared" si="14"/>
        <v>-1.726368138613953E-2</v>
      </c>
      <c r="F321" s="3">
        <f t="shared" si="12"/>
        <v>2022</v>
      </c>
    </row>
    <row r="322" spans="1:6" ht="15" customHeight="1" x14ac:dyDescent="0.2">
      <c r="A322" s="2">
        <v>44909</v>
      </c>
      <c r="B322" s="3">
        <v>1829.88</v>
      </c>
      <c r="C322" s="3">
        <v>103746</v>
      </c>
      <c r="D322" s="4">
        <f t="shared" si="13"/>
        <v>5.0677958953466752E-3</v>
      </c>
      <c r="E322" s="4">
        <f t="shared" si="14"/>
        <v>1.9875926769520268E-3</v>
      </c>
      <c r="F322" s="3">
        <f t="shared" ref="F322:F385" si="15">YEAR(A322)</f>
        <v>2022</v>
      </c>
    </row>
    <row r="323" spans="1:6" ht="15" customHeight="1" x14ac:dyDescent="0.2">
      <c r="A323" s="2">
        <v>44910</v>
      </c>
      <c r="B323" s="3">
        <v>1824.77</v>
      </c>
      <c r="C323" s="3">
        <v>103738</v>
      </c>
      <c r="D323" s="4">
        <f t="shared" ref="D323:D386" si="16">LN(B323/B322)</f>
        <v>-2.7964392377093773E-3</v>
      </c>
      <c r="E323" s="4">
        <f t="shared" ref="E323:E386" si="17">LN(C323/C322)</f>
        <v>-7.7114379942225055E-5</v>
      </c>
      <c r="F323" s="3">
        <f t="shared" si="15"/>
        <v>2022</v>
      </c>
    </row>
    <row r="324" spans="1:6" ht="15" customHeight="1" x14ac:dyDescent="0.2">
      <c r="A324" s="2">
        <v>44911</v>
      </c>
      <c r="B324" s="3">
        <v>1813.02</v>
      </c>
      <c r="C324" s="3">
        <v>102856</v>
      </c>
      <c r="D324" s="4">
        <f t="shared" si="16"/>
        <v>-6.4599885436037894E-3</v>
      </c>
      <c r="E324" s="4">
        <f t="shared" si="17"/>
        <v>-8.5385379888173307E-3</v>
      </c>
      <c r="F324" s="3">
        <f t="shared" si="15"/>
        <v>2022</v>
      </c>
    </row>
    <row r="325" spans="1:6" ht="15" customHeight="1" x14ac:dyDescent="0.2">
      <c r="A325" s="2">
        <v>44914</v>
      </c>
      <c r="B325" s="3">
        <v>1859.41</v>
      </c>
      <c r="C325" s="3">
        <v>104740</v>
      </c>
      <c r="D325" s="4">
        <f t="shared" si="16"/>
        <v>2.5265269952638034E-2</v>
      </c>
      <c r="E325" s="4">
        <f t="shared" si="17"/>
        <v>1.8151137069393912E-2</v>
      </c>
      <c r="F325" s="3">
        <f t="shared" si="15"/>
        <v>2022</v>
      </c>
    </row>
    <row r="326" spans="1:6" ht="15" customHeight="1" x14ac:dyDescent="0.2">
      <c r="A326" s="2">
        <v>44915</v>
      </c>
      <c r="B326" s="3">
        <v>1902.5699</v>
      </c>
      <c r="C326" s="3">
        <v>106864</v>
      </c>
      <c r="D326" s="4">
        <f t="shared" si="16"/>
        <v>2.2946318104748013E-2</v>
      </c>
      <c r="E326" s="4">
        <f t="shared" si="17"/>
        <v>2.0075909131938522E-2</v>
      </c>
      <c r="F326" s="3">
        <f t="shared" si="15"/>
        <v>2022</v>
      </c>
    </row>
    <row r="327" spans="1:6" ht="15" customHeight="1" x14ac:dyDescent="0.2">
      <c r="A327" s="2">
        <v>44916</v>
      </c>
      <c r="B327" s="3">
        <v>1906.1899000000001</v>
      </c>
      <c r="C327" s="3">
        <v>107433</v>
      </c>
      <c r="D327" s="4">
        <f t="shared" si="16"/>
        <v>1.9008817988615267E-3</v>
      </c>
      <c r="E327" s="4">
        <f t="shared" si="17"/>
        <v>5.310399465840515E-3</v>
      </c>
      <c r="F327" s="3">
        <f t="shared" si="15"/>
        <v>2022</v>
      </c>
    </row>
    <row r="328" spans="1:6" ht="15" customHeight="1" x14ac:dyDescent="0.2">
      <c r="A328" s="2">
        <v>44917</v>
      </c>
      <c r="B328" s="3">
        <v>1912.96</v>
      </c>
      <c r="C328" s="3">
        <v>107552</v>
      </c>
      <c r="D328" s="4">
        <f t="shared" si="16"/>
        <v>3.5453476656627666E-3</v>
      </c>
      <c r="E328" s="4">
        <f t="shared" si="17"/>
        <v>1.1070540935744231E-3</v>
      </c>
      <c r="F328" s="3">
        <f t="shared" si="15"/>
        <v>2022</v>
      </c>
    </row>
    <row r="329" spans="1:6" ht="15" customHeight="1" x14ac:dyDescent="0.2">
      <c r="A329" s="2">
        <v>44918</v>
      </c>
      <c r="B329" s="3">
        <v>1956.6899000000001</v>
      </c>
      <c r="C329" s="3">
        <v>109698</v>
      </c>
      <c r="D329" s="4">
        <f t="shared" si="16"/>
        <v>2.2602438363283451E-2</v>
      </c>
      <c r="E329" s="4">
        <f t="shared" si="17"/>
        <v>1.9756684031727631E-2</v>
      </c>
      <c r="F329" s="3">
        <f t="shared" si="15"/>
        <v>2022</v>
      </c>
    </row>
    <row r="330" spans="1:6" ht="15" customHeight="1" x14ac:dyDescent="0.2">
      <c r="A330" s="2">
        <v>44921</v>
      </c>
      <c r="B330" s="3">
        <v>1928.98</v>
      </c>
      <c r="C330" s="3">
        <v>108738</v>
      </c>
      <c r="D330" s="4">
        <f t="shared" si="16"/>
        <v>-1.4262853233177197E-2</v>
      </c>
      <c r="E330" s="4">
        <f t="shared" si="17"/>
        <v>-8.7898165216539152E-3</v>
      </c>
      <c r="F330" s="3">
        <f t="shared" si="15"/>
        <v>2022</v>
      </c>
    </row>
    <row r="331" spans="1:6" ht="15" customHeight="1" x14ac:dyDescent="0.2">
      <c r="A331" s="2">
        <v>44922</v>
      </c>
      <c r="B331" s="3">
        <v>1909.04</v>
      </c>
      <c r="C331" s="3">
        <v>108578</v>
      </c>
      <c r="D331" s="4">
        <f t="shared" si="16"/>
        <v>-1.0390867900663694E-2</v>
      </c>
      <c r="E331" s="4">
        <f t="shared" si="17"/>
        <v>-1.4725103435595222E-3</v>
      </c>
      <c r="F331" s="3">
        <f t="shared" si="15"/>
        <v>2022</v>
      </c>
    </row>
    <row r="332" spans="1:6" ht="15" customHeight="1" x14ac:dyDescent="0.2">
      <c r="A332" s="2">
        <v>44923</v>
      </c>
      <c r="B332" s="3">
        <v>1952.0600999999999</v>
      </c>
      <c r="C332" s="3">
        <v>110237</v>
      </c>
      <c r="D332" s="4">
        <f t="shared" si="16"/>
        <v>2.2284778548533439E-2</v>
      </c>
      <c r="E332" s="4">
        <f t="shared" si="17"/>
        <v>1.5163784833163925E-2</v>
      </c>
      <c r="F332" s="3">
        <f t="shared" si="15"/>
        <v>2022</v>
      </c>
    </row>
    <row r="333" spans="1:6" ht="15" customHeight="1" x14ac:dyDescent="0.2">
      <c r="A333" s="2">
        <v>44924</v>
      </c>
      <c r="B333" s="3">
        <v>1946.08</v>
      </c>
      <c r="C333" s="3">
        <v>109735</v>
      </c>
      <c r="D333" s="4">
        <f t="shared" si="16"/>
        <v>-3.068183563368204E-3</v>
      </c>
      <c r="E333" s="4">
        <f t="shared" si="17"/>
        <v>-4.5642251875514985E-3</v>
      </c>
      <c r="F333" s="3">
        <f t="shared" si="15"/>
        <v>2022</v>
      </c>
    </row>
    <row r="334" spans="1:6" ht="15" customHeight="1" x14ac:dyDescent="0.2">
      <c r="A334" s="2">
        <v>44928</v>
      </c>
      <c r="B334" s="3">
        <v>1877.7</v>
      </c>
      <c r="C334" s="3">
        <v>106376</v>
      </c>
      <c r="D334" s="4">
        <f t="shared" si="16"/>
        <v>-3.5769469271360772E-2</v>
      </c>
      <c r="E334" s="4">
        <f t="shared" si="17"/>
        <v>-3.1088380800417193E-2</v>
      </c>
      <c r="F334" s="3">
        <f t="shared" si="15"/>
        <v>2023</v>
      </c>
    </row>
    <row r="335" spans="1:6" ht="15" customHeight="1" x14ac:dyDescent="0.2">
      <c r="A335" s="2">
        <v>44929</v>
      </c>
      <c r="B335" s="3">
        <v>1831.1</v>
      </c>
      <c r="C335" s="3">
        <v>104166</v>
      </c>
      <c r="D335" s="4">
        <f t="shared" si="16"/>
        <v>-2.5130744451097448E-2</v>
      </c>
      <c r="E335" s="4">
        <f t="shared" si="17"/>
        <v>-2.0994207066538342E-2</v>
      </c>
      <c r="F335" s="3">
        <f t="shared" si="15"/>
        <v>2023</v>
      </c>
    </row>
    <row r="336" spans="1:6" ht="15" customHeight="1" x14ac:dyDescent="0.2">
      <c r="A336" s="2">
        <v>44930</v>
      </c>
      <c r="B336" s="3">
        <v>1855.63</v>
      </c>
      <c r="C336" s="3">
        <v>105334</v>
      </c>
      <c r="D336" s="4">
        <f t="shared" si="16"/>
        <v>1.3307381876662146E-2</v>
      </c>
      <c r="E336" s="4">
        <f t="shared" si="17"/>
        <v>1.11504735248312E-2</v>
      </c>
      <c r="F336" s="3">
        <f t="shared" si="15"/>
        <v>2023</v>
      </c>
    </row>
    <row r="337" spans="1:6" ht="15" customHeight="1" x14ac:dyDescent="0.2">
      <c r="A337" s="2">
        <v>44931</v>
      </c>
      <c r="B337" s="3">
        <v>1894.54</v>
      </c>
      <c r="C337" s="3">
        <v>107641</v>
      </c>
      <c r="D337" s="4">
        <f t="shared" si="16"/>
        <v>2.0751803961763259E-2</v>
      </c>
      <c r="E337" s="4">
        <f t="shared" si="17"/>
        <v>2.1665362029534996E-2</v>
      </c>
      <c r="F337" s="3">
        <f t="shared" si="15"/>
        <v>2023</v>
      </c>
    </row>
    <row r="338" spans="1:6" ht="15" customHeight="1" x14ac:dyDescent="0.2">
      <c r="A338" s="2">
        <v>44932</v>
      </c>
      <c r="B338" s="3">
        <v>1921.65</v>
      </c>
      <c r="C338" s="3">
        <v>108964</v>
      </c>
      <c r="D338" s="4">
        <f t="shared" si="16"/>
        <v>1.4208126984459099E-2</v>
      </c>
      <c r="E338" s="4">
        <f t="shared" si="17"/>
        <v>1.2215936404677608E-2</v>
      </c>
      <c r="F338" s="3">
        <f t="shared" si="15"/>
        <v>2023</v>
      </c>
    </row>
    <row r="339" spans="1:6" ht="15" customHeight="1" x14ac:dyDescent="0.2">
      <c r="A339" s="2">
        <v>44935</v>
      </c>
      <c r="B339" s="3">
        <v>1925.55</v>
      </c>
      <c r="C339" s="3">
        <v>109130</v>
      </c>
      <c r="D339" s="4">
        <f t="shared" si="16"/>
        <v>2.0274492284927401E-3</v>
      </c>
      <c r="E339" s="4">
        <f t="shared" si="17"/>
        <v>1.5222796780880374E-3</v>
      </c>
      <c r="F339" s="3">
        <f t="shared" si="15"/>
        <v>2023</v>
      </c>
    </row>
    <row r="340" spans="1:6" ht="15" customHeight="1" x14ac:dyDescent="0.2">
      <c r="A340" s="2">
        <v>44936</v>
      </c>
      <c r="B340" s="3">
        <v>1961.52</v>
      </c>
      <c r="C340" s="3">
        <v>110817</v>
      </c>
      <c r="D340" s="4">
        <f t="shared" si="16"/>
        <v>1.8508041676938834E-2</v>
      </c>
      <c r="E340" s="4">
        <f t="shared" si="17"/>
        <v>1.5340360021955301E-2</v>
      </c>
      <c r="F340" s="3">
        <f t="shared" si="15"/>
        <v>2023</v>
      </c>
    </row>
    <row r="341" spans="1:6" ht="15" customHeight="1" x14ac:dyDescent="0.2">
      <c r="A341" s="2">
        <v>44937</v>
      </c>
      <c r="B341" s="3">
        <v>1996.37</v>
      </c>
      <c r="C341" s="3">
        <v>112517</v>
      </c>
      <c r="D341" s="4">
        <f t="shared" si="16"/>
        <v>1.7610848557875348E-2</v>
      </c>
      <c r="E341" s="4">
        <f t="shared" si="17"/>
        <v>1.5224129192498144E-2</v>
      </c>
      <c r="F341" s="3">
        <f t="shared" si="15"/>
        <v>2023</v>
      </c>
    </row>
    <row r="342" spans="1:6" ht="15" customHeight="1" x14ac:dyDescent="0.2">
      <c r="A342" s="2">
        <v>44938</v>
      </c>
      <c r="B342" s="3">
        <v>1969.97</v>
      </c>
      <c r="C342" s="3">
        <v>111850</v>
      </c>
      <c r="D342" s="4">
        <f t="shared" si="16"/>
        <v>-1.3312217244174602E-2</v>
      </c>
      <c r="E342" s="4">
        <f t="shared" si="17"/>
        <v>-5.9456334033134457E-3</v>
      </c>
      <c r="F342" s="3">
        <f t="shared" si="15"/>
        <v>2023</v>
      </c>
    </row>
    <row r="343" spans="1:6" ht="15" customHeight="1" x14ac:dyDescent="0.2">
      <c r="A343" s="2">
        <v>44939</v>
      </c>
      <c r="B343" s="3">
        <v>1948.64</v>
      </c>
      <c r="C343" s="3">
        <v>110916</v>
      </c>
      <c r="D343" s="4">
        <f t="shared" si="16"/>
        <v>-1.0886620850884147E-2</v>
      </c>
      <c r="E343" s="4">
        <f t="shared" si="17"/>
        <v>-8.3855298654976883E-3</v>
      </c>
      <c r="F343" s="3">
        <f t="shared" si="15"/>
        <v>2023</v>
      </c>
    </row>
    <row r="344" spans="1:6" ht="15" customHeight="1" x14ac:dyDescent="0.2">
      <c r="A344" s="2">
        <v>44942</v>
      </c>
      <c r="B344" s="3">
        <v>1920.6899000000001</v>
      </c>
      <c r="C344" s="3">
        <v>109213</v>
      </c>
      <c r="D344" s="4">
        <f t="shared" si="16"/>
        <v>-1.4447248941325413E-2</v>
      </c>
      <c r="E344" s="4">
        <f t="shared" si="17"/>
        <v>-1.5473054226393996E-2</v>
      </c>
      <c r="F344" s="3">
        <f t="shared" si="15"/>
        <v>2023</v>
      </c>
    </row>
    <row r="345" spans="1:6" ht="15" customHeight="1" x14ac:dyDescent="0.2">
      <c r="A345" s="2">
        <v>44943</v>
      </c>
      <c r="B345" s="3">
        <v>1961.95</v>
      </c>
      <c r="C345" s="3">
        <v>111439</v>
      </c>
      <c r="D345" s="4">
        <f t="shared" si="16"/>
        <v>2.1254432203309494E-2</v>
      </c>
      <c r="E345" s="4">
        <f t="shared" si="17"/>
        <v>2.0177252148420158E-2</v>
      </c>
      <c r="F345" s="3">
        <f t="shared" si="15"/>
        <v>2023</v>
      </c>
    </row>
    <row r="346" spans="1:6" ht="15" customHeight="1" x14ac:dyDescent="0.2">
      <c r="A346" s="2">
        <v>44944</v>
      </c>
      <c r="B346" s="3">
        <v>1975.12</v>
      </c>
      <c r="C346" s="3">
        <v>112228</v>
      </c>
      <c r="D346" s="4">
        <f t="shared" si="16"/>
        <v>6.690279382325243E-3</v>
      </c>
      <c r="E346" s="4">
        <f t="shared" si="17"/>
        <v>7.0551603296187182E-3</v>
      </c>
      <c r="F346" s="3">
        <f t="shared" si="15"/>
        <v>2023</v>
      </c>
    </row>
    <row r="347" spans="1:6" ht="15" customHeight="1" x14ac:dyDescent="0.2">
      <c r="A347" s="2">
        <v>44945</v>
      </c>
      <c r="B347" s="3">
        <v>1980.54</v>
      </c>
      <c r="C347" s="3">
        <v>112922</v>
      </c>
      <c r="D347" s="4">
        <f t="shared" si="16"/>
        <v>2.7403787948762255E-3</v>
      </c>
      <c r="E347" s="4">
        <f t="shared" si="17"/>
        <v>6.1647985604218044E-3</v>
      </c>
      <c r="F347" s="3">
        <f t="shared" si="15"/>
        <v>2023</v>
      </c>
    </row>
    <row r="348" spans="1:6" ht="15" customHeight="1" x14ac:dyDescent="0.2">
      <c r="A348" s="2">
        <v>44946</v>
      </c>
      <c r="B348" s="3">
        <v>1956.11</v>
      </c>
      <c r="C348" s="3">
        <v>112041</v>
      </c>
      <c r="D348" s="4">
        <f t="shared" si="16"/>
        <v>-1.2411727545662629E-2</v>
      </c>
      <c r="E348" s="4">
        <f t="shared" si="17"/>
        <v>-7.8324391468392752E-3</v>
      </c>
      <c r="F348" s="3">
        <f t="shared" si="15"/>
        <v>2023</v>
      </c>
    </row>
    <row r="349" spans="1:6" ht="15" customHeight="1" x14ac:dyDescent="0.2">
      <c r="A349" s="2">
        <v>44949</v>
      </c>
      <c r="B349" s="3">
        <v>1946.3100999999999</v>
      </c>
      <c r="C349" s="3">
        <v>111737</v>
      </c>
      <c r="D349" s="4">
        <f t="shared" si="16"/>
        <v>-5.0224836636512818E-3</v>
      </c>
      <c r="E349" s="4">
        <f t="shared" si="17"/>
        <v>-2.7169801053736819E-3</v>
      </c>
      <c r="F349" s="3">
        <f t="shared" si="15"/>
        <v>2023</v>
      </c>
    </row>
    <row r="350" spans="1:6" ht="15" customHeight="1" x14ac:dyDescent="0.2">
      <c r="A350" s="2">
        <v>44950</v>
      </c>
      <c r="B350" s="3">
        <v>1974.97</v>
      </c>
      <c r="C350" s="3">
        <v>113028</v>
      </c>
      <c r="D350" s="4">
        <f t="shared" si="16"/>
        <v>1.4617884777765178E-2</v>
      </c>
      <c r="E350" s="4">
        <f t="shared" si="17"/>
        <v>1.1487679998185759E-2</v>
      </c>
      <c r="F350" s="3">
        <f t="shared" si="15"/>
        <v>2023</v>
      </c>
    </row>
    <row r="351" spans="1:6" ht="15" customHeight="1" x14ac:dyDescent="0.2">
      <c r="A351" s="2">
        <v>44951</v>
      </c>
      <c r="B351" s="3">
        <v>1996.0699</v>
      </c>
      <c r="C351" s="3">
        <v>114270</v>
      </c>
      <c r="D351" s="4">
        <f t="shared" si="16"/>
        <v>1.0626988951864839E-2</v>
      </c>
      <c r="E351" s="4">
        <f t="shared" si="17"/>
        <v>1.092849352994189E-2</v>
      </c>
      <c r="F351" s="3">
        <f t="shared" si="15"/>
        <v>2023</v>
      </c>
    </row>
    <row r="352" spans="1:6" ht="15" customHeight="1" x14ac:dyDescent="0.2">
      <c r="A352" s="2">
        <v>44952</v>
      </c>
      <c r="B352" s="3">
        <v>1990.83</v>
      </c>
      <c r="C352" s="3">
        <v>114178</v>
      </c>
      <c r="D352" s="4">
        <f t="shared" si="16"/>
        <v>-2.6285601085772928E-3</v>
      </c>
      <c r="E352" s="4">
        <f t="shared" si="17"/>
        <v>-8.0543497840698526E-4</v>
      </c>
      <c r="F352" s="3">
        <f t="shared" si="15"/>
        <v>2023</v>
      </c>
    </row>
    <row r="353" spans="1:6" ht="15" customHeight="1" x14ac:dyDescent="0.2">
      <c r="A353" s="2">
        <v>44953</v>
      </c>
      <c r="B353" s="3">
        <v>1963.05</v>
      </c>
      <c r="C353" s="3">
        <v>112316</v>
      </c>
      <c r="D353" s="4">
        <f t="shared" si="16"/>
        <v>-1.4052251020125498E-2</v>
      </c>
      <c r="E353" s="4">
        <f t="shared" si="17"/>
        <v>-1.6442307072468333E-2</v>
      </c>
      <c r="F353" s="3">
        <f t="shared" si="15"/>
        <v>2023</v>
      </c>
    </row>
    <row r="354" spans="1:6" ht="15" customHeight="1" x14ac:dyDescent="0.2">
      <c r="A354" s="2">
        <v>44956</v>
      </c>
      <c r="B354" s="3">
        <v>1961.01</v>
      </c>
      <c r="C354" s="3">
        <v>112273</v>
      </c>
      <c r="D354" s="4">
        <f t="shared" si="16"/>
        <v>-1.0397395471934215E-3</v>
      </c>
      <c r="E354" s="4">
        <f t="shared" si="17"/>
        <v>-3.8292169719280798E-4</v>
      </c>
      <c r="F354" s="3">
        <f t="shared" si="15"/>
        <v>2023</v>
      </c>
    </row>
    <row r="355" spans="1:6" ht="15" customHeight="1" x14ac:dyDescent="0.2">
      <c r="A355" s="2">
        <v>44957</v>
      </c>
      <c r="B355" s="3">
        <v>1985.6801</v>
      </c>
      <c r="C355" s="3">
        <v>113431</v>
      </c>
      <c r="D355" s="4">
        <f t="shared" si="16"/>
        <v>1.2501828465531739E-2</v>
      </c>
      <c r="E355" s="4">
        <f t="shared" si="17"/>
        <v>1.0261317131410048E-2</v>
      </c>
      <c r="F355" s="3">
        <f t="shared" si="15"/>
        <v>2023</v>
      </c>
    </row>
    <row r="356" spans="1:6" ht="15" customHeight="1" x14ac:dyDescent="0.2">
      <c r="A356" s="2">
        <v>44958</v>
      </c>
      <c r="B356" s="3">
        <v>1963.66</v>
      </c>
      <c r="C356" s="3">
        <v>112074</v>
      </c>
      <c r="D356" s="4">
        <f t="shared" si="16"/>
        <v>-1.1151396249459253E-2</v>
      </c>
      <c r="E356" s="4">
        <f t="shared" si="17"/>
        <v>-1.2035355136743317E-2</v>
      </c>
      <c r="F356" s="3">
        <f t="shared" si="15"/>
        <v>2023</v>
      </c>
    </row>
    <row r="357" spans="1:6" ht="15" customHeight="1" x14ac:dyDescent="0.2">
      <c r="A357" s="2">
        <v>44959</v>
      </c>
      <c r="B357" s="3">
        <v>1948.4301</v>
      </c>
      <c r="C357" s="3">
        <v>110141</v>
      </c>
      <c r="D357" s="4">
        <f t="shared" si="16"/>
        <v>-7.7861074522305165E-3</v>
      </c>
      <c r="E357" s="4">
        <f t="shared" si="17"/>
        <v>-1.739800425855267E-2</v>
      </c>
      <c r="F357" s="3">
        <f t="shared" si="15"/>
        <v>2023</v>
      </c>
    </row>
    <row r="358" spans="1:6" ht="15" customHeight="1" x14ac:dyDescent="0.2">
      <c r="A358" s="2">
        <v>44960</v>
      </c>
      <c r="B358" s="3">
        <v>1909.83</v>
      </c>
      <c r="C358" s="3">
        <v>108523</v>
      </c>
      <c r="D358" s="4">
        <f t="shared" si="16"/>
        <v>-2.0009738542375533E-2</v>
      </c>
      <c r="E358" s="4">
        <f t="shared" si="17"/>
        <v>-1.4799231064251501E-2</v>
      </c>
      <c r="F358" s="3">
        <f t="shared" si="15"/>
        <v>2023</v>
      </c>
    </row>
    <row r="359" spans="1:6" ht="15" customHeight="1" x14ac:dyDescent="0.2">
      <c r="A359" s="2">
        <v>44963</v>
      </c>
      <c r="B359" s="3">
        <v>1911.35</v>
      </c>
      <c r="C359" s="3">
        <v>108722</v>
      </c>
      <c r="D359" s="4">
        <f t="shared" si="16"/>
        <v>7.9556580960359611E-4</v>
      </c>
      <c r="E359" s="4">
        <f t="shared" si="17"/>
        <v>1.8320334705923815E-3</v>
      </c>
      <c r="F359" s="3">
        <f t="shared" si="15"/>
        <v>2023</v>
      </c>
    </row>
    <row r="360" spans="1:6" ht="15" customHeight="1" x14ac:dyDescent="0.2">
      <c r="A360" s="2">
        <v>44964</v>
      </c>
      <c r="B360" s="3">
        <v>1886.89</v>
      </c>
      <c r="C360" s="3">
        <v>107830</v>
      </c>
      <c r="D360" s="4">
        <f t="shared" si="16"/>
        <v>-1.2879827571768292E-2</v>
      </c>
      <c r="E360" s="4">
        <f t="shared" si="17"/>
        <v>-8.2382526590281824E-3</v>
      </c>
      <c r="F360" s="3">
        <f t="shared" si="15"/>
        <v>2023</v>
      </c>
    </row>
    <row r="361" spans="1:6" ht="15" customHeight="1" x14ac:dyDescent="0.2">
      <c r="A361" s="2">
        <v>44965</v>
      </c>
      <c r="B361" s="3">
        <v>1930.8100999999999</v>
      </c>
      <c r="C361" s="3">
        <v>109951</v>
      </c>
      <c r="D361" s="4">
        <f t="shared" si="16"/>
        <v>2.3009684683283353E-2</v>
      </c>
      <c r="E361" s="4">
        <f t="shared" si="17"/>
        <v>1.9478899108630984E-2</v>
      </c>
      <c r="F361" s="3">
        <f t="shared" si="15"/>
        <v>2023</v>
      </c>
    </row>
    <row r="362" spans="1:6" ht="15" customHeight="1" x14ac:dyDescent="0.2">
      <c r="A362" s="2">
        <v>44966</v>
      </c>
      <c r="B362" s="3">
        <v>1889.63</v>
      </c>
      <c r="C362" s="3">
        <v>108008</v>
      </c>
      <c r="D362" s="4">
        <f t="shared" si="16"/>
        <v>-2.1558613071968845E-2</v>
      </c>
      <c r="E362" s="4">
        <f t="shared" si="17"/>
        <v>-1.7829513547666972E-2</v>
      </c>
      <c r="F362" s="3">
        <f t="shared" si="15"/>
        <v>2023</v>
      </c>
    </row>
    <row r="363" spans="1:6" ht="15" customHeight="1" x14ac:dyDescent="0.2">
      <c r="A363" s="2">
        <v>44967</v>
      </c>
      <c r="B363" s="3">
        <v>1890.74</v>
      </c>
      <c r="C363" s="3">
        <v>108078</v>
      </c>
      <c r="D363" s="4">
        <f t="shared" si="16"/>
        <v>5.8724412261189297E-4</v>
      </c>
      <c r="E363" s="4">
        <f t="shared" si="17"/>
        <v>6.4789021453138499E-4</v>
      </c>
      <c r="F363" s="3">
        <f t="shared" si="15"/>
        <v>2023</v>
      </c>
    </row>
    <row r="364" spans="1:6" ht="15" customHeight="1" x14ac:dyDescent="0.2">
      <c r="A364" s="2">
        <v>44970</v>
      </c>
      <c r="B364" s="3">
        <v>1909.59</v>
      </c>
      <c r="C364" s="3">
        <v>108836</v>
      </c>
      <c r="D364" s="4">
        <f t="shared" si="16"/>
        <v>9.9202724964897113E-3</v>
      </c>
      <c r="E364" s="4">
        <f t="shared" si="17"/>
        <v>6.9889733758136561E-3</v>
      </c>
      <c r="F364" s="3">
        <f t="shared" si="15"/>
        <v>2023</v>
      </c>
    </row>
    <row r="365" spans="1:6" ht="15" customHeight="1" x14ac:dyDescent="0.2">
      <c r="A365" s="2">
        <v>44971</v>
      </c>
      <c r="B365" s="3">
        <v>1884.58</v>
      </c>
      <c r="C365" s="3">
        <v>107849</v>
      </c>
      <c r="D365" s="4">
        <f t="shared" si="16"/>
        <v>-1.3183574927308223E-2</v>
      </c>
      <c r="E365" s="4">
        <f t="shared" si="17"/>
        <v>-9.11006139033879E-3</v>
      </c>
      <c r="F365" s="3">
        <f t="shared" si="15"/>
        <v>2023</v>
      </c>
    </row>
    <row r="366" spans="1:6" ht="15" customHeight="1" x14ac:dyDescent="0.2">
      <c r="A366" s="2">
        <v>44972</v>
      </c>
      <c r="B366" s="3">
        <v>1915.8199</v>
      </c>
      <c r="C366" s="3">
        <v>109600</v>
      </c>
      <c r="D366" s="4">
        <f t="shared" si="16"/>
        <v>1.6440692815592562E-2</v>
      </c>
      <c r="E366" s="4">
        <f t="shared" si="17"/>
        <v>1.6105273858963844E-2</v>
      </c>
      <c r="F366" s="3">
        <f t="shared" si="15"/>
        <v>2023</v>
      </c>
    </row>
    <row r="367" spans="1:6" ht="15" customHeight="1" x14ac:dyDescent="0.2">
      <c r="A367" s="2">
        <v>44973</v>
      </c>
      <c r="B367" s="3">
        <v>1920.59</v>
      </c>
      <c r="C367" s="3">
        <v>109941</v>
      </c>
      <c r="D367" s="4">
        <f t="shared" si="16"/>
        <v>2.486753283671849E-3</v>
      </c>
      <c r="E367" s="4">
        <f t="shared" si="17"/>
        <v>3.106483747706812E-3</v>
      </c>
      <c r="F367" s="3">
        <f t="shared" si="15"/>
        <v>2023</v>
      </c>
    </row>
    <row r="368" spans="1:6" ht="15" customHeight="1" x14ac:dyDescent="0.2">
      <c r="A368" s="2">
        <v>44974</v>
      </c>
      <c r="B368" s="3">
        <v>1914.77</v>
      </c>
      <c r="C368" s="3">
        <v>109177</v>
      </c>
      <c r="D368" s="4">
        <f t="shared" si="16"/>
        <v>-3.0349195210913693E-3</v>
      </c>
      <c r="E368" s="4">
        <f t="shared" si="17"/>
        <v>-6.9734398455180971E-3</v>
      </c>
      <c r="F368" s="3">
        <f t="shared" si="15"/>
        <v>2023</v>
      </c>
    </row>
    <row r="369" spans="1:6" ht="15" customHeight="1" x14ac:dyDescent="0.2">
      <c r="A369" s="2">
        <v>44979</v>
      </c>
      <c r="B369" s="3">
        <v>1877.39</v>
      </c>
      <c r="C369" s="3">
        <v>107152</v>
      </c>
      <c r="D369" s="4">
        <f t="shared" si="16"/>
        <v>-1.9714996589676455E-2</v>
      </c>
      <c r="E369" s="4">
        <f t="shared" si="17"/>
        <v>-1.8722031248409411E-2</v>
      </c>
      <c r="F369" s="3">
        <f t="shared" si="15"/>
        <v>2023</v>
      </c>
    </row>
    <row r="370" spans="1:6" ht="15" customHeight="1" x14ac:dyDescent="0.2">
      <c r="A370" s="2">
        <v>44980</v>
      </c>
      <c r="B370" s="3">
        <v>1885.4301</v>
      </c>
      <c r="C370" s="3">
        <v>107593</v>
      </c>
      <c r="D370" s="4">
        <f t="shared" si="16"/>
        <v>4.2734502433113084E-3</v>
      </c>
      <c r="E370" s="4">
        <f t="shared" si="17"/>
        <v>4.1072026816899856E-3</v>
      </c>
      <c r="F370" s="3">
        <f t="shared" si="15"/>
        <v>2023</v>
      </c>
    </row>
    <row r="371" spans="1:6" ht="15" customHeight="1" x14ac:dyDescent="0.2">
      <c r="A371" s="2">
        <v>44981</v>
      </c>
      <c r="B371" s="3">
        <v>1856.85</v>
      </c>
      <c r="C371" s="3">
        <v>105798</v>
      </c>
      <c r="D371" s="4">
        <f t="shared" si="16"/>
        <v>-1.527446097069437E-2</v>
      </c>
      <c r="E371" s="4">
        <f t="shared" si="17"/>
        <v>-1.6823974195542948E-2</v>
      </c>
      <c r="F371" s="3">
        <f t="shared" si="15"/>
        <v>2023</v>
      </c>
    </row>
    <row r="372" spans="1:6" ht="15" customHeight="1" x14ac:dyDescent="0.2">
      <c r="A372" s="2">
        <v>44984</v>
      </c>
      <c r="B372" s="3">
        <v>1854.5</v>
      </c>
      <c r="C372" s="3">
        <v>105711</v>
      </c>
      <c r="D372" s="4">
        <f t="shared" si="16"/>
        <v>-1.2663857162834521E-3</v>
      </c>
      <c r="E372" s="4">
        <f t="shared" si="17"/>
        <v>-8.2266007504717205E-4</v>
      </c>
      <c r="F372" s="3">
        <f t="shared" si="15"/>
        <v>2023</v>
      </c>
    </row>
    <row r="373" spans="1:6" ht="15" customHeight="1" x14ac:dyDescent="0.2">
      <c r="A373" s="2">
        <v>44985</v>
      </c>
      <c r="B373" s="3">
        <v>1847.6899000000001</v>
      </c>
      <c r="C373" s="3">
        <v>104932</v>
      </c>
      <c r="D373" s="4">
        <f t="shared" si="16"/>
        <v>-3.678961838822741E-3</v>
      </c>
      <c r="E373" s="4">
        <f t="shared" si="17"/>
        <v>-7.3964342646887773E-3</v>
      </c>
      <c r="F373" s="3">
        <f t="shared" si="15"/>
        <v>2023</v>
      </c>
    </row>
    <row r="374" spans="1:6" ht="15" customHeight="1" x14ac:dyDescent="0.2">
      <c r="A374" s="2">
        <v>44986</v>
      </c>
      <c r="B374" s="3">
        <v>1826.0600999999999</v>
      </c>
      <c r="C374" s="3">
        <v>104385</v>
      </c>
      <c r="D374" s="4">
        <f t="shared" si="16"/>
        <v>-1.1775461005475456E-2</v>
      </c>
      <c r="E374" s="4">
        <f t="shared" si="17"/>
        <v>-5.2265343491824587E-3</v>
      </c>
      <c r="F374" s="3">
        <f t="shared" si="15"/>
        <v>2023</v>
      </c>
    </row>
    <row r="375" spans="1:6" ht="15" customHeight="1" x14ac:dyDescent="0.2">
      <c r="A375" s="2">
        <v>44987</v>
      </c>
      <c r="B375" s="3">
        <v>1805.78</v>
      </c>
      <c r="C375" s="3">
        <v>103326</v>
      </c>
      <c r="D375" s="4">
        <f t="shared" si="16"/>
        <v>-1.1168063696936499E-2</v>
      </c>
      <c r="E375" s="4">
        <f t="shared" si="17"/>
        <v>-1.0196948414105664E-2</v>
      </c>
      <c r="F375" s="3">
        <f t="shared" si="15"/>
        <v>2023</v>
      </c>
    </row>
    <row r="376" spans="1:6" ht="15" customHeight="1" x14ac:dyDescent="0.2">
      <c r="A376" s="2">
        <v>44988</v>
      </c>
      <c r="B376" s="3">
        <v>1809.42</v>
      </c>
      <c r="C376" s="3">
        <v>103866</v>
      </c>
      <c r="D376" s="4">
        <f t="shared" si="16"/>
        <v>2.0137205300054775E-3</v>
      </c>
      <c r="E376" s="4">
        <f t="shared" si="17"/>
        <v>5.2125682718300453E-3</v>
      </c>
      <c r="F376" s="3">
        <f t="shared" si="15"/>
        <v>2023</v>
      </c>
    </row>
    <row r="377" spans="1:6" ht="15" customHeight="1" x14ac:dyDescent="0.2">
      <c r="A377" s="2">
        <v>44991</v>
      </c>
      <c r="B377" s="3">
        <v>1842.59</v>
      </c>
      <c r="C377" s="3">
        <v>104700</v>
      </c>
      <c r="D377" s="4">
        <f t="shared" si="16"/>
        <v>1.8165838627827627E-2</v>
      </c>
      <c r="E377" s="4">
        <f t="shared" si="17"/>
        <v>7.9975110538436783E-3</v>
      </c>
      <c r="F377" s="3">
        <f t="shared" si="15"/>
        <v>2023</v>
      </c>
    </row>
    <row r="378" spans="1:6" ht="15" customHeight="1" x14ac:dyDescent="0.2">
      <c r="A378" s="2">
        <v>44992</v>
      </c>
      <c r="B378" s="3">
        <v>1843.4</v>
      </c>
      <c r="C378" s="3">
        <v>104228</v>
      </c>
      <c r="D378" s="4">
        <f t="shared" si="16"/>
        <v>4.3950201332004654E-4</v>
      </c>
      <c r="E378" s="4">
        <f t="shared" si="17"/>
        <v>-4.5183106428519125E-3</v>
      </c>
      <c r="F378" s="3">
        <f t="shared" si="15"/>
        <v>2023</v>
      </c>
    </row>
    <row r="379" spans="1:6" ht="15" customHeight="1" x14ac:dyDescent="0.2">
      <c r="A379" s="2">
        <v>44993</v>
      </c>
      <c r="B379" s="3">
        <v>1891.58</v>
      </c>
      <c r="C379" s="3">
        <v>106540</v>
      </c>
      <c r="D379" s="4">
        <f t="shared" si="16"/>
        <v>2.5800766094418007E-2</v>
      </c>
      <c r="E379" s="4">
        <f t="shared" si="17"/>
        <v>2.1939694255213867E-2</v>
      </c>
      <c r="F379" s="3">
        <f t="shared" si="15"/>
        <v>2023</v>
      </c>
    </row>
    <row r="380" spans="1:6" ht="15" customHeight="1" x14ac:dyDescent="0.2">
      <c r="A380" s="2">
        <v>44994</v>
      </c>
      <c r="B380" s="3">
        <v>1871.97</v>
      </c>
      <c r="C380" s="3">
        <v>105071</v>
      </c>
      <c r="D380" s="4">
        <f t="shared" si="16"/>
        <v>-1.0421106385882171E-2</v>
      </c>
      <c r="E380" s="4">
        <f t="shared" si="17"/>
        <v>-1.3884189368912538E-2</v>
      </c>
      <c r="F380" s="3">
        <f t="shared" si="15"/>
        <v>2023</v>
      </c>
    </row>
    <row r="381" spans="1:6" ht="15" customHeight="1" x14ac:dyDescent="0.2">
      <c r="A381" s="2">
        <v>44995</v>
      </c>
      <c r="B381" s="3">
        <v>1838</v>
      </c>
      <c r="C381" s="3">
        <v>103618</v>
      </c>
      <c r="D381" s="4">
        <f t="shared" si="16"/>
        <v>-1.8313328352467455E-2</v>
      </c>
      <c r="E381" s="4">
        <f t="shared" si="17"/>
        <v>-1.3925252212757321E-2</v>
      </c>
      <c r="F381" s="3">
        <f t="shared" si="15"/>
        <v>2023</v>
      </c>
    </row>
    <row r="382" spans="1:6" ht="15" customHeight="1" x14ac:dyDescent="0.2">
      <c r="A382" s="2">
        <v>44998</v>
      </c>
      <c r="B382" s="3">
        <v>1834.39</v>
      </c>
      <c r="C382" s="3">
        <v>103121</v>
      </c>
      <c r="D382" s="4">
        <f t="shared" si="16"/>
        <v>-1.9660227605425512E-3</v>
      </c>
      <c r="E382" s="4">
        <f t="shared" si="17"/>
        <v>-4.8080038833952727E-3</v>
      </c>
      <c r="F382" s="3">
        <f t="shared" si="15"/>
        <v>2023</v>
      </c>
    </row>
    <row r="383" spans="1:6" ht="15" customHeight="1" x14ac:dyDescent="0.2">
      <c r="A383" s="2">
        <v>44999</v>
      </c>
      <c r="B383" s="3">
        <v>1828.35</v>
      </c>
      <c r="C383" s="3">
        <v>102932</v>
      </c>
      <c r="D383" s="4">
        <f t="shared" si="16"/>
        <v>-3.2980803851346604E-3</v>
      </c>
      <c r="E383" s="4">
        <f t="shared" si="17"/>
        <v>-1.8344799930477879E-3</v>
      </c>
      <c r="F383" s="3">
        <f t="shared" si="15"/>
        <v>2023</v>
      </c>
    </row>
    <row r="384" spans="1:6" ht="15" customHeight="1" x14ac:dyDescent="0.2">
      <c r="A384" s="2">
        <v>45000</v>
      </c>
      <c r="B384" s="3">
        <v>1839.99</v>
      </c>
      <c r="C384" s="3">
        <v>102675</v>
      </c>
      <c r="D384" s="4">
        <f t="shared" si="16"/>
        <v>6.3462160356991303E-3</v>
      </c>
      <c r="E384" s="4">
        <f t="shared" si="17"/>
        <v>-2.4999161881179249E-3</v>
      </c>
      <c r="F384" s="3">
        <f t="shared" si="15"/>
        <v>2023</v>
      </c>
    </row>
    <row r="385" spans="1:6" ht="15" customHeight="1" x14ac:dyDescent="0.2">
      <c r="A385" s="2">
        <v>45001</v>
      </c>
      <c r="B385" s="3">
        <v>1858.16</v>
      </c>
      <c r="C385" s="3">
        <v>103435</v>
      </c>
      <c r="D385" s="4">
        <f t="shared" si="16"/>
        <v>9.8266139617074234E-3</v>
      </c>
      <c r="E385" s="4">
        <f t="shared" si="17"/>
        <v>7.3747362523902977E-3</v>
      </c>
      <c r="F385" s="3">
        <f t="shared" si="15"/>
        <v>2023</v>
      </c>
    </row>
    <row r="386" spans="1:6" ht="15" customHeight="1" x14ac:dyDescent="0.2">
      <c r="A386" s="2">
        <v>45002</v>
      </c>
      <c r="B386" s="3">
        <v>1821.22</v>
      </c>
      <c r="C386" s="3">
        <v>101982</v>
      </c>
      <c r="D386" s="4">
        <f t="shared" si="16"/>
        <v>-2.0080144596772341E-2</v>
      </c>
      <c r="E386" s="4">
        <f t="shared" si="17"/>
        <v>-1.4147068971743178E-2</v>
      </c>
      <c r="F386" s="3">
        <f t="shared" ref="F386:F449" si="18">YEAR(A386)</f>
        <v>2023</v>
      </c>
    </row>
    <row r="387" spans="1:6" ht="15" customHeight="1" x14ac:dyDescent="0.2">
      <c r="A387" s="2">
        <v>45005</v>
      </c>
      <c r="B387" s="3">
        <v>1795.65</v>
      </c>
      <c r="C387" s="3">
        <v>100923</v>
      </c>
      <c r="D387" s="4">
        <f t="shared" ref="D387:D450" si="19">LN(B387/B386)</f>
        <v>-1.4139532805100595E-2</v>
      </c>
      <c r="E387" s="4">
        <f t="shared" ref="E387:E450" si="20">LN(C387/C386)</f>
        <v>-1.0438477276184173E-2</v>
      </c>
      <c r="F387" s="3">
        <f t="shared" si="18"/>
        <v>2023</v>
      </c>
    </row>
    <row r="388" spans="1:6" ht="15" customHeight="1" x14ac:dyDescent="0.2">
      <c r="A388" s="2">
        <v>45006</v>
      </c>
      <c r="B388" s="3">
        <v>1796.55</v>
      </c>
      <c r="C388" s="3">
        <v>100998</v>
      </c>
      <c r="D388" s="4">
        <f t="shared" si="19"/>
        <v>5.0108569613684876E-4</v>
      </c>
      <c r="E388" s="4">
        <f t="shared" si="20"/>
        <v>7.4286481791437553E-4</v>
      </c>
      <c r="F388" s="3">
        <f t="shared" si="18"/>
        <v>2023</v>
      </c>
    </row>
    <row r="389" spans="1:6" ht="15" customHeight="1" x14ac:dyDescent="0.2">
      <c r="A389" s="2">
        <v>45007</v>
      </c>
      <c r="B389" s="3">
        <v>1785.11</v>
      </c>
      <c r="C389" s="3">
        <v>100221</v>
      </c>
      <c r="D389" s="4">
        <f t="shared" si="19"/>
        <v>-6.3881210967468545E-3</v>
      </c>
      <c r="E389" s="4">
        <f t="shared" si="20"/>
        <v>-7.7229671349076422E-3</v>
      </c>
      <c r="F389" s="3">
        <f t="shared" si="18"/>
        <v>2023</v>
      </c>
    </row>
    <row r="390" spans="1:6" ht="15" customHeight="1" x14ac:dyDescent="0.2">
      <c r="A390" s="2">
        <v>45008</v>
      </c>
      <c r="B390" s="3">
        <v>1745.16</v>
      </c>
      <c r="C390" s="3">
        <v>97926</v>
      </c>
      <c r="D390" s="4">
        <f t="shared" si="19"/>
        <v>-2.2633795987259449E-2</v>
      </c>
      <c r="E390" s="4">
        <f t="shared" si="20"/>
        <v>-2.3165656133478183E-2</v>
      </c>
      <c r="F390" s="3">
        <f t="shared" si="18"/>
        <v>2023</v>
      </c>
    </row>
    <row r="391" spans="1:6" ht="15" customHeight="1" x14ac:dyDescent="0.2">
      <c r="A391" s="2">
        <v>45009</v>
      </c>
      <c r="B391" s="3">
        <v>1769.33</v>
      </c>
      <c r="C391" s="3">
        <v>98829</v>
      </c>
      <c r="D391" s="4">
        <f t="shared" si="19"/>
        <v>1.3754701855838068E-2</v>
      </c>
      <c r="E391" s="4">
        <f t="shared" si="20"/>
        <v>9.1789925551816996E-3</v>
      </c>
      <c r="F391" s="3">
        <f t="shared" si="18"/>
        <v>2023</v>
      </c>
    </row>
    <row r="392" spans="1:6" ht="15" customHeight="1" x14ac:dyDescent="0.2">
      <c r="A392" s="2">
        <v>45012</v>
      </c>
      <c r="B392" s="3">
        <v>1785.62</v>
      </c>
      <c r="C392" s="3">
        <v>99670</v>
      </c>
      <c r="D392" s="4">
        <f t="shared" si="19"/>
        <v>9.1647500076529557E-3</v>
      </c>
      <c r="E392" s="4">
        <f t="shared" si="20"/>
        <v>8.4736450275691676E-3</v>
      </c>
      <c r="F392" s="3">
        <f t="shared" si="18"/>
        <v>2023</v>
      </c>
    </row>
    <row r="393" spans="1:6" ht="15" customHeight="1" x14ac:dyDescent="0.2">
      <c r="A393" s="2">
        <v>45013</v>
      </c>
      <c r="B393" s="3">
        <v>1812.4301</v>
      </c>
      <c r="C393" s="3">
        <v>101185</v>
      </c>
      <c r="D393" s="4">
        <f t="shared" si="19"/>
        <v>1.4902847626809688E-2</v>
      </c>
      <c r="E393" s="4">
        <f t="shared" si="20"/>
        <v>1.5085795544257924E-2</v>
      </c>
      <c r="F393" s="3">
        <f t="shared" si="18"/>
        <v>2023</v>
      </c>
    </row>
    <row r="394" spans="1:6" ht="15" customHeight="1" x14ac:dyDescent="0.2">
      <c r="A394" s="2">
        <v>45014</v>
      </c>
      <c r="B394" s="3">
        <v>1817.28</v>
      </c>
      <c r="C394" s="3">
        <v>101793</v>
      </c>
      <c r="D394" s="4">
        <f t="shared" si="19"/>
        <v>2.6723362211478153E-3</v>
      </c>
      <c r="E394" s="4">
        <f t="shared" si="20"/>
        <v>5.9908149495874058E-3</v>
      </c>
      <c r="F394" s="3">
        <f t="shared" si="18"/>
        <v>2023</v>
      </c>
    </row>
    <row r="395" spans="1:6" ht="15" customHeight="1" x14ac:dyDescent="0.2">
      <c r="A395" s="2">
        <v>45015</v>
      </c>
      <c r="B395" s="3">
        <v>1855.22</v>
      </c>
      <c r="C395" s="3">
        <v>103713</v>
      </c>
      <c r="D395" s="4">
        <f t="shared" si="19"/>
        <v>2.0662409702984878E-2</v>
      </c>
      <c r="E395" s="4">
        <f t="shared" si="20"/>
        <v>1.8686129525218156E-2</v>
      </c>
      <c r="F395" s="3">
        <f t="shared" si="18"/>
        <v>2023</v>
      </c>
    </row>
    <row r="396" spans="1:6" ht="15" customHeight="1" x14ac:dyDescent="0.2">
      <c r="A396" s="2">
        <v>45016</v>
      </c>
      <c r="B396" s="3">
        <v>1825.01</v>
      </c>
      <c r="C396" s="3">
        <v>101882</v>
      </c>
      <c r="D396" s="4">
        <f t="shared" si="19"/>
        <v>-1.6417820938418159E-2</v>
      </c>
      <c r="E396" s="4">
        <f t="shared" si="20"/>
        <v>-1.7812188141497452E-2</v>
      </c>
      <c r="F396" s="3">
        <f t="shared" si="18"/>
        <v>2023</v>
      </c>
    </row>
    <row r="397" spans="1:6" ht="15" customHeight="1" x14ac:dyDescent="0.2">
      <c r="A397" s="2">
        <v>45019</v>
      </c>
      <c r="B397" s="3">
        <v>1806.71</v>
      </c>
      <c r="C397" s="3">
        <v>101506</v>
      </c>
      <c r="D397" s="4">
        <f t="shared" si="19"/>
        <v>-1.0077954735841176E-2</v>
      </c>
      <c r="E397" s="4">
        <f t="shared" si="20"/>
        <v>-3.6973708217184699E-3</v>
      </c>
      <c r="F397" s="3">
        <f t="shared" si="18"/>
        <v>2023</v>
      </c>
    </row>
    <row r="398" spans="1:6" ht="15" customHeight="1" x14ac:dyDescent="0.2">
      <c r="A398" s="2">
        <v>45020</v>
      </c>
      <c r="B398" s="3">
        <v>1825.38</v>
      </c>
      <c r="C398" s="3">
        <v>101869</v>
      </c>
      <c r="D398" s="4">
        <f t="shared" si="19"/>
        <v>1.0280672802276297E-2</v>
      </c>
      <c r="E398" s="4">
        <f t="shared" si="20"/>
        <v>3.5697640858728891E-3</v>
      </c>
      <c r="F398" s="3">
        <f t="shared" si="18"/>
        <v>2023</v>
      </c>
    </row>
    <row r="399" spans="1:6" ht="15" customHeight="1" x14ac:dyDescent="0.2">
      <c r="A399" s="2">
        <v>45021</v>
      </c>
      <c r="B399" s="3">
        <v>1812.16</v>
      </c>
      <c r="C399" s="3">
        <v>100978</v>
      </c>
      <c r="D399" s="4">
        <f t="shared" si="19"/>
        <v>-7.268680594629537E-3</v>
      </c>
      <c r="E399" s="4">
        <f t="shared" si="20"/>
        <v>-8.7850027886137889E-3</v>
      </c>
      <c r="F399" s="3">
        <f t="shared" si="18"/>
        <v>2023</v>
      </c>
    </row>
    <row r="400" spans="1:6" ht="15" customHeight="1" x14ac:dyDescent="0.2">
      <c r="A400" s="2">
        <v>45022</v>
      </c>
      <c r="B400" s="3">
        <v>1807.46</v>
      </c>
      <c r="C400" s="3">
        <v>100822</v>
      </c>
      <c r="D400" s="4">
        <f t="shared" si="19"/>
        <v>-2.5969591512240765E-3</v>
      </c>
      <c r="E400" s="4">
        <f t="shared" si="20"/>
        <v>-1.5460855408815459E-3</v>
      </c>
      <c r="F400" s="3">
        <f t="shared" si="18"/>
        <v>2023</v>
      </c>
    </row>
    <row r="401" spans="1:6" ht="15" customHeight="1" x14ac:dyDescent="0.2">
      <c r="A401" s="2">
        <v>45026</v>
      </c>
      <c r="B401" s="3">
        <v>1820.59</v>
      </c>
      <c r="C401" s="3">
        <v>101847</v>
      </c>
      <c r="D401" s="4">
        <f t="shared" si="19"/>
        <v>7.2380795871712913E-3</v>
      </c>
      <c r="E401" s="4">
        <f t="shared" si="20"/>
        <v>1.0115101366414084E-2</v>
      </c>
      <c r="F401" s="3">
        <f t="shared" si="18"/>
        <v>2023</v>
      </c>
    </row>
    <row r="402" spans="1:6" ht="15" customHeight="1" x14ac:dyDescent="0.2">
      <c r="A402" s="2">
        <v>45027</v>
      </c>
      <c r="B402" s="3">
        <v>1896.2</v>
      </c>
      <c r="C402" s="3">
        <v>106214</v>
      </c>
      <c r="D402" s="4">
        <f t="shared" si="19"/>
        <v>4.0691259122471263E-2</v>
      </c>
      <c r="E402" s="4">
        <f t="shared" si="20"/>
        <v>4.1984239703449409E-2</v>
      </c>
      <c r="F402" s="3">
        <f t="shared" si="18"/>
        <v>2023</v>
      </c>
    </row>
    <row r="403" spans="1:6" ht="15" customHeight="1" x14ac:dyDescent="0.2">
      <c r="A403" s="2">
        <v>45028</v>
      </c>
      <c r="B403" s="3">
        <v>1920.4301</v>
      </c>
      <c r="C403" s="3">
        <v>106890</v>
      </c>
      <c r="D403" s="4">
        <f t="shared" si="19"/>
        <v>1.2697287868048128E-2</v>
      </c>
      <c r="E403" s="4">
        <f t="shared" si="20"/>
        <v>6.3443414244011755E-3</v>
      </c>
      <c r="F403" s="3">
        <f t="shared" si="18"/>
        <v>2023</v>
      </c>
    </row>
    <row r="404" spans="1:6" ht="15" customHeight="1" x14ac:dyDescent="0.2">
      <c r="A404" s="2">
        <v>45029</v>
      </c>
      <c r="B404" s="3">
        <v>1911.61</v>
      </c>
      <c r="C404" s="3">
        <v>106458</v>
      </c>
      <c r="D404" s="4">
        <f t="shared" si="19"/>
        <v>-4.6033524416661297E-3</v>
      </c>
      <c r="E404" s="4">
        <f t="shared" si="20"/>
        <v>-4.0497271163569644E-3</v>
      </c>
      <c r="F404" s="3">
        <f t="shared" si="18"/>
        <v>2023</v>
      </c>
    </row>
    <row r="405" spans="1:6" ht="15" customHeight="1" x14ac:dyDescent="0.2">
      <c r="A405" s="2">
        <v>45030</v>
      </c>
      <c r="B405" s="3">
        <v>1908.99</v>
      </c>
      <c r="C405" s="3">
        <v>106279</v>
      </c>
      <c r="D405" s="4">
        <f t="shared" si="19"/>
        <v>-1.3715125428964017E-3</v>
      </c>
      <c r="E405" s="4">
        <f t="shared" si="20"/>
        <v>-1.6828294301670728E-3</v>
      </c>
      <c r="F405" s="3">
        <f t="shared" si="18"/>
        <v>2023</v>
      </c>
    </row>
    <row r="406" spans="1:6" ht="15" customHeight="1" x14ac:dyDescent="0.2">
      <c r="A406" s="2">
        <v>45033</v>
      </c>
      <c r="B406" s="3">
        <v>1908.72</v>
      </c>
      <c r="C406" s="3">
        <v>106016</v>
      </c>
      <c r="D406" s="4">
        <f t="shared" si="19"/>
        <v>-1.4144605035491055E-4</v>
      </c>
      <c r="E406" s="4">
        <f t="shared" si="20"/>
        <v>-2.477685621844956E-3</v>
      </c>
      <c r="F406" s="3">
        <f t="shared" si="18"/>
        <v>2023</v>
      </c>
    </row>
    <row r="407" spans="1:6" ht="15" customHeight="1" x14ac:dyDescent="0.2">
      <c r="A407" s="2">
        <v>45034</v>
      </c>
      <c r="B407" s="3">
        <v>1903.89</v>
      </c>
      <c r="C407" s="3">
        <v>106163</v>
      </c>
      <c r="D407" s="4">
        <f t="shared" si="19"/>
        <v>-2.5336987438528327E-3</v>
      </c>
      <c r="E407" s="4">
        <f t="shared" si="20"/>
        <v>1.3856227385310406E-3</v>
      </c>
      <c r="F407" s="3">
        <f t="shared" si="18"/>
        <v>2023</v>
      </c>
    </row>
    <row r="408" spans="1:6" ht="15" customHeight="1" x14ac:dyDescent="0.2">
      <c r="A408" s="2">
        <v>45035</v>
      </c>
      <c r="B408" s="3">
        <v>1866.92</v>
      </c>
      <c r="C408" s="3">
        <v>103913</v>
      </c>
      <c r="D408" s="4">
        <f t="shared" si="19"/>
        <v>-1.9609147440641898E-2</v>
      </c>
      <c r="E408" s="4">
        <f t="shared" si="20"/>
        <v>-2.1421638269739165E-2</v>
      </c>
      <c r="F408" s="3">
        <f t="shared" si="18"/>
        <v>2023</v>
      </c>
    </row>
    <row r="409" spans="1:6" ht="15" customHeight="1" x14ac:dyDescent="0.2">
      <c r="A409" s="2">
        <v>45036</v>
      </c>
      <c r="B409" s="3">
        <v>1882.51</v>
      </c>
      <c r="C409" s="3">
        <v>104367</v>
      </c>
      <c r="D409" s="4">
        <f t="shared" si="19"/>
        <v>8.3159786124383274E-3</v>
      </c>
      <c r="E409" s="4">
        <f t="shared" si="20"/>
        <v>4.3595229406465834E-3</v>
      </c>
      <c r="F409" s="3">
        <f t="shared" si="18"/>
        <v>2023</v>
      </c>
    </row>
    <row r="410" spans="1:6" ht="15" customHeight="1" x14ac:dyDescent="0.2">
      <c r="A410" s="2">
        <v>45040</v>
      </c>
      <c r="B410" s="3">
        <v>1881.64</v>
      </c>
      <c r="C410" s="3">
        <v>103947</v>
      </c>
      <c r="D410" s="4">
        <f t="shared" si="19"/>
        <v>-4.6225576318254977E-4</v>
      </c>
      <c r="E410" s="4">
        <f t="shared" si="20"/>
        <v>-4.0323796682205171E-3</v>
      </c>
      <c r="F410" s="3">
        <f t="shared" si="18"/>
        <v>2023</v>
      </c>
    </row>
    <row r="411" spans="1:6" ht="15" customHeight="1" x14ac:dyDescent="0.2">
      <c r="A411" s="2">
        <v>45041</v>
      </c>
      <c r="B411" s="3">
        <v>1874.83</v>
      </c>
      <c r="C411" s="3">
        <v>103220</v>
      </c>
      <c r="D411" s="4">
        <f t="shared" si="19"/>
        <v>-3.625748354376557E-3</v>
      </c>
      <c r="E411" s="4">
        <f t="shared" si="20"/>
        <v>-7.0185211381221923E-3</v>
      </c>
      <c r="F411" s="3">
        <f t="shared" si="18"/>
        <v>2023</v>
      </c>
    </row>
    <row r="412" spans="1:6" ht="15" customHeight="1" x14ac:dyDescent="0.2">
      <c r="A412" s="2">
        <v>45042</v>
      </c>
      <c r="B412" s="3">
        <v>1856.76</v>
      </c>
      <c r="C412" s="3">
        <v>102312</v>
      </c>
      <c r="D412" s="4">
        <f t="shared" si="19"/>
        <v>-9.6849553377922684E-3</v>
      </c>
      <c r="E412" s="4">
        <f t="shared" si="20"/>
        <v>-8.8356645895622064E-3</v>
      </c>
      <c r="F412" s="3">
        <f t="shared" si="18"/>
        <v>2023</v>
      </c>
    </row>
    <row r="413" spans="1:6" ht="15" customHeight="1" x14ac:dyDescent="0.2">
      <c r="A413" s="2">
        <v>45043</v>
      </c>
      <c r="B413" s="3">
        <v>1870.23</v>
      </c>
      <c r="C413" s="3">
        <v>102923</v>
      </c>
      <c r="D413" s="4">
        <f t="shared" si="19"/>
        <v>7.2283846482351193E-3</v>
      </c>
      <c r="E413" s="4">
        <f t="shared" si="20"/>
        <v>5.9541677111834149E-3</v>
      </c>
      <c r="F413" s="3">
        <f t="shared" si="18"/>
        <v>2023</v>
      </c>
    </row>
    <row r="414" spans="1:6" ht="15" customHeight="1" x14ac:dyDescent="0.2">
      <c r="A414" s="2">
        <v>45044</v>
      </c>
      <c r="B414" s="3">
        <v>1898.23</v>
      </c>
      <c r="C414" s="3">
        <v>104432</v>
      </c>
      <c r="D414" s="4">
        <f t="shared" si="19"/>
        <v>1.4860455080003776E-2</v>
      </c>
      <c r="E414" s="4">
        <f t="shared" si="20"/>
        <v>1.4555006050659403E-2</v>
      </c>
      <c r="F414" s="3">
        <f t="shared" si="18"/>
        <v>2023</v>
      </c>
    </row>
    <row r="415" spans="1:6" ht="15" customHeight="1" x14ac:dyDescent="0.2">
      <c r="A415" s="2">
        <v>45048</v>
      </c>
      <c r="B415" s="3">
        <v>1860.98</v>
      </c>
      <c r="C415" s="3">
        <v>101927</v>
      </c>
      <c r="D415" s="4">
        <f t="shared" si="19"/>
        <v>-1.9818642343581386E-2</v>
      </c>
      <c r="E415" s="4">
        <f t="shared" si="20"/>
        <v>-2.4279271108780823E-2</v>
      </c>
      <c r="F415" s="3">
        <f t="shared" si="18"/>
        <v>2023</v>
      </c>
    </row>
    <row r="416" spans="1:6" ht="15" customHeight="1" x14ac:dyDescent="0.2">
      <c r="A416" s="2">
        <v>45049</v>
      </c>
      <c r="B416" s="3">
        <v>1863.36</v>
      </c>
      <c r="C416" s="3">
        <v>101797</v>
      </c>
      <c r="D416" s="4">
        <f t="shared" si="19"/>
        <v>1.2780789745161548E-3</v>
      </c>
      <c r="E416" s="4">
        <f t="shared" si="20"/>
        <v>-1.2762366500276377E-3</v>
      </c>
      <c r="F416" s="3">
        <f t="shared" si="18"/>
        <v>2023</v>
      </c>
    </row>
    <row r="417" spans="1:6" ht="15" customHeight="1" x14ac:dyDescent="0.2">
      <c r="A417" s="2">
        <v>45050</v>
      </c>
      <c r="B417" s="3">
        <v>1884.91</v>
      </c>
      <c r="C417" s="3">
        <v>102174</v>
      </c>
      <c r="D417" s="4">
        <f t="shared" si="19"/>
        <v>1.1498764735420133E-2</v>
      </c>
      <c r="E417" s="4">
        <f t="shared" si="20"/>
        <v>3.6966081384694721E-3</v>
      </c>
      <c r="F417" s="3">
        <f t="shared" si="18"/>
        <v>2023</v>
      </c>
    </row>
    <row r="418" spans="1:6" ht="15" customHeight="1" x14ac:dyDescent="0.2">
      <c r="A418" s="2">
        <v>45051</v>
      </c>
      <c r="B418" s="3">
        <v>1935.4399000000001</v>
      </c>
      <c r="C418" s="3">
        <v>105148</v>
      </c>
      <c r="D418" s="4">
        <f t="shared" si="19"/>
        <v>2.6454564743517772E-2</v>
      </c>
      <c r="E418" s="4">
        <f t="shared" si="20"/>
        <v>2.869163924831479E-2</v>
      </c>
      <c r="F418" s="3">
        <f t="shared" si="18"/>
        <v>2023</v>
      </c>
    </row>
    <row r="419" spans="1:6" ht="15" customHeight="1" x14ac:dyDescent="0.2">
      <c r="A419" s="2">
        <v>45054</v>
      </c>
      <c r="B419" s="3">
        <v>1947.88</v>
      </c>
      <c r="C419" s="3">
        <v>106042</v>
      </c>
      <c r="D419" s="4">
        <f t="shared" si="19"/>
        <v>6.4069625346179849E-3</v>
      </c>
      <c r="E419" s="4">
        <f t="shared" si="20"/>
        <v>8.4663605293671899E-3</v>
      </c>
      <c r="F419" s="3">
        <f t="shared" si="18"/>
        <v>2023</v>
      </c>
    </row>
    <row r="420" spans="1:6" ht="15" customHeight="1" x14ac:dyDescent="0.2">
      <c r="A420" s="2">
        <v>45055</v>
      </c>
      <c r="B420" s="3">
        <v>1971.27</v>
      </c>
      <c r="C420" s="3">
        <v>107114</v>
      </c>
      <c r="D420" s="4">
        <f t="shared" si="19"/>
        <v>1.19364034100126E-2</v>
      </c>
      <c r="E420" s="4">
        <f t="shared" si="20"/>
        <v>1.0058445814768979E-2</v>
      </c>
      <c r="F420" s="3">
        <f t="shared" si="18"/>
        <v>2023</v>
      </c>
    </row>
    <row r="421" spans="1:6" ht="15" customHeight="1" x14ac:dyDescent="0.2">
      <c r="A421" s="2">
        <v>45056</v>
      </c>
      <c r="B421" s="3">
        <v>1988.62</v>
      </c>
      <c r="C421" s="3">
        <v>107448</v>
      </c>
      <c r="D421" s="4">
        <f t="shared" si="19"/>
        <v>8.7629257498377765E-3</v>
      </c>
      <c r="E421" s="4">
        <f t="shared" si="20"/>
        <v>3.1133217418006982E-3</v>
      </c>
      <c r="F421" s="3">
        <f t="shared" si="18"/>
        <v>2023</v>
      </c>
    </row>
    <row r="422" spans="1:6" ht="15" customHeight="1" x14ac:dyDescent="0.2">
      <c r="A422" s="2">
        <v>45057</v>
      </c>
      <c r="B422" s="3">
        <v>2012.42</v>
      </c>
      <c r="C422" s="3">
        <v>108256</v>
      </c>
      <c r="D422" s="4">
        <f t="shared" si="19"/>
        <v>1.1897047127648502E-2</v>
      </c>
      <c r="E422" s="4">
        <f t="shared" si="20"/>
        <v>7.491782991523907E-3</v>
      </c>
      <c r="F422" s="3">
        <f t="shared" si="18"/>
        <v>2023</v>
      </c>
    </row>
    <row r="423" spans="1:6" ht="15" customHeight="1" x14ac:dyDescent="0.2">
      <c r="A423" s="2">
        <v>45058</v>
      </c>
      <c r="B423" s="3">
        <v>2005.28</v>
      </c>
      <c r="C423" s="3">
        <v>108464</v>
      </c>
      <c r="D423" s="4">
        <f t="shared" si="19"/>
        <v>-3.5542760865974535E-3</v>
      </c>
      <c r="E423" s="4">
        <f t="shared" si="20"/>
        <v>1.9195280903117284E-3</v>
      </c>
      <c r="F423" s="3">
        <f t="shared" si="18"/>
        <v>2023</v>
      </c>
    </row>
    <row r="424" spans="1:6" ht="15" customHeight="1" x14ac:dyDescent="0.2">
      <c r="A424" s="2">
        <v>45061</v>
      </c>
      <c r="B424" s="3">
        <v>2019.88</v>
      </c>
      <c r="C424" s="3">
        <v>109029</v>
      </c>
      <c r="D424" s="4">
        <f t="shared" si="19"/>
        <v>7.2544018268415429E-3</v>
      </c>
      <c r="E424" s="4">
        <f t="shared" si="20"/>
        <v>5.1955812000380585E-3</v>
      </c>
      <c r="F424" s="3">
        <f t="shared" si="18"/>
        <v>2023</v>
      </c>
    </row>
    <row r="425" spans="1:6" ht="15" customHeight="1" x14ac:dyDescent="0.2">
      <c r="A425" s="2">
        <v>45062</v>
      </c>
      <c r="B425" s="3">
        <v>1997.4</v>
      </c>
      <c r="C425" s="3">
        <v>108194</v>
      </c>
      <c r="D425" s="4">
        <f t="shared" si="19"/>
        <v>-1.1191768881019349E-2</v>
      </c>
      <c r="E425" s="4">
        <f t="shared" si="20"/>
        <v>-7.6879898788983613E-3</v>
      </c>
      <c r="F425" s="3">
        <f t="shared" si="18"/>
        <v>2023</v>
      </c>
    </row>
    <row r="426" spans="1:6" ht="15" customHeight="1" x14ac:dyDescent="0.2">
      <c r="A426" s="2">
        <v>45063</v>
      </c>
      <c r="B426" s="3">
        <v>2019.21</v>
      </c>
      <c r="C426" s="3">
        <v>109460</v>
      </c>
      <c r="D426" s="4">
        <f t="shared" si="19"/>
        <v>1.0860010982014815E-2</v>
      </c>
      <c r="E426" s="4">
        <f t="shared" si="20"/>
        <v>1.1633273706022523E-2</v>
      </c>
      <c r="F426" s="3">
        <f t="shared" si="18"/>
        <v>2023</v>
      </c>
    </row>
    <row r="427" spans="1:6" ht="15" customHeight="1" x14ac:dyDescent="0.2">
      <c r="A427" s="2">
        <v>45064</v>
      </c>
      <c r="B427" s="3">
        <v>2036.54</v>
      </c>
      <c r="C427" s="3">
        <v>110108</v>
      </c>
      <c r="D427" s="4">
        <f t="shared" si="19"/>
        <v>8.5459436463867725E-3</v>
      </c>
      <c r="E427" s="4">
        <f t="shared" si="20"/>
        <v>5.9025165902391154E-3</v>
      </c>
      <c r="F427" s="3">
        <f t="shared" si="18"/>
        <v>2023</v>
      </c>
    </row>
    <row r="428" spans="1:6" ht="15" customHeight="1" x14ac:dyDescent="0.2">
      <c r="A428" s="2">
        <v>45065</v>
      </c>
      <c r="B428" s="3">
        <v>2058.5700999999999</v>
      </c>
      <c r="C428" s="3">
        <v>110745</v>
      </c>
      <c r="D428" s="4">
        <f t="shared" si="19"/>
        <v>1.0759326115461198E-2</v>
      </c>
      <c r="E428" s="4">
        <f t="shared" si="20"/>
        <v>5.7685588732272882E-3</v>
      </c>
      <c r="F428" s="3">
        <f t="shared" si="18"/>
        <v>2023</v>
      </c>
    </row>
    <row r="429" spans="1:6" ht="15" customHeight="1" x14ac:dyDescent="0.2">
      <c r="A429" s="2">
        <v>45068</v>
      </c>
      <c r="B429" s="3">
        <v>2055.54</v>
      </c>
      <c r="C429" s="3">
        <v>110213</v>
      </c>
      <c r="D429" s="4">
        <f t="shared" si="19"/>
        <v>-1.4730284189019519E-3</v>
      </c>
      <c r="E429" s="4">
        <f t="shared" si="20"/>
        <v>-4.81540408589961E-3</v>
      </c>
      <c r="F429" s="3">
        <f t="shared" si="18"/>
        <v>2023</v>
      </c>
    </row>
    <row r="430" spans="1:6" ht="15" customHeight="1" x14ac:dyDescent="0.2">
      <c r="A430" s="2">
        <v>45069</v>
      </c>
      <c r="B430" s="3">
        <v>2052.3101000000001</v>
      </c>
      <c r="C430" s="3">
        <v>109929</v>
      </c>
      <c r="D430" s="4">
        <f t="shared" si="19"/>
        <v>-1.5725504032415146E-3</v>
      </c>
      <c r="E430" s="4">
        <f t="shared" si="20"/>
        <v>-2.5801542418404473E-3</v>
      </c>
      <c r="F430" s="3">
        <f t="shared" si="18"/>
        <v>2023</v>
      </c>
    </row>
    <row r="431" spans="1:6" ht="15" customHeight="1" x14ac:dyDescent="0.2">
      <c r="A431" s="2">
        <v>45070</v>
      </c>
      <c r="B431" s="3">
        <v>2031.0600999999999</v>
      </c>
      <c r="C431" s="3">
        <v>108800</v>
      </c>
      <c r="D431" s="4">
        <f t="shared" si="19"/>
        <v>-1.0408163253865723E-2</v>
      </c>
      <c r="E431" s="4">
        <f t="shared" si="20"/>
        <v>-1.0323368429656242E-2</v>
      </c>
      <c r="F431" s="3">
        <f t="shared" si="18"/>
        <v>2023</v>
      </c>
    </row>
    <row r="432" spans="1:6" ht="15" customHeight="1" x14ac:dyDescent="0.2">
      <c r="A432" s="2">
        <v>45071</v>
      </c>
      <c r="B432" s="3">
        <v>2063.0700999999999</v>
      </c>
      <c r="C432" s="3">
        <v>110054</v>
      </c>
      <c r="D432" s="4">
        <f t="shared" si="19"/>
        <v>1.5637339658368041E-2</v>
      </c>
      <c r="E432" s="4">
        <f t="shared" si="20"/>
        <v>1.1459820005035749E-2</v>
      </c>
      <c r="F432" s="3">
        <f t="shared" si="18"/>
        <v>2023</v>
      </c>
    </row>
    <row r="433" spans="1:6" ht="15" customHeight="1" x14ac:dyDescent="0.2">
      <c r="A433" s="2">
        <v>45072</v>
      </c>
      <c r="B433" s="3">
        <v>2073.0300000000002</v>
      </c>
      <c r="C433" s="3">
        <v>110906</v>
      </c>
      <c r="D433" s="4">
        <f t="shared" si="19"/>
        <v>4.8160919758374809E-3</v>
      </c>
      <c r="E433" s="4">
        <f t="shared" si="20"/>
        <v>7.7118412612509433E-3</v>
      </c>
      <c r="F433" s="3">
        <f t="shared" si="18"/>
        <v>2023</v>
      </c>
    </row>
    <row r="434" spans="1:6" ht="15" customHeight="1" x14ac:dyDescent="0.2">
      <c r="A434" s="2">
        <v>45075</v>
      </c>
      <c r="B434" s="3">
        <v>2064.5100000000002</v>
      </c>
      <c r="C434" s="3">
        <v>110333</v>
      </c>
      <c r="D434" s="4">
        <f t="shared" si="19"/>
        <v>-4.118395008837452E-3</v>
      </c>
      <c r="E434" s="4">
        <f t="shared" si="20"/>
        <v>-5.1799301317757155E-3</v>
      </c>
      <c r="F434" s="3">
        <f t="shared" si="18"/>
        <v>2023</v>
      </c>
    </row>
    <row r="435" spans="1:6" ht="15" customHeight="1" x14ac:dyDescent="0.2">
      <c r="A435" s="2">
        <v>45076</v>
      </c>
      <c r="B435" s="3">
        <v>2042.48</v>
      </c>
      <c r="C435" s="3">
        <v>108967</v>
      </c>
      <c r="D435" s="4">
        <f t="shared" si="19"/>
        <v>-1.072815433770387E-2</v>
      </c>
      <c r="E435" s="4">
        <f t="shared" si="20"/>
        <v>-1.2457981459515256E-2</v>
      </c>
      <c r="F435" s="3">
        <f t="shared" si="18"/>
        <v>2023</v>
      </c>
    </row>
    <row r="436" spans="1:6" ht="15" customHeight="1" x14ac:dyDescent="0.2">
      <c r="A436" s="2">
        <v>45077</v>
      </c>
      <c r="B436" s="3">
        <v>2034.09</v>
      </c>
      <c r="C436" s="3">
        <v>108335</v>
      </c>
      <c r="D436" s="4">
        <f t="shared" si="19"/>
        <v>-4.1162113473408425E-3</v>
      </c>
      <c r="E436" s="4">
        <f t="shared" si="20"/>
        <v>-5.8168059381675701E-3</v>
      </c>
      <c r="F436" s="3">
        <f t="shared" si="18"/>
        <v>2023</v>
      </c>
    </row>
    <row r="437" spans="1:6" ht="15" customHeight="1" x14ac:dyDescent="0.2">
      <c r="A437" s="2">
        <v>45078</v>
      </c>
      <c r="B437" s="3">
        <v>2077.6100999999999</v>
      </c>
      <c r="C437" s="3">
        <v>110565</v>
      </c>
      <c r="D437" s="4">
        <f t="shared" si="19"/>
        <v>2.116969829802437E-2</v>
      </c>
      <c r="E437" s="4">
        <f t="shared" si="20"/>
        <v>2.0375305150691376E-2</v>
      </c>
      <c r="F437" s="3">
        <f t="shared" si="18"/>
        <v>2023</v>
      </c>
    </row>
    <row r="438" spans="1:6" ht="15" customHeight="1" x14ac:dyDescent="0.2">
      <c r="A438" s="2">
        <v>45079</v>
      </c>
      <c r="B438" s="3">
        <v>2101.9099000000001</v>
      </c>
      <c r="C438" s="3">
        <v>112558</v>
      </c>
      <c r="D438" s="4">
        <f t="shared" si="19"/>
        <v>1.1628164863870132E-2</v>
      </c>
      <c r="E438" s="4">
        <f t="shared" si="20"/>
        <v>1.7865061037563173E-2</v>
      </c>
      <c r="F438" s="3">
        <f t="shared" si="18"/>
        <v>2023</v>
      </c>
    </row>
    <row r="439" spans="1:6" ht="15" customHeight="1" x14ac:dyDescent="0.2">
      <c r="A439" s="2">
        <v>45082</v>
      </c>
      <c r="B439" s="3">
        <v>2107.8501000000001</v>
      </c>
      <c r="C439" s="3">
        <v>112696</v>
      </c>
      <c r="D439" s="4">
        <f t="shared" si="19"/>
        <v>2.8221104967809658E-3</v>
      </c>
      <c r="E439" s="4">
        <f t="shared" si="20"/>
        <v>1.2252836110806717E-3</v>
      </c>
      <c r="F439" s="3">
        <f t="shared" si="18"/>
        <v>2023</v>
      </c>
    </row>
    <row r="440" spans="1:6" ht="15" customHeight="1" x14ac:dyDescent="0.2">
      <c r="A440" s="2">
        <v>45083</v>
      </c>
      <c r="B440" s="3">
        <v>2150.0601000000001</v>
      </c>
      <c r="C440" s="3">
        <v>114610</v>
      </c>
      <c r="D440" s="4">
        <f t="shared" si="19"/>
        <v>1.9827277143502235E-2</v>
      </c>
      <c r="E440" s="4">
        <f t="shared" si="20"/>
        <v>1.6841132550602083E-2</v>
      </c>
      <c r="F440" s="3">
        <f t="shared" si="18"/>
        <v>2023</v>
      </c>
    </row>
    <row r="441" spans="1:6" ht="15" customHeight="1" x14ac:dyDescent="0.2">
      <c r="A441" s="2">
        <v>45084</v>
      </c>
      <c r="B441" s="3">
        <v>2160.7399999999998</v>
      </c>
      <c r="C441" s="3">
        <v>115488</v>
      </c>
      <c r="D441" s="4">
        <f t="shared" si="19"/>
        <v>4.9549603799716032E-3</v>
      </c>
      <c r="E441" s="4">
        <f t="shared" si="20"/>
        <v>7.6315679517702526E-3</v>
      </c>
      <c r="F441" s="3">
        <f t="shared" si="18"/>
        <v>2023</v>
      </c>
    </row>
    <row r="442" spans="1:6" ht="15" customHeight="1" x14ac:dyDescent="0.2">
      <c r="A442" s="2">
        <v>45086</v>
      </c>
      <c r="B442" s="3">
        <v>2190.1201000000001</v>
      </c>
      <c r="C442" s="3">
        <v>117019</v>
      </c>
      <c r="D442" s="4">
        <f t="shared" si="19"/>
        <v>1.3505626890166234E-2</v>
      </c>
      <c r="E442" s="4">
        <f t="shared" si="20"/>
        <v>1.3169686315428942E-2</v>
      </c>
      <c r="F442" s="3">
        <f t="shared" si="18"/>
        <v>2023</v>
      </c>
    </row>
    <row r="443" spans="1:6" ht="15" customHeight="1" x14ac:dyDescent="0.2">
      <c r="A443" s="2">
        <v>45089</v>
      </c>
      <c r="B443" s="3">
        <v>2204.6498999999999</v>
      </c>
      <c r="C443" s="3">
        <v>117336</v>
      </c>
      <c r="D443" s="4">
        <f t="shared" si="19"/>
        <v>6.6123382750494578E-3</v>
      </c>
      <c r="E443" s="4">
        <f t="shared" si="20"/>
        <v>2.7052991686470039E-3</v>
      </c>
      <c r="F443" s="3">
        <f t="shared" si="18"/>
        <v>2023</v>
      </c>
    </row>
    <row r="444" spans="1:6" ht="15" customHeight="1" x14ac:dyDescent="0.2">
      <c r="A444" s="2">
        <v>45090</v>
      </c>
      <c r="B444" s="3">
        <v>2183.79</v>
      </c>
      <c r="C444" s="3">
        <v>116743</v>
      </c>
      <c r="D444" s="4">
        <f t="shared" si="19"/>
        <v>-9.506821369012191E-3</v>
      </c>
      <c r="E444" s="4">
        <f t="shared" si="20"/>
        <v>-5.0666763663981835E-3</v>
      </c>
      <c r="F444" s="3">
        <f t="shared" si="18"/>
        <v>2023</v>
      </c>
    </row>
    <row r="445" spans="1:6" ht="15" customHeight="1" x14ac:dyDescent="0.2">
      <c r="A445" s="2">
        <v>45091</v>
      </c>
      <c r="B445" s="3">
        <v>2223.8200999999999</v>
      </c>
      <c r="C445" s="3">
        <v>119069</v>
      </c>
      <c r="D445" s="4">
        <f t="shared" si="19"/>
        <v>1.8164583415343057E-2</v>
      </c>
      <c r="E445" s="4">
        <f t="shared" si="20"/>
        <v>1.9728219428663984E-2</v>
      </c>
      <c r="F445" s="3">
        <f t="shared" si="18"/>
        <v>2023</v>
      </c>
    </row>
    <row r="446" spans="1:6" ht="15" customHeight="1" x14ac:dyDescent="0.2">
      <c r="A446" s="2">
        <v>45092</v>
      </c>
      <c r="B446" s="3">
        <v>2227.8400999999999</v>
      </c>
      <c r="C446" s="3">
        <v>119221</v>
      </c>
      <c r="D446" s="4">
        <f t="shared" si="19"/>
        <v>1.8060682586378623E-3</v>
      </c>
      <c r="E446" s="4">
        <f t="shared" si="20"/>
        <v>1.2757566042694954E-3</v>
      </c>
      <c r="F446" s="3">
        <f t="shared" si="18"/>
        <v>2023</v>
      </c>
    </row>
    <row r="447" spans="1:6" ht="15" customHeight="1" x14ac:dyDescent="0.2">
      <c r="A447" s="2">
        <v>45093</v>
      </c>
      <c r="B447" s="3">
        <v>2212.5500000000002</v>
      </c>
      <c r="C447" s="3">
        <v>118758</v>
      </c>
      <c r="D447" s="4">
        <f t="shared" si="19"/>
        <v>-6.8868545727546046E-3</v>
      </c>
      <c r="E447" s="4">
        <f t="shared" si="20"/>
        <v>-3.8911045443364191E-3</v>
      </c>
      <c r="F447" s="3">
        <f t="shared" si="18"/>
        <v>2023</v>
      </c>
    </row>
    <row r="448" spans="1:6" ht="15" customHeight="1" x14ac:dyDescent="0.2">
      <c r="A448" s="2">
        <v>45096</v>
      </c>
      <c r="B448" s="3">
        <v>2236.6698999999999</v>
      </c>
      <c r="C448" s="3">
        <v>119858</v>
      </c>
      <c r="D448" s="4">
        <f t="shared" si="19"/>
        <v>1.0842411403359059E-2</v>
      </c>
      <c r="E448" s="4">
        <f t="shared" si="20"/>
        <v>9.2198996903481677E-3</v>
      </c>
      <c r="F448" s="3">
        <f t="shared" si="18"/>
        <v>2023</v>
      </c>
    </row>
    <row r="449" spans="1:6" ht="15" customHeight="1" x14ac:dyDescent="0.2">
      <c r="A449" s="2">
        <v>45097</v>
      </c>
      <c r="B449" s="3">
        <v>2243.8600999999999</v>
      </c>
      <c r="C449" s="3">
        <v>119622</v>
      </c>
      <c r="D449" s="4">
        <f t="shared" si="19"/>
        <v>3.2095337704470626E-3</v>
      </c>
      <c r="E449" s="4">
        <f t="shared" si="20"/>
        <v>-1.9709376682565021E-3</v>
      </c>
      <c r="F449" s="3">
        <f t="shared" si="18"/>
        <v>2023</v>
      </c>
    </row>
    <row r="450" spans="1:6" ht="15" customHeight="1" x14ac:dyDescent="0.2">
      <c r="A450" s="2">
        <v>45098</v>
      </c>
      <c r="B450" s="3">
        <v>2256.9398999999999</v>
      </c>
      <c r="C450" s="3">
        <v>120420</v>
      </c>
      <c r="D450" s="4">
        <f t="shared" si="19"/>
        <v>5.8122275247884953E-3</v>
      </c>
      <c r="E450" s="4">
        <f t="shared" si="20"/>
        <v>6.648860947556989E-3</v>
      </c>
      <c r="F450" s="3">
        <f t="shared" ref="F450:F513" si="21">YEAR(A450)</f>
        <v>2023</v>
      </c>
    </row>
    <row r="451" spans="1:6" ht="15" customHeight="1" x14ac:dyDescent="0.2">
      <c r="A451" s="2">
        <v>45099</v>
      </c>
      <c r="B451" s="3">
        <v>2225.6498999999999</v>
      </c>
      <c r="C451" s="3">
        <v>118934</v>
      </c>
      <c r="D451" s="4">
        <f t="shared" ref="D451:D514" si="22">LN(B451/B450)</f>
        <v>-1.3960906357350557E-2</v>
      </c>
      <c r="E451" s="4">
        <f t="shared" ref="E451:E514" si="23">LN(C451/C450)</f>
        <v>-1.2416914633101283E-2</v>
      </c>
      <c r="F451" s="3">
        <f t="shared" si="21"/>
        <v>2023</v>
      </c>
    </row>
    <row r="452" spans="1:6" ht="15" customHeight="1" x14ac:dyDescent="0.2">
      <c r="A452" s="2">
        <v>45100</v>
      </c>
      <c r="B452" s="3">
        <v>2233.6799000000001</v>
      </c>
      <c r="C452" s="3">
        <v>118977</v>
      </c>
      <c r="D452" s="4">
        <f t="shared" si="22"/>
        <v>3.6014419383590597E-3</v>
      </c>
      <c r="E452" s="4">
        <f t="shared" si="23"/>
        <v>3.614797169379921E-4</v>
      </c>
      <c r="F452" s="3">
        <f t="shared" si="21"/>
        <v>2023</v>
      </c>
    </row>
    <row r="453" spans="1:6" ht="15" customHeight="1" x14ac:dyDescent="0.2">
      <c r="A453" s="2">
        <v>45103</v>
      </c>
      <c r="B453" s="3">
        <v>2211.1201000000001</v>
      </c>
      <c r="C453" s="3">
        <v>118243</v>
      </c>
      <c r="D453" s="4">
        <f t="shared" si="22"/>
        <v>-1.0151185081659462E-2</v>
      </c>
      <c r="E453" s="4">
        <f t="shared" si="23"/>
        <v>-6.1883681176211772E-3</v>
      </c>
      <c r="F453" s="3">
        <f t="shared" si="21"/>
        <v>2023</v>
      </c>
    </row>
    <row r="454" spans="1:6" ht="15" customHeight="1" x14ac:dyDescent="0.2">
      <c r="A454" s="2">
        <v>45104</v>
      </c>
      <c r="B454" s="3">
        <v>2191.4198999999999</v>
      </c>
      <c r="C454" s="3">
        <v>117523</v>
      </c>
      <c r="D454" s="4">
        <f t="shared" si="22"/>
        <v>-8.9495298118573863E-3</v>
      </c>
      <c r="E454" s="4">
        <f t="shared" si="23"/>
        <v>-6.107769892942953E-3</v>
      </c>
      <c r="F454" s="3">
        <f t="shared" si="21"/>
        <v>2023</v>
      </c>
    </row>
    <row r="455" spans="1:6" ht="15" customHeight="1" x14ac:dyDescent="0.2">
      <c r="A455" s="2">
        <v>45105</v>
      </c>
      <c r="B455" s="3">
        <v>2179.8798999999999</v>
      </c>
      <c r="C455" s="3">
        <v>116681</v>
      </c>
      <c r="D455" s="4">
        <f t="shared" si="22"/>
        <v>-5.2799063604672776E-3</v>
      </c>
      <c r="E455" s="4">
        <f t="shared" si="23"/>
        <v>-7.1903436976882727E-3</v>
      </c>
      <c r="F455" s="3">
        <f t="shared" si="21"/>
        <v>2023</v>
      </c>
    </row>
    <row r="456" spans="1:6" ht="15" customHeight="1" x14ac:dyDescent="0.2">
      <c r="A456" s="2">
        <v>45106</v>
      </c>
      <c r="B456" s="3">
        <v>2219.2800000000002</v>
      </c>
      <c r="C456" s="3">
        <v>118383</v>
      </c>
      <c r="D456" s="4">
        <f t="shared" si="22"/>
        <v>1.7913035415083347E-2</v>
      </c>
      <c r="E456" s="4">
        <f t="shared" si="23"/>
        <v>1.4481415648187869E-2</v>
      </c>
      <c r="F456" s="3">
        <f t="shared" si="21"/>
        <v>2023</v>
      </c>
    </row>
    <row r="457" spans="1:6" ht="15" customHeight="1" x14ac:dyDescent="0.2">
      <c r="A457" s="2">
        <v>45107</v>
      </c>
      <c r="B457" s="3">
        <v>2226.5900999999999</v>
      </c>
      <c r="C457" s="3">
        <v>118087</v>
      </c>
      <c r="D457" s="4">
        <f t="shared" si="22"/>
        <v>3.2884931063239787E-3</v>
      </c>
      <c r="E457" s="4">
        <f t="shared" si="23"/>
        <v>-2.5034901221922604E-3</v>
      </c>
      <c r="F457" s="3">
        <f t="shared" si="21"/>
        <v>2023</v>
      </c>
    </row>
    <row r="458" spans="1:6" ht="15" customHeight="1" x14ac:dyDescent="0.2">
      <c r="A458" s="2">
        <v>45110</v>
      </c>
      <c r="B458" s="3">
        <v>2247.4699999999998</v>
      </c>
      <c r="C458" s="3">
        <v>119673</v>
      </c>
      <c r="D458" s="4">
        <f t="shared" si="22"/>
        <v>9.3338270482433826E-3</v>
      </c>
      <c r="E458" s="4">
        <f t="shared" si="23"/>
        <v>1.3341382272906427E-2</v>
      </c>
      <c r="F458" s="3">
        <f t="shared" si="21"/>
        <v>2023</v>
      </c>
    </row>
    <row r="459" spans="1:6" ht="15" customHeight="1" x14ac:dyDescent="0.2">
      <c r="A459" s="2">
        <v>45111</v>
      </c>
      <c r="B459" s="3">
        <v>2234.2600000000002</v>
      </c>
      <c r="C459" s="3">
        <v>119076</v>
      </c>
      <c r="D459" s="4">
        <f t="shared" si="22"/>
        <v>-5.8950620657066454E-3</v>
      </c>
      <c r="E459" s="4">
        <f t="shared" si="23"/>
        <v>-5.0010784906834721E-3</v>
      </c>
      <c r="F459" s="3">
        <f t="shared" si="21"/>
        <v>2023</v>
      </c>
    </row>
    <row r="460" spans="1:6" ht="15" customHeight="1" x14ac:dyDescent="0.2">
      <c r="A460" s="2">
        <v>45112</v>
      </c>
      <c r="B460" s="3">
        <v>2248.8501000000001</v>
      </c>
      <c r="C460" s="3">
        <v>119549</v>
      </c>
      <c r="D460" s="4">
        <f t="shared" si="22"/>
        <v>6.5089418663645685E-3</v>
      </c>
      <c r="E460" s="4">
        <f t="shared" si="23"/>
        <v>3.9643844482828263E-3</v>
      </c>
      <c r="F460" s="3">
        <f t="shared" si="21"/>
        <v>2023</v>
      </c>
    </row>
    <row r="461" spans="1:6" ht="15" customHeight="1" x14ac:dyDescent="0.2">
      <c r="A461" s="2">
        <v>45113</v>
      </c>
      <c r="B461" s="3">
        <v>2202.5700999999999</v>
      </c>
      <c r="C461" s="3">
        <v>117426</v>
      </c>
      <c r="D461" s="4">
        <f t="shared" si="22"/>
        <v>-2.0794113120081399E-2</v>
      </c>
      <c r="E461" s="4">
        <f t="shared" si="23"/>
        <v>-1.7917981217500378E-2</v>
      </c>
      <c r="F461" s="3">
        <f t="shared" si="21"/>
        <v>2023</v>
      </c>
    </row>
    <row r="462" spans="1:6" ht="15" customHeight="1" x14ac:dyDescent="0.2">
      <c r="A462" s="2">
        <v>45114</v>
      </c>
      <c r="B462" s="3">
        <v>2233.9499999999998</v>
      </c>
      <c r="C462" s="3">
        <v>118898</v>
      </c>
      <c r="D462" s="4">
        <f t="shared" si="22"/>
        <v>1.4146413227349256E-2</v>
      </c>
      <c r="E462" s="4">
        <f t="shared" si="23"/>
        <v>1.2457634746513064E-2</v>
      </c>
      <c r="F462" s="3">
        <f t="shared" si="21"/>
        <v>2023</v>
      </c>
    </row>
    <row r="463" spans="1:6" ht="15" customHeight="1" x14ac:dyDescent="0.2">
      <c r="A463" s="2">
        <v>45117</v>
      </c>
      <c r="B463" s="3">
        <v>2216.02</v>
      </c>
      <c r="C463" s="3">
        <v>117942</v>
      </c>
      <c r="D463" s="4">
        <f t="shared" si="22"/>
        <v>-8.0585249027812032E-3</v>
      </c>
      <c r="E463" s="4">
        <f t="shared" si="23"/>
        <v>-8.0730044936836217E-3</v>
      </c>
      <c r="F463" s="3">
        <f t="shared" si="21"/>
        <v>2023</v>
      </c>
    </row>
    <row r="464" spans="1:6" ht="15" customHeight="1" x14ac:dyDescent="0.2">
      <c r="A464" s="2">
        <v>45118</v>
      </c>
      <c r="B464" s="3">
        <v>2192.9398999999999</v>
      </c>
      <c r="C464" s="3">
        <v>117556</v>
      </c>
      <c r="D464" s="4">
        <f t="shared" si="22"/>
        <v>-1.0469730435608143E-2</v>
      </c>
      <c r="E464" s="4">
        <f t="shared" si="23"/>
        <v>-3.2781624105016911E-3</v>
      </c>
      <c r="F464" s="3">
        <f t="shared" si="21"/>
        <v>2023</v>
      </c>
    </row>
    <row r="465" spans="1:6" ht="15" customHeight="1" x14ac:dyDescent="0.2">
      <c r="A465" s="2">
        <v>45119</v>
      </c>
      <c r="B465" s="3">
        <v>2193.02</v>
      </c>
      <c r="C465" s="3">
        <v>117666</v>
      </c>
      <c r="D465" s="4">
        <f t="shared" si="22"/>
        <v>3.6525641745525115E-5</v>
      </c>
      <c r="E465" s="4">
        <f t="shared" si="23"/>
        <v>9.3528673354224053E-4</v>
      </c>
      <c r="F465" s="3">
        <f t="shared" si="21"/>
        <v>2023</v>
      </c>
    </row>
    <row r="466" spans="1:6" ht="15" customHeight="1" x14ac:dyDescent="0.2">
      <c r="A466" s="2">
        <v>45120</v>
      </c>
      <c r="B466" s="3">
        <v>2217.29</v>
      </c>
      <c r="C466" s="3">
        <v>119264</v>
      </c>
      <c r="D466" s="4">
        <f t="shared" si="22"/>
        <v>1.1006140155811261E-2</v>
      </c>
      <c r="E466" s="4">
        <f t="shared" si="23"/>
        <v>1.3489420770090722E-2</v>
      </c>
      <c r="F466" s="3">
        <f t="shared" si="21"/>
        <v>2023</v>
      </c>
    </row>
    <row r="467" spans="1:6" ht="15" customHeight="1" x14ac:dyDescent="0.2">
      <c r="A467" s="2">
        <v>45121</v>
      </c>
      <c r="B467" s="3">
        <v>2184.3501000000001</v>
      </c>
      <c r="C467" s="3">
        <v>117711</v>
      </c>
      <c r="D467" s="4">
        <f t="shared" si="22"/>
        <v>-1.496738224358022E-2</v>
      </c>
      <c r="E467" s="4">
        <f t="shared" si="23"/>
        <v>-1.3107055453613179E-2</v>
      </c>
      <c r="F467" s="3">
        <f t="shared" si="21"/>
        <v>2023</v>
      </c>
    </row>
    <row r="468" spans="1:6" ht="15" customHeight="1" x14ac:dyDescent="0.2">
      <c r="A468" s="2">
        <v>45124</v>
      </c>
      <c r="B468" s="3">
        <v>2200.6399000000001</v>
      </c>
      <c r="C468" s="3">
        <v>118219</v>
      </c>
      <c r="D468" s="4">
        <f t="shared" si="22"/>
        <v>7.4298344745706959E-3</v>
      </c>
      <c r="E468" s="4">
        <f t="shared" si="23"/>
        <v>4.3063687115961168E-3</v>
      </c>
      <c r="F468" s="3">
        <f t="shared" si="21"/>
        <v>2023</v>
      </c>
    </row>
    <row r="469" spans="1:6" ht="15" customHeight="1" x14ac:dyDescent="0.2">
      <c r="A469" s="2">
        <v>45125</v>
      </c>
      <c r="B469" s="3">
        <v>2194.6999999999998</v>
      </c>
      <c r="C469" s="3">
        <v>117841</v>
      </c>
      <c r="D469" s="4">
        <f t="shared" si="22"/>
        <v>-2.7028187813313265E-3</v>
      </c>
      <c r="E469" s="4">
        <f t="shared" si="23"/>
        <v>-3.2025783536385219E-3</v>
      </c>
      <c r="F469" s="3">
        <f t="shared" si="21"/>
        <v>2023</v>
      </c>
    </row>
    <row r="470" spans="1:6" ht="15" customHeight="1" x14ac:dyDescent="0.2">
      <c r="A470" s="2">
        <v>45126</v>
      </c>
      <c r="B470" s="3">
        <v>2187.6999999999998</v>
      </c>
      <c r="C470" s="3">
        <v>117552</v>
      </c>
      <c r="D470" s="4">
        <f t="shared" si="22"/>
        <v>-3.1945992849519728E-3</v>
      </c>
      <c r="E470" s="4">
        <f t="shared" si="23"/>
        <v>-2.4554693232708377E-3</v>
      </c>
      <c r="F470" s="3">
        <f t="shared" si="21"/>
        <v>2023</v>
      </c>
    </row>
    <row r="471" spans="1:6" ht="15" customHeight="1" x14ac:dyDescent="0.2">
      <c r="A471" s="2">
        <v>45127</v>
      </c>
      <c r="B471" s="3">
        <v>2199.02</v>
      </c>
      <c r="C471" s="3">
        <v>118083</v>
      </c>
      <c r="D471" s="4">
        <f t="shared" si="22"/>
        <v>5.1610429327421494E-3</v>
      </c>
      <c r="E471" s="4">
        <f t="shared" si="23"/>
        <v>4.5069781555661303E-3</v>
      </c>
      <c r="F471" s="3">
        <f t="shared" si="21"/>
        <v>2023</v>
      </c>
    </row>
    <row r="472" spans="1:6" ht="15" customHeight="1" x14ac:dyDescent="0.2">
      <c r="A472" s="2">
        <v>45128</v>
      </c>
      <c r="B472" s="3">
        <v>2244.1898999999999</v>
      </c>
      <c r="C472" s="3">
        <v>120217</v>
      </c>
      <c r="D472" s="4">
        <f t="shared" si="22"/>
        <v>2.0332803173883168E-2</v>
      </c>
      <c r="E472" s="4">
        <f t="shared" si="23"/>
        <v>1.7910676015625137E-2</v>
      </c>
      <c r="F472" s="3">
        <f t="shared" si="21"/>
        <v>2023</v>
      </c>
    </row>
    <row r="473" spans="1:6" ht="15" customHeight="1" x14ac:dyDescent="0.2">
      <c r="A473" s="2">
        <v>45131</v>
      </c>
      <c r="B473" s="3">
        <v>2252</v>
      </c>
      <c r="C473" s="3">
        <v>121342</v>
      </c>
      <c r="D473" s="4">
        <f t="shared" si="22"/>
        <v>3.4741005290947736E-3</v>
      </c>
      <c r="E473" s="4">
        <f t="shared" si="23"/>
        <v>9.3145619400477088E-3</v>
      </c>
      <c r="F473" s="3">
        <f t="shared" si="21"/>
        <v>2023</v>
      </c>
    </row>
    <row r="474" spans="1:6" ht="15" customHeight="1" x14ac:dyDescent="0.2">
      <c r="A474" s="2">
        <v>45132</v>
      </c>
      <c r="B474" s="3">
        <v>2249.73</v>
      </c>
      <c r="C474" s="3">
        <v>122008</v>
      </c>
      <c r="D474" s="4">
        <f t="shared" si="22"/>
        <v>-1.0085012616912309E-3</v>
      </c>
      <c r="E474" s="4">
        <f t="shared" si="23"/>
        <v>5.47361136472209E-3</v>
      </c>
      <c r="F474" s="3">
        <f t="shared" si="21"/>
        <v>2023</v>
      </c>
    </row>
    <row r="475" spans="1:6" ht="15" customHeight="1" x14ac:dyDescent="0.2">
      <c r="A475" s="2">
        <v>45133</v>
      </c>
      <c r="B475" s="3">
        <v>2261.5601000000001</v>
      </c>
      <c r="C475" s="3">
        <v>122560</v>
      </c>
      <c r="D475" s="4">
        <f t="shared" si="22"/>
        <v>5.2446758487841392E-3</v>
      </c>
      <c r="E475" s="4">
        <f t="shared" si="23"/>
        <v>4.5140896383985274E-3</v>
      </c>
      <c r="F475" s="3">
        <f t="shared" si="21"/>
        <v>2023</v>
      </c>
    </row>
    <row r="476" spans="1:6" ht="15" customHeight="1" x14ac:dyDescent="0.2">
      <c r="A476" s="2">
        <v>45134</v>
      </c>
      <c r="B476" s="3">
        <v>2221.1799000000001</v>
      </c>
      <c r="C476" s="3">
        <v>119990</v>
      </c>
      <c r="D476" s="4">
        <f t="shared" si="22"/>
        <v>-1.8016343682780416E-2</v>
      </c>
      <c r="E476" s="4">
        <f t="shared" si="23"/>
        <v>-2.1192300015983684E-2</v>
      </c>
      <c r="F476" s="3">
        <f t="shared" si="21"/>
        <v>2023</v>
      </c>
    </row>
    <row r="477" spans="1:6" ht="15" customHeight="1" x14ac:dyDescent="0.2">
      <c r="A477" s="2">
        <v>45135</v>
      </c>
      <c r="B477" s="3">
        <v>2240.6001000000001</v>
      </c>
      <c r="C477" s="3">
        <v>120187</v>
      </c>
      <c r="D477" s="4">
        <f t="shared" si="22"/>
        <v>8.7051905916309055E-3</v>
      </c>
      <c r="E477" s="4">
        <f t="shared" si="23"/>
        <v>1.6404571976407986E-3</v>
      </c>
      <c r="F477" s="3">
        <f t="shared" si="21"/>
        <v>2023</v>
      </c>
    </row>
    <row r="478" spans="1:6" ht="15" customHeight="1" x14ac:dyDescent="0.2">
      <c r="A478" s="2">
        <v>45138</v>
      </c>
      <c r="B478" s="3">
        <v>2263.96</v>
      </c>
      <c r="C478" s="3">
        <v>121943</v>
      </c>
      <c r="D478" s="4">
        <f t="shared" si="22"/>
        <v>1.0371760566947958E-2</v>
      </c>
      <c r="E478" s="4">
        <f t="shared" si="23"/>
        <v>1.4504859266509323E-2</v>
      </c>
      <c r="F478" s="3">
        <f t="shared" si="21"/>
        <v>2023</v>
      </c>
    </row>
    <row r="479" spans="1:6" ht="15" customHeight="1" x14ac:dyDescent="0.2">
      <c r="A479" s="2">
        <v>45139</v>
      </c>
      <c r="B479" s="3">
        <v>2258.1898999999999</v>
      </c>
      <c r="C479" s="3">
        <v>121248</v>
      </c>
      <c r="D479" s="4">
        <f t="shared" si="22"/>
        <v>-2.5519291748402812E-3</v>
      </c>
      <c r="E479" s="4">
        <f t="shared" si="23"/>
        <v>-5.715687604257242E-3</v>
      </c>
      <c r="F479" s="3">
        <f t="shared" si="21"/>
        <v>2023</v>
      </c>
    </row>
    <row r="480" spans="1:6" ht="15" customHeight="1" x14ac:dyDescent="0.2">
      <c r="A480" s="2">
        <v>45140</v>
      </c>
      <c r="B480" s="3">
        <v>2258.79</v>
      </c>
      <c r="C480" s="3">
        <v>120859</v>
      </c>
      <c r="D480" s="4">
        <f t="shared" si="22"/>
        <v>2.6570851180049437E-4</v>
      </c>
      <c r="E480" s="4">
        <f t="shared" si="23"/>
        <v>-3.2134579730827028E-3</v>
      </c>
      <c r="F480" s="3">
        <f t="shared" si="21"/>
        <v>2023</v>
      </c>
    </row>
    <row r="481" spans="1:6" ht="15" customHeight="1" x14ac:dyDescent="0.2">
      <c r="A481" s="2">
        <v>45141</v>
      </c>
      <c r="B481" s="3">
        <v>2245.0700999999999</v>
      </c>
      <c r="C481" s="3">
        <v>120586</v>
      </c>
      <c r="D481" s="4">
        <f t="shared" si="22"/>
        <v>-6.0925260262456914E-3</v>
      </c>
      <c r="E481" s="4">
        <f t="shared" si="23"/>
        <v>-2.2613855440402871E-3</v>
      </c>
      <c r="F481" s="3">
        <f t="shared" si="21"/>
        <v>2023</v>
      </c>
    </row>
    <row r="482" spans="1:6" ht="15" customHeight="1" x14ac:dyDescent="0.2">
      <c r="A482" s="2">
        <v>45142</v>
      </c>
      <c r="B482" s="3">
        <v>2227.29</v>
      </c>
      <c r="C482" s="3">
        <v>119508</v>
      </c>
      <c r="D482" s="4">
        <f t="shared" si="22"/>
        <v>-7.9511458267690072E-3</v>
      </c>
      <c r="E482" s="4">
        <f t="shared" si="23"/>
        <v>-8.9798765815645391E-3</v>
      </c>
      <c r="F482" s="3">
        <f t="shared" si="21"/>
        <v>2023</v>
      </c>
    </row>
    <row r="483" spans="1:6" ht="15" customHeight="1" x14ac:dyDescent="0.2">
      <c r="A483" s="2">
        <v>45145</v>
      </c>
      <c r="B483" s="3">
        <v>2219.5900999999999</v>
      </c>
      <c r="C483" s="3">
        <v>119380</v>
      </c>
      <c r="D483" s="4">
        <f t="shared" si="22"/>
        <v>-3.4630606277293312E-3</v>
      </c>
      <c r="E483" s="4">
        <f t="shared" si="23"/>
        <v>-1.0716319969989762E-3</v>
      </c>
      <c r="F483" s="3">
        <f t="shared" si="21"/>
        <v>2023</v>
      </c>
    </row>
    <row r="484" spans="1:6" ht="15" customHeight="1" x14ac:dyDescent="0.2">
      <c r="A484" s="2">
        <v>45146</v>
      </c>
      <c r="B484" s="3">
        <v>2215.3798999999999</v>
      </c>
      <c r="C484" s="3">
        <v>119090</v>
      </c>
      <c r="D484" s="4">
        <f t="shared" si="22"/>
        <v>-1.8986379906756113E-3</v>
      </c>
      <c r="E484" s="4">
        <f t="shared" si="23"/>
        <v>-2.4321729605994041E-3</v>
      </c>
      <c r="F484" s="3">
        <f t="shared" si="21"/>
        <v>2023</v>
      </c>
    </row>
    <row r="485" spans="1:6" ht="15" customHeight="1" x14ac:dyDescent="0.2">
      <c r="A485" s="2">
        <v>45147</v>
      </c>
      <c r="B485" s="3">
        <v>2199.9899999999998</v>
      </c>
      <c r="C485" s="3">
        <v>118409</v>
      </c>
      <c r="D485" s="4">
        <f t="shared" si="22"/>
        <v>-6.9710863064820251E-3</v>
      </c>
      <c r="E485" s="4">
        <f t="shared" si="23"/>
        <v>-5.7347767053663734E-3</v>
      </c>
      <c r="F485" s="3">
        <f t="shared" si="21"/>
        <v>2023</v>
      </c>
    </row>
    <row r="486" spans="1:6" ht="15" customHeight="1" x14ac:dyDescent="0.2">
      <c r="A486" s="2">
        <v>45148</v>
      </c>
      <c r="B486" s="3">
        <v>2202.5</v>
      </c>
      <c r="C486" s="3">
        <v>118350</v>
      </c>
      <c r="D486" s="4">
        <f t="shared" si="22"/>
        <v>1.1402639288035708E-3</v>
      </c>
      <c r="E486" s="4">
        <f t="shared" si="23"/>
        <v>-4.9839711454518175E-4</v>
      </c>
      <c r="F486" s="3">
        <f t="shared" si="21"/>
        <v>2023</v>
      </c>
    </row>
    <row r="487" spans="1:6" ht="15" customHeight="1" x14ac:dyDescent="0.2">
      <c r="A487" s="2">
        <v>45149</v>
      </c>
      <c r="B487" s="3">
        <v>2199.3501000000001</v>
      </c>
      <c r="C487" s="3">
        <v>118065</v>
      </c>
      <c r="D487" s="4">
        <f t="shared" si="22"/>
        <v>-1.4311711966969445E-3</v>
      </c>
      <c r="E487" s="4">
        <f t="shared" si="23"/>
        <v>-2.4110156974697298E-3</v>
      </c>
      <c r="F487" s="3">
        <f t="shared" si="21"/>
        <v>2023</v>
      </c>
    </row>
    <row r="488" spans="1:6" ht="15" customHeight="1" x14ac:dyDescent="0.2">
      <c r="A488" s="2">
        <v>45152</v>
      </c>
      <c r="B488" s="3">
        <v>2174.6399000000001</v>
      </c>
      <c r="C488" s="3">
        <v>116810</v>
      </c>
      <c r="D488" s="4">
        <f t="shared" si="22"/>
        <v>-1.1298820016346594E-2</v>
      </c>
      <c r="E488" s="4">
        <f t="shared" si="23"/>
        <v>-1.0686637094918424E-2</v>
      </c>
      <c r="F488" s="3">
        <f t="shared" si="21"/>
        <v>2023</v>
      </c>
    </row>
    <row r="489" spans="1:6" ht="15" customHeight="1" x14ac:dyDescent="0.2">
      <c r="A489" s="2">
        <v>45153</v>
      </c>
      <c r="B489" s="3">
        <v>2170.1898999999999</v>
      </c>
      <c r="C489" s="3">
        <v>116171</v>
      </c>
      <c r="D489" s="4">
        <f t="shared" si="22"/>
        <v>-2.0484123709584336E-3</v>
      </c>
      <c r="E489" s="4">
        <f t="shared" si="23"/>
        <v>-5.4854396048967776E-3</v>
      </c>
      <c r="F489" s="3">
        <f t="shared" si="21"/>
        <v>2023</v>
      </c>
    </row>
    <row r="490" spans="1:6" ht="15" customHeight="1" x14ac:dyDescent="0.2">
      <c r="A490" s="2">
        <v>45154</v>
      </c>
      <c r="B490" s="3">
        <v>2155.9699999999998</v>
      </c>
      <c r="C490" s="3">
        <v>115592</v>
      </c>
      <c r="D490" s="4">
        <f t="shared" si="22"/>
        <v>-6.5739369510265698E-3</v>
      </c>
      <c r="E490" s="4">
        <f t="shared" si="23"/>
        <v>-4.9964938713978379E-3</v>
      </c>
      <c r="F490" s="3">
        <f t="shared" si="21"/>
        <v>2023</v>
      </c>
    </row>
    <row r="491" spans="1:6" ht="15" customHeight="1" x14ac:dyDescent="0.2">
      <c r="A491" s="2">
        <v>45155</v>
      </c>
      <c r="B491" s="3">
        <v>2136.54</v>
      </c>
      <c r="C491" s="3">
        <v>114982</v>
      </c>
      <c r="D491" s="4">
        <f t="shared" si="22"/>
        <v>-9.0530401572642208E-3</v>
      </c>
      <c r="E491" s="4">
        <f t="shared" si="23"/>
        <v>-5.2911553179962522E-3</v>
      </c>
      <c r="F491" s="3">
        <f t="shared" si="21"/>
        <v>2023</v>
      </c>
    </row>
    <row r="492" spans="1:6" ht="15" customHeight="1" x14ac:dyDescent="0.2">
      <c r="A492" s="2">
        <v>45156</v>
      </c>
      <c r="B492" s="3">
        <v>2148.5900999999999</v>
      </c>
      <c r="C492" s="3">
        <v>115409</v>
      </c>
      <c r="D492" s="4">
        <f t="shared" si="22"/>
        <v>5.6241614522908679E-3</v>
      </c>
      <c r="E492" s="4">
        <f t="shared" si="23"/>
        <v>3.706746261041019E-3</v>
      </c>
      <c r="F492" s="3">
        <f t="shared" si="21"/>
        <v>2023</v>
      </c>
    </row>
    <row r="493" spans="1:6" ht="15" customHeight="1" x14ac:dyDescent="0.2">
      <c r="A493" s="2">
        <v>45159</v>
      </c>
      <c r="B493" s="3">
        <v>2127.6498999999999</v>
      </c>
      <c r="C493" s="3">
        <v>114429</v>
      </c>
      <c r="D493" s="4">
        <f t="shared" si="22"/>
        <v>-9.7938223205005625E-3</v>
      </c>
      <c r="E493" s="4">
        <f t="shared" si="23"/>
        <v>-8.5277973099705546E-3</v>
      </c>
      <c r="F493" s="3">
        <f t="shared" si="21"/>
        <v>2023</v>
      </c>
    </row>
    <row r="494" spans="1:6" ht="15" customHeight="1" x14ac:dyDescent="0.2">
      <c r="A494" s="2">
        <v>45160</v>
      </c>
      <c r="B494" s="3">
        <v>2160.29</v>
      </c>
      <c r="C494" s="3">
        <v>116156</v>
      </c>
      <c r="D494" s="4">
        <f t="shared" si="22"/>
        <v>1.5224434675670123E-2</v>
      </c>
      <c r="E494" s="4">
        <f t="shared" si="23"/>
        <v>1.4979571897486443E-2</v>
      </c>
      <c r="F494" s="3">
        <f t="shared" si="21"/>
        <v>2023</v>
      </c>
    </row>
    <row r="495" spans="1:6" ht="15" customHeight="1" x14ac:dyDescent="0.2">
      <c r="A495" s="2">
        <v>45161</v>
      </c>
      <c r="B495" s="3">
        <v>2189.8998999999999</v>
      </c>
      <c r="C495" s="3">
        <v>118135</v>
      </c>
      <c r="D495" s="4">
        <f t="shared" si="22"/>
        <v>1.3613363077855595E-2</v>
      </c>
      <c r="E495" s="4">
        <f t="shared" si="23"/>
        <v>1.689392309356802E-2</v>
      </c>
      <c r="F495" s="3">
        <f t="shared" si="21"/>
        <v>2023</v>
      </c>
    </row>
    <row r="496" spans="1:6" ht="15" customHeight="1" x14ac:dyDescent="0.2">
      <c r="A496" s="2">
        <v>45162</v>
      </c>
      <c r="B496" s="3">
        <v>2166.5</v>
      </c>
      <c r="C496" s="3">
        <v>117026</v>
      </c>
      <c r="D496" s="4">
        <f t="shared" si="22"/>
        <v>-1.0742872823393668E-2</v>
      </c>
      <c r="E496" s="4">
        <f t="shared" si="23"/>
        <v>-9.4319059831611141E-3</v>
      </c>
      <c r="F496" s="3">
        <f t="shared" si="21"/>
        <v>2023</v>
      </c>
    </row>
    <row r="497" spans="1:6" ht="15" customHeight="1" x14ac:dyDescent="0.2">
      <c r="A497" s="2">
        <v>45163</v>
      </c>
      <c r="B497" s="3">
        <v>2137.75</v>
      </c>
      <c r="C497" s="3">
        <v>115837</v>
      </c>
      <c r="D497" s="4">
        <f t="shared" si="22"/>
        <v>-1.335908814389943E-2</v>
      </c>
      <c r="E497" s="4">
        <f t="shared" si="23"/>
        <v>-1.0212101820280293E-2</v>
      </c>
      <c r="F497" s="3">
        <f t="shared" si="21"/>
        <v>2023</v>
      </c>
    </row>
    <row r="498" spans="1:6" ht="15" customHeight="1" x14ac:dyDescent="0.2">
      <c r="A498" s="2">
        <v>45166</v>
      </c>
      <c r="B498" s="3">
        <v>2161.0300000000002</v>
      </c>
      <c r="C498" s="3">
        <v>117121</v>
      </c>
      <c r="D498" s="4">
        <f t="shared" si="22"/>
        <v>1.0831085836284043E-2</v>
      </c>
      <c r="E498" s="4">
        <f t="shared" si="23"/>
        <v>1.1023557915919415E-2</v>
      </c>
      <c r="F498" s="3">
        <f t="shared" si="21"/>
        <v>2023</v>
      </c>
    </row>
    <row r="499" spans="1:6" ht="15" customHeight="1" x14ac:dyDescent="0.2">
      <c r="A499" s="2">
        <v>45167</v>
      </c>
      <c r="B499" s="3">
        <v>2177.6001000000001</v>
      </c>
      <c r="C499" s="3">
        <v>118404</v>
      </c>
      <c r="D499" s="4">
        <f t="shared" si="22"/>
        <v>7.6384389469678453E-3</v>
      </c>
      <c r="E499" s="4">
        <f t="shared" si="23"/>
        <v>1.0894917235112956E-2</v>
      </c>
      <c r="F499" s="3">
        <f t="shared" si="21"/>
        <v>2023</v>
      </c>
    </row>
    <row r="500" spans="1:6" ht="15" customHeight="1" x14ac:dyDescent="0.2">
      <c r="A500" s="2">
        <v>45168</v>
      </c>
      <c r="B500" s="3">
        <v>2155.8998999999999</v>
      </c>
      <c r="C500" s="3">
        <v>117535</v>
      </c>
      <c r="D500" s="4">
        <f t="shared" si="22"/>
        <v>-1.0015175439697058E-2</v>
      </c>
      <c r="E500" s="4">
        <f t="shared" si="23"/>
        <v>-7.3663440935483977E-3</v>
      </c>
      <c r="F500" s="3">
        <f t="shared" si="21"/>
        <v>2023</v>
      </c>
    </row>
    <row r="501" spans="1:6" ht="15" customHeight="1" x14ac:dyDescent="0.2">
      <c r="A501" s="2">
        <v>45169</v>
      </c>
      <c r="B501" s="3">
        <v>2116.5500000000002</v>
      </c>
      <c r="C501" s="3">
        <v>115742</v>
      </c>
      <c r="D501" s="4">
        <f t="shared" si="22"/>
        <v>-1.842081879028697E-2</v>
      </c>
      <c r="E501" s="4">
        <f t="shared" si="23"/>
        <v>-1.5372585462495463E-2</v>
      </c>
      <c r="F501" s="3">
        <f t="shared" si="21"/>
        <v>2023</v>
      </c>
    </row>
    <row r="502" spans="1:6" ht="15" customHeight="1" x14ac:dyDescent="0.2">
      <c r="A502" s="2">
        <v>45170</v>
      </c>
      <c r="B502" s="3">
        <v>2139.2800000000002</v>
      </c>
      <c r="C502" s="3">
        <v>117893</v>
      </c>
      <c r="D502" s="4">
        <f t="shared" si="22"/>
        <v>1.0681919216905906E-2</v>
      </c>
      <c r="E502" s="4">
        <f t="shared" si="23"/>
        <v>1.841385732428279E-2</v>
      </c>
      <c r="F502" s="3">
        <f t="shared" si="21"/>
        <v>2023</v>
      </c>
    </row>
    <row r="503" spans="1:6" ht="15" customHeight="1" x14ac:dyDescent="0.2">
      <c r="A503" s="2">
        <v>45173</v>
      </c>
      <c r="B503" s="3">
        <v>2134.6100999999999</v>
      </c>
      <c r="C503" s="3">
        <v>117777</v>
      </c>
      <c r="D503" s="4">
        <f t="shared" si="22"/>
        <v>-2.1853167719349345E-3</v>
      </c>
      <c r="E503" s="4">
        <f t="shared" si="23"/>
        <v>-9.8442745676535618E-4</v>
      </c>
      <c r="F503" s="3">
        <f t="shared" si="21"/>
        <v>2023</v>
      </c>
    </row>
    <row r="504" spans="1:6" ht="15" customHeight="1" x14ac:dyDescent="0.2">
      <c r="A504" s="2">
        <v>45174</v>
      </c>
      <c r="B504" s="3">
        <v>2118.5300000000002</v>
      </c>
      <c r="C504" s="3">
        <v>117331</v>
      </c>
      <c r="D504" s="4">
        <f t="shared" si="22"/>
        <v>-7.5615551050095863E-3</v>
      </c>
      <c r="E504" s="4">
        <f t="shared" si="23"/>
        <v>-3.7940056058888751E-3</v>
      </c>
      <c r="F504" s="3">
        <f t="shared" si="21"/>
        <v>2023</v>
      </c>
    </row>
    <row r="505" spans="1:6" ht="15" customHeight="1" x14ac:dyDescent="0.2">
      <c r="A505" s="2">
        <v>45175</v>
      </c>
      <c r="B505" s="3">
        <v>2095.3101000000001</v>
      </c>
      <c r="C505" s="3">
        <v>115985</v>
      </c>
      <c r="D505" s="4">
        <f t="shared" si="22"/>
        <v>-1.1020890433722116E-2</v>
      </c>
      <c r="E505" s="4">
        <f t="shared" si="23"/>
        <v>-1.153812796838103E-2</v>
      </c>
      <c r="F505" s="3">
        <f t="shared" si="21"/>
        <v>2023</v>
      </c>
    </row>
    <row r="506" spans="1:6" ht="15" customHeight="1" x14ac:dyDescent="0.2">
      <c r="A506" s="2">
        <v>45177</v>
      </c>
      <c r="B506" s="3">
        <v>2086.3101000000001</v>
      </c>
      <c r="C506" s="3">
        <v>115313</v>
      </c>
      <c r="D506" s="4">
        <f t="shared" si="22"/>
        <v>-4.3045582651968306E-3</v>
      </c>
      <c r="E506" s="4">
        <f t="shared" si="23"/>
        <v>-5.8107021314274115E-3</v>
      </c>
      <c r="F506" s="3">
        <f t="shared" si="21"/>
        <v>2023</v>
      </c>
    </row>
    <row r="507" spans="1:6" ht="15" customHeight="1" x14ac:dyDescent="0.2">
      <c r="A507" s="2">
        <v>45180</v>
      </c>
      <c r="B507" s="3">
        <v>2116.1100999999999</v>
      </c>
      <c r="C507" s="3">
        <v>116883</v>
      </c>
      <c r="D507" s="4">
        <f t="shared" si="22"/>
        <v>1.4182541530296154E-2</v>
      </c>
      <c r="E507" s="4">
        <f t="shared" si="23"/>
        <v>1.352326419536635E-2</v>
      </c>
      <c r="F507" s="3">
        <f t="shared" si="21"/>
        <v>2023</v>
      </c>
    </row>
    <row r="508" spans="1:6" ht="15" customHeight="1" x14ac:dyDescent="0.2">
      <c r="A508" s="2">
        <v>45181</v>
      </c>
      <c r="B508" s="3">
        <v>2140.0601000000001</v>
      </c>
      <c r="C508" s="3">
        <v>117968</v>
      </c>
      <c r="D508" s="4">
        <f t="shared" si="22"/>
        <v>1.1254367973024407E-2</v>
      </c>
      <c r="E508" s="4">
        <f t="shared" si="23"/>
        <v>9.2399667831220781E-3</v>
      </c>
      <c r="F508" s="3">
        <f t="shared" si="21"/>
        <v>2023</v>
      </c>
    </row>
    <row r="509" spans="1:6" ht="15" customHeight="1" x14ac:dyDescent="0.2">
      <c r="A509" s="2">
        <v>45182</v>
      </c>
      <c r="B509" s="3">
        <v>2148.9299000000001</v>
      </c>
      <c r="C509" s="3">
        <v>118176</v>
      </c>
      <c r="D509" s="4">
        <f t="shared" si="22"/>
        <v>4.1360845536035085E-3</v>
      </c>
      <c r="E509" s="4">
        <f t="shared" si="23"/>
        <v>1.7616374228578418E-3</v>
      </c>
      <c r="F509" s="3">
        <f t="shared" si="21"/>
        <v>2023</v>
      </c>
    </row>
    <row r="510" spans="1:6" ht="15" customHeight="1" x14ac:dyDescent="0.2">
      <c r="A510" s="2">
        <v>45183</v>
      </c>
      <c r="B510" s="3">
        <v>2152.4699999999998</v>
      </c>
      <c r="C510" s="3">
        <v>119392</v>
      </c>
      <c r="D510" s="4">
        <f t="shared" si="22"/>
        <v>1.6460226352320493E-3</v>
      </c>
      <c r="E510" s="4">
        <f t="shared" si="23"/>
        <v>1.0237158368594604E-2</v>
      </c>
      <c r="F510" s="3">
        <f t="shared" si="21"/>
        <v>2023</v>
      </c>
    </row>
    <row r="511" spans="1:6" ht="15" customHeight="1" x14ac:dyDescent="0.2">
      <c r="A511" s="2">
        <v>45184</v>
      </c>
      <c r="B511" s="3">
        <v>2138.9299000000001</v>
      </c>
      <c r="C511" s="3">
        <v>118758</v>
      </c>
      <c r="D511" s="4">
        <f t="shared" si="22"/>
        <v>-6.3103627006653581E-3</v>
      </c>
      <c r="E511" s="4">
        <f t="shared" si="23"/>
        <v>-5.3243879720943242E-3</v>
      </c>
      <c r="F511" s="3">
        <f t="shared" si="21"/>
        <v>2023</v>
      </c>
    </row>
    <row r="512" spans="1:6" ht="15" customHeight="1" x14ac:dyDescent="0.2">
      <c r="A512" s="2">
        <v>45187</v>
      </c>
      <c r="B512" s="3">
        <v>2135.27</v>
      </c>
      <c r="C512" s="3">
        <v>118288</v>
      </c>
      <c r="D512" s="4">
        <f t="shared" si="22"/>
        <v>-1.7125548547662296E-3</v>
      </c>
      <c r="E512" s="4">
        <f t="shared" si="23"/>
        <v>-3.9654802519088579E-3</v>
      </c>
      <c r="F512" s="3">
        <f t="shared" si="21"/>
        <v>2023</v>
      </c>
    </row>
    <row r="513" spans="1:6" ht="15" customHeight="1" x14ac:dyDescent="0.2">
      <c r="A513" s="2">
        <v>45188</v>
      </c>
      <c r="B513" s="3">
        <v>2121.5</v>
      </c>
      <c r="C513" s="3">
        <v>117846</v>
      </c>
      <c r="D513" s="4">
        <f t="shared" si="22"/>
        <v>-6.4697167247199485E-3</v>
      </c>
      <c r="E513" s="4">
        <f t="shared" si="23"/>
        <v>-3.7436414596252496E-3</v>
      </c>
      <c r="F513" s="3">
        <f t="shared" si="21"/>
        <v>2023</v>
      </c>
    </row>
    <row r="514" spans="1:6" ht="15" customHeight="1" x14ac:dyDescent="0.2">
      <c r="A514" s="2">
        <v>45189</v>
      </c>
      <c r="B514" s="3">
        <v>2136.71</v>
      </c>
      <c r="C514" s="3">
        <v>118695</v>
      </c>
      <c r="D514" s="4">
        <f t="shared" si="22"/>
        <v>7.1438772098060387E-3</v>
      </c>
      <c r="E514" s="4">
        <f t="shared" si="23"/>
        <v>7.1784903741473468E-3</v>
      </c>
      <c r="F514" s="3">
        <f t="shared" ref="F514:F577" si="24">YEAR(A514)</f>
        <v>2023</v>
      </c>
    </row>
    <row r="515" spans="1:6" ht="15" customHeight="1" x14ac:dyDescent="0.2">
      <c r="A515" s="2">
        <v>45190</v>
      </c>
      <c r="B515" s="3">
        <v>2092.4398999999999</v>
      </c>
      <c r="C515" s="3">
        <v>116145</v>
      </c>
      <c r="D515" s="4">
        <f t="shared" ref="D515:D578" si="25">LN(B515/B514)</f>
        <v>-2.0936461525879732E-2</v>
      </c>
      <c r="E515" s="4">
        <f t="shared" ref="E515:E578" si="26">LN(C515/C514)</f>
        <v>-2.1717767222469795E-2</v>
      </c>
      <c r="F515" s="3">
        <f t="shared" si="24"/>
        <v>2023</v>
      </c>
    </row>
    <row r="516" spans="1:6" ht="15" customHeight="1" x14ac:dyDescent="0.2">
      <c r="A516" s="2">
        <v>45191</v>
      </c>
      <c r="B516" s="3">
        <v>2084.1698999999999</v>
      </c>
      <c r="C516" s="3">
        <v>116009</v>
      </c>
      <c r="D516" s="4">
        <f t="shared" si="25"/>
        <v>-3.9601548643967491E-3</v>
      </c>
      <c r="E516" s="4">
        <f t="shared" si="26"/>
        <v>-1.1716362031894793E-3</v>
      </c>
      <c r="F516" s="3">
        <f t="shared" si="24"/>
        <v>2023</v>
      </c>
    </row>
    <row r="517" spans="1:6" ht="15" customHeight="1" x14ac:dyDescent="0.2">
      <c r="A517" s="2">
        <v>45194</v>
      </c>
      <c r="B517" s="3">
        <v>2086.4699999999998</v>
      </c>
      <c r="C517" s="3">
        <v>115925</v>
      </c>
      <c r="D517" s="4">
        <f t="shared" si="25"/>
        <v>1.1029963211121303E-3</v>
      </c>
      <c r="E517" s="4">
        <f t="shared" si="26"/>
        <v>-7.2434402608264486E-4</v>
      </c>
      <c r="F517" s="3">
        <f t="shared" si="24"/>
        <v>2023</v>
      </c>
    </row>
    <row r="518" spans="1:6" ht="15" customHeight="1" x14ac:dyDescent="0.2">
      <c r="A518" s="2">
        <v>45195</v>
      </c>
      <c r="B518" s="3">
        <v>2057.1898999999999</v>
      </c>
      <c r="C518" s="3">
        <v>114193</v>
      </c>
      <c r="D518" s="4">
        <f t="shared" si="25"/>
        <v>-1.4132717480157266E-2</v>
      </c>
      <c r="E518" s="4">
        <f t="shared" si="26"/>
        <v>-1.5053430906268485E-2</v>
      </c>
      <c r="F518" s="3">
        <f t="shared" si="24"/>
        <v>2023</v>
      </c>
    </row>
    <row r="519" spans="1:6" ht="15" customHeight="1" x14ac:dyDescent="0.2">
      <c r="A519" s="2">
        <v>45196</v>
      </c>
      <c r="B519" s="3">
        <v>2050.8101000000001</v>
      </c>
      <c r="C519" s="3">
        <v>114327</v>
      </c>
      <c r="D519" s="4">
        <f t="shared" si="25"/>
        <v>-3.1060394980926866E-3</v>
      </c>
      <c r="E519" s="4">
        <f t="shared" si="26"/>
        <v>1.1727640062871142E-3</v>
      </c>
      <c r="F519" s="3">
        <f t="shared" si="24"/>
        <v>2023</v>
      </c>
    </row>
    <row r="520" spans="1:6" ht="15" customHeight="1" x14ac:dyDescent="0.2">
      <c r="A520" s="2">
        <v>45197</v>
      </c>
      <c r="B520" s="3">
        <v>2081.1999999999998</v>
      </c>
      <c r="C520" s="3">
        <v>115731</v>
      </c>
      <c r="D520" s="4">
        <f t="shared" si="25"/>
        <v>1.4709764611376927E-2</v>
      </c>
      <c r="E520" s="4">
        <f t="shared" si="26"/>
        <v>1.2205769246978242E-2</v>
      </c>
      <c r="F520" s="3">
        <f t="shared" si="24"/>
        <v>2023</v>
      </c>
    </row>
    <row r="521" spans="1:6" ht="15" customHeight="1" x14ac:dyDescent="0.2">
      <c r="A521" s="2">
        <v>45198</v>
      </c>
      <c r="B521" s="3">
        <v>2092.75</v>
      </c>
      <c r="C521" s="3">
        <v>116565</v>
      </c>
      <c r="D521" s="4">
        <f t="shared" si="25"/>
        <v>5.5343401240174053E-3</v>
      </c>
      <c r="E521" s="4">
        <f t="shared" si="26"/>
        <v>7.1805247047940241E-3</v>
      </c>
      <c r="F521" s="3">
        <f t="shared" si="24"/>
        <v>2023</v>
      </c>
    </row>
    <row r="522" spans="1:6" ht="15" customHeight="1" x14ac:dyDescent="0.2">
      <c r="A522" s="2">
        <v>45201</v>
      </c>
      <c r="B522" s="3">
        <v>2067.3301000000001</v>
      </c>
      <c r="C522" s="3">
        <v>115057</v>
      </c>
      <c r="D522" s="4">
        <f t="shared" si="25"/>
        <v>-1.2221022560713326E-2</v>
      </c>
      <c r="E522" s="4">
        <f t="shared" si="26"/>
        <v>-1.302139958711682E-2</v>
      </c>
      <c r="F522" s="3">
        <f t="shared" si="24"/>
        <v>2023</v>
      </c>
    </row>
    <row r="523" spans="1:6" ht="15" customHeight="1" x14ac:dyDescent="0.2">
      <c r="A523" s="2">
        <v>45202</v>
      </c>
      <c r="B523" s="3">
        <v>2032.76</v>
      </c>
      <c r="C523" s="3">
        <v>113419</v>
      </c>
      <c r="D523" s="4">
        <f t="shared" si="25"/>
        <v>-1.686349245950312E-2</v>
      </c>
      <c r="E523" s="4">
        <f t="shared" si="26"/>
        <v>-1.4338731982347329E-2</v>
      </c>
      <c r="F523" s="3">
        <f t="shared" si="24"/>
        <v>2023</v>
      </c>
    </row>
    <row r="524" spans="1:6" ht="15" customHeight="1" x14ac:dyDescent="0.2">
      <c r="A524" s="2">
        <v>45203</v>
      </c>
      <c r="B524" s="3">
        <v>2052.4499999999998</v>
      </c>
      <c r="C524" s="3">
        <v>113607</v>
      </c>
      <c r="D524" s="4">
        <f t="shared" si="25"/>
        <v>9.6397259739793382E-3</v>
      </c>
      <c r="E524" s="4">
        <f t="shared" si="26"/>
        <v>1.656198347092969E-3</v>
      </c>
      <c r="F524" s="3">
        <f t="shared" si="24"/>
        <v>2023</v>
      </c>
    </row>
    <row r="525" spans="1:6" ht="15" customHeight="1" x14ac:dyDescent="0.2">
      <c r="A525" s="2">
        <v>45204</v>
      </c>
      <c r="B525" s="3">
        <v>2045.54</v>
      </c>
      <c r="C525" s="3">
        <v>113284</v>
      </c>
      <c r="D525" s="4">
        <f t="shared" si="25"/>
        <v>-3.3723881946771139E-3</v>
      </c>
      <c r="E525" s="4">
        <f t="shared" si="26"/>
        <v>-2.8471840504804124E-3</v>
      </c>
      <c r="F525" s="3">
        <f t="shared" si="24"/>
        <v>2023</v>
      </c>
    </row>
    <row r="526" spans="1:6" ht="15" customHeight="1" x14ac:dyDescent="0.2">
      <c r="A526" s="2">
        <v>45205</v>
      </c>
      <c r="B526" s="3">
        <v>2054.5700999999999</v>
      </c>
      <c r="C526" s="3">
        <v>114170</v>
      </c>
      <c r="D526" s="4">
        <f t="shared" si="25"/>
        <v>4.4048156660298704E-3</v>
      </c>
      <c r="E526" s="4">
        <f t="shared" si="26"/>
        <v>7.7906256317721578E-3</v>
      </c>
      <c r="F526" s="3">
        <f t="shared" si="24"/>
        <v>2023</v>
      </c>
    </row>
    <row r="527" spans="1:6" ht="15" customHeight="1" x14ac:dyDescent="0.2">
      <c r="A527" s="2">
        <v>45208</v>
      </c>
      <c r="B527" s="3">
        <v>2067.1399000000001</v>
      </c>
      <c r="C527" s="3">
        <v>115156</v>
      </c>
      <c r="D527" s="4">
        <f t="shared" si="25"/>
        <v>6.0993320579543495E-3</v>
      </c>
      <c r="E527" s="4">
        <f t="shared" si="26"/>
        <v>8.5991651697529918E-3</v>
      </c>
      <c r="F527" s="3">
        <f t="shared" si="24"/>
        <v>2023</v>
      </c>
    </row>
    <row r="528" spans="1:6" ht="15" customHeight="1" x14ac:dyDescent="0.2">
      <c r="A528" s="2">
        <v>45209</v>
      </c>
      <c r="B528" s="3">
        <v>2101.6001000000001</v>
      </c>
      <c r="C528" s="3">
        <v>116737</v>
      </c>
      <c r="D528" s="4">
        <f t="shared" si="25"/>
        <v>1.6533045930887072E-2</v>
      </c>
      <c r="E528" s="4">
        <f t="shared" si="26"/>
        <v>1.3635810454851072E-2</v>
      </c>
      <c r="F528" s="3">
        <f t="shared" si="24"/>
        <v>2023</v>
      </c>
    </row>
    <row r="529" spans="1:6" ht="15" customHeight="1" x14ac:dyDescent="0.2">
      <c r="A529" s="2">
        <v>45210</v>
      </c>
      <c r="B529" s="3">
        <v>2106.6298999999999</v>
      </c>
      <c r="C529" s="3">
        <v>117051</v>
      </c>
      <c r="D529" s="4">
        <f t="shared" si="25"/>
        <v>2.3904598347275173E-3</v>
      </c>
      <c r="E529" s="4">
        <f t="shared" si="26"/>
        <v>2.686195945125053E-3</v>
      </c>
      <c r="F529" s="3">
        <f t="shared" si="24"/>
        <v>2023</v>
      </c>
    </row>
    <row r="530" spans="1:6" ht="15" customHeight="1" x14ac:dyDescent="0.2">
      <c r="A530" s="2">
        <v>45212</v>
      </c>
      <c r="B530" s="3">
        <v>2069.5</v>
      </c>
      <c r="C530" s="3">
        <v>115754</v>
      </c>
      <c r="D530" s="4">
        <f t="shared" si="25"/>
        <v>-1.778243460006346E-2</v>
      </c>
      <c r="E530" s="4">
        <f t="shared" si="26"/>
        <v>-1.1142487653287889E-2</v>
      </c>
      <c r="F530" s="3">
        <f t="shared" si="24"/>
        <v>2023</v>
      </c>
    </row>
    <row r="531" spans="1:6" ht="15" customHeight="1" x14ac:dyDescent="0.2">
      <c r="A531" s="2">
        <v>45215</v>
      </c>
      <c r="B531" s="3">
        <v>2081.1399000000001</v>
      </c>
      <c r="C531" s="3">
        <v>116534</v>
      </c>
      <c r="D531" s="4">
        <f t="shared" si="25"/>
        <v>5.6087402397639883E-3</v>
      </c>
      <c r="E531" s="4">
        <f t="shared" si="26"/>
        <v>6.7158263160283088E-3</v>
      </c>
      <c r="F531" s="3">
        <f t="shared" si="24"/>
        <v>2023</v>
      </c>
    </row>
    <row r="532" spans="1:6" ht="15" customHeight="1" x14ac:dyDescent="0.2">
      <c r="A532" s="2">
        <v>45216</v>
      </c>
      <c r="B532" s="3">
        <v>2055.9398999999999</v>
      </c>
      <c r="C532" s="3">
        <v>115908</v>
      </c>
      <c r="D532" s="4">
        <f t="shared" si="25"/>
        <v>-1.2182656798254322E-2</v>
      </c>
      <c r="E532" s="4">
        <f t="shared" si="26"/>
        <v>-5.3863029355463278E-3</v>
      </c>
      <c r="F532" s="3">
        <f t="shared" si="24"/>
        <v>2023</v>
      </c>
    </row>
    <row r="533" spans="1:6" ht="15" customHeight="1" x14ac:dyDescent="0.2">
      <c r="A533" s="2">
        <v>45217</v>
      </c>
      <c r="B533" s="3">
        <v>2021.26</v>
      </c>
      <c r="C533" s="3">
        <v>114060</v>
      </c>
      <c r="D533" s="4">
        <f t="shared" si="25"/>
        <v>-1.7012036317699882E-2</v>
      </c>
      <c r="E533" s="4">
        <f t="shared" si="26"/>
        <v>-1.6072147256766419E-2</v>
      </c>
      <c r="F533" s="3">
        <f t="shared" si="24"/>
        <v>2023</v>
      </c>
    </row>
    <row r="534" spans="1:6" ht="15" customHeight="1" x14ac:dyDescent="0.2">
      <c r="A534" s="2">
        <v>45218</v>
      </c>
      <c r="B534" s="3">
        <v>2025.65</v>
      </c>
      <c r="C534" s="3">
        <v>114004</v>
      </c>
      <c r="D534" s="4">
        <f t="shared" si="25"/>
        <v>2.1695573768480193E-3</v>
      </c>
      <c r="E534" s="4">
        <f t="shared" si="26"/>
        <v>-4.9109023015870916E-4</v>
      </c>
      <c r="F534" s="3">
        <f t="shared" si="24"/>
        <v>2023</v>
      </c>
    </row>
    <row r="535" spans="1:6" ht="15" customHeight="1" x14ac:dyDescent="0.2">
      <c r="A535" s="2">
        <v>45219</v>
      </c>
      <c r="B535" s="3">
        <v>2019.65</v>
      </c>
      <c r="C535" s="3">
        <v>113155</v>
      </c>
      <c r="D535" s="4">
        <f t="shared" si="25"/>
        <v>-2.9664076334445311E-3</v>
      </c>
      <c r="E535" s="4">
        <f t="shared" si="26"/>
        <v>-7.4749752655244193E-3</v>
      </c>
      <c r="F535" s="3">
        <f t="shared" si="24"/>
        <v>2023</v>
      </c>
    </row>
    <row r="536" spans="1:6" ht="15" customHeight="1" x14ac:dyDescent="0.2">
      <c r="A536" s="2">
        <v>45222</v>
      </c>
      <c r="B536" s="3">
        <v>2026.3199</v>
      </c>
      <c r="C536" s="3">
        <v>112785</v>
      </c>
      <c r="D536" s="4">
        <f t="shared" si="25"/>
        <v>3.2970616228056803E-3</v>
      </c>
      <c r="E536" s="4">
        <f t="shared" si="26"/>
        <v>-3.2752087346098464E-3</v>
      </c>
      <c r="F536" s="3">
        <f t="shared" si="24"/>
        <v>2023</v>
      </c>
    </row>
    <row r="537" spans="1:6" ht="15" customHeight="1" x14ac:dyDescent="0.2">
      <c r="A537" s="2">
        <v>45223</v>
      </c>
      <c r="B537" s="3">
        <v>2038.38</v>
      </c>
      <c r="C537" s="3">
        <v>113762</v>
      </c>
      <c r="D537" s="4">
        <f t="shared" si="25"/>
        <v>5.9340840339494449E-3</v>
      </c>
      <c r="E537" s="4">
        <f t="shared" si="26"/>
        <v>8.6251952743004734E-3</v>
      </c>
      <c r="F537" s="3">
        <f t="shared" si="24"/>
        <v>2023</v>
      </c>
    </row>
    <row r="538" spans="1:6" ht="15" customHeight="1" x14ac:dyDescent="0.2">
      <c r="A538" s="2">
        <v>45224</v>
      </c>
      <c r="B538" s="3">
        <v>2016.9399000000001</v>
      </c>
      <c r="C538" s="3">
        <v>112830</v>
      </c>
      <c r="D538" s="4">
        <f t="shared" si="25"/>
        <v>-1.0573912930288623E-2</v>
      </c>
      <c r="E538" s="4">
        <f t="shared" si="26"/>
        <v>-8.2262856220455885E-3</v>
      </c>
      <c r="F538" s="3">
        <f t="shared" si="24"/>
        <v>2023</v>
      </c>
    </row>
    <row r="539" spans="1:6" ht="15" customHeight="1" x14ac:dyDescent="0.2">
      <c r="A539" s="2">
        <v>45225</v>
      </c>
      <c r="B539" s="3">
        <v>2057.3798999999999</v>
      </c>
      <c r="C539" s="3">
        <v>114777</v>
      </c>
      <c r="D539" s="4">
        <f t="shared" si="25"/>
        <v>1.9851818254608005E-2</v>
      </c>
      <c r="E539" s="4">
        <f t="shared" si="26"/>
        <v>1.7108854230627496E-2</v>
      </c>
      <c r="F539" s="3">
        <f t="shared" si="24"/>
        <v>2023</v>
      </c>
    </row>
    <row r="540" spans="1:6" ht="15" customHeight="1" x14ac:dyDescent="0.2">
      <c r="A540" s="2">
        <v>45226</v>
      </c>
      <c r="B540" s="3">
        <v>2010.22</v>
      </c>
      <c r="C540" s="3">
        <v>113301</v>
      </c>
      <c r="D540" s="4">
        <f t="shared" si="25"/>
        <v>-2.3189111237148712E-2</v>
      </c>
      <c r="E540" s="4">
        <f t="shared" si="26"/>
        <v>-1.2943121260640605E-2</v>
      </c>
      <c r="F540" s="3">
        <f t="shared" si="24"/>
        <v>2023</v>
      </c>
    </row>
    <row r="541" spans="1:6" ht="15" customHeight="1" x14ac:dyDescent="0.2">
      <c r="A541" s="2">
        <v>45229</v>
      </c>
      <c r="B541" s="3">
        <v>1992.5600999999999</v>
      </c>
      <c r="C541" s="3">
        <v>112532</v>
      </c>
      <c r="D541" s="4">
        <f t="shared" si="25"/>
        <v>-8.8238744787847902E-3</v>
      </c>
      <c r="E541" s="4">
        <f t="shared" si="26"/>
        <v>-6.8103684780735658E-3</v>
      </c>
      <c r="F541" s="3">
        <f t="shared" si="24"/>
        <v>2023</v>
      </c>
    </row>
    <row r="542" spans="1:6" ht="15" customHeight="1" x14ac:dyDescent="0.2">
      <c r="A542" s="2">
        <v>45230</v>
      </c>
      <c r="B542" s="3">
        <v>2002.74</v>
      </c>
      <c r="C542" s="3">
        <v>113144</v>
      </c>
      <c r="D542" s="4">
        <f t="shared" si="25"/>
        <v>5.0959486271790486E-3</v>
      </c>
      <c r="E542" s="4">
        <f t="shared" si="26"/>
        <v>5.4237180759306473E-3</v>
      </c>
      <c r="F542" s="3">
        <f t="shared" si="24"/>
        <v>2023</v>
      </c>
    </row>
    <row r="543" spans="1:6" ht="15" customHeight="1" x14ac:dyDescent="0.2">
      <c r="A543" s="2">
        <v>45231</v>
      </c>
      <c r="B543" s="3">
        <v>2036.09</v>
      </c>
      <c r="C543" s="3">
        <v>115053</v>
      </c>
      <c r="D543" s="4">
        <f t="shared" si="25"/>
        <v>1.6515059067311193E-2</v>
      </c>
      <c r="E543" s="4">
        <f t="shared" si="26"/>
        <v>1.6731548042509113E-2</v>
      </c>
      <c r="F543" s="3">
        <f t="shared" si="24"/>
        <v>2023</v>
      </c>
    </row>
    <row r="544" spans="1:6" ht="15" customHeight="1" x14ac:dyDescent="0.2">
      <c r="A544" s="2">
        <v>45233</v>
      </c>
      <c r="B544" s="3">
        <v>2103.52</v>
      </c>
      <c r="C544" s="3">
        <v>118160</v>
      </c>
      <c r="D544" s="4">
        <f t="shared" si="25"/>
        <v>3.258082993266273E-2</v>
      </c>
      <c r="E544" s="4">
        <f t="shared" si="26"/>
        <v>2.6646746462416493E-2</v>
      </c>
      <c r="F544" s="3">
        <f t="shared" si="24"/>
        <v>2023</v>
      </c>
    </row>
    <row r="545" spans="1:6" ht="15" customHeight="1" x14ac:dyDescent="0.2">
      <c r="A545" s="2">
        <v>45236</v>
      </c>
      <c r="B545" s="3">
        <v>2110.0801000000001</v>
      </c>
      <c r="C545" s="3">
        <v>118431</v>
      </c>
      <c r="D545" s="4">
        <f t="shared" si="25"/>
        <v>3.1137768865844013E-3</v>
      </c>
      <c r="E545" s="4">
        <f t="shared" si="26"/>
        <v>2.2908742810985611E-3</v>
      </c>
      <c r="F545" s="3">
        <f t="shared" si="24"/>
        <v>2023</v>
      </c>
    </row>
    <row r="546" spans="1:6" ht="15" customHeight="1" x14ac:dyDescent="0.2">
      <c r="A546" s="2">
        <v>45237</v>
      </c>
      <c r="B546" s="3">
        <v>2146.1599000000001</v>
      </c>
      <c r="C546" s="3">
        <v>119268</v>
      </c>
      <c r="D546" s="4">
        <f t="shared" si="25"/>
        <v>1.6954243297593756E-2</v>
      </c>
      <c r="E546" s="4">
        <f t="shared" si="26"/>
        <v>7.0425492696457913E-3</v>
      </c>
      <c r="F546" s="3">
        <f t="shared" si="24"/>
        <v>2023</v>
      </c>
    </row>
    <row r="547" spans="1:6" ht="15" customHeight="1" x14ac:dyDescent="0.2">
      <c r="A547" s="2">
        <v>45238</v>
      </c>
      <c r="B547" s="3">
        <v>2150.6799000000001</v>
      </c>
      <c r="C547" s="3">
        <v>119177</v>
      </c>
      <c r="D547" s="4">
        <f t="shared" si="25"/>
        <v>2.1038725563992089E-3</v>
      </c>
      <c r="E547" s="4">
        <f t="shared" si="26"/>
        <v>-7.6327878058256196E-4</v>
      </c>
      <c r="F547" s="3">
        <f t="shared" si="24"/>
        <v>2023</v>
      </c>
    </row>
    <row r="548" spans="1:6" ht="15" customHeight="1" x14ac:dyDescent="0.2">
      <c r="A548" s="2">
        <v>45239</v>
      </c>
      <c r="B548" s="3">
        <v>2139.9699999999998</v>
      </c>
      <c r="C548" s="3">
        <v>119034</v>
      </c>
      <c r="D548" s="4">
        <f t="shared" si="25"/>
        <v>-4.9922144628260735E-3</v>
      </c>
      <c r="E548" s="4">
        <f t="shared" si="26"/>
        <v>-1.2006164045962441E-3</v>
      </c>
      <c r="F548" s="3">
        <f t="shared" si="24"/>
        <v>2023</v>
      </c>
    </row>
    <row r="549" spans="1:6" ht="15" customHeight="1" x14ac:dyDescent="0.2">
      <c r="A549" s="2">
        <v>45240</v>
      </c>
      <c r="B549" s="3">
        <v>2170.8301000000001</v>
      </c>
      <c r="C549" s="3">
        <v>120568</v>
      </c>
      <c r="D549" s="4">
        <f t="shared" si="25"/>
        <v>1.4317818722979894E-2</v>
      </c>
      <c r="E549" s="4">
        <f t="shared" si="26"/>
        <v>1.2804742528685289E-2</v>
      </c>
      <c r="F549" s="3">
        <f t="shared" si="24"/>
        <v>2023</v>
      </c>
    </row>
    <row r="550" spans="1:6" ht="15" customHeight="1" x14ac:dyDescent="0.2">
      <c r="A550" s="2">
        <v>45243</v>
      </c>
      <c r="B550" s="3">
        <v>2163.3798999999999</v>
      </c>
      <c r="C550" s="3">
        <v>120410</v>
      </c>
      <c r="D550" s="4">
        <f t="shared" si="25"/>
        <v>-3.4378617269392371E-3</v>
      </c>
      <c r="E550" s="4">
        <f t="shared" si="26"/>
        <v>-1.3113232132475451E-3</v>
      </c>
      <c r="F550" s="3">
        <f t="shared" si="24"/>
        <v>2023</v>
      </c>
    </row>
    <row r="551" spans="1:6" ht="15" customHeight="1" x14ac:dyDescent="0.2">
      <c r="A551" s="2">
        <v>45244</v>
      </c>
      <c r="B551" s="3">
        <v>2209.8501000000001</v>
      </c>
      <c r="C551" s="3">
        <v>123166</v>
      </c>
      <c r="D551" s="4">
        <f t="shared" si="25"/>
        <v>2.1252917934987341E-2</v>
      </c>
      <c r="E551" s="4">
        <f t="shared" si="26"/>
        <v>2.2630453081478603E-2</v>
      </c>
      <c r="F551" s="3">
        <f t="shared" si="24"/>
        <v>2023</v>
      </c>
    </row>
    <row r="552" spans="1:6" ht="15" customHeight="1" x14ac:dyDescent="0.2">
      <c r="A552" s="2">
        <v>45246</v>
      </c>
      <c r="B552" s="3">
        <v>2252.98</v>
      </c>
      <c r="C552" s="3">
        <v>124639</v>
      </c>
      <c r="D552" s="4">
        <f t="shared" si="25"/>
        <v>1.9329099182951361E-2</v>
      </c>
      <c r="E552" s="4">
        <f t="shared" si="26"/>
        <v>1.1888519998099752E-2</v>
      </c>
      <c r="F552" s="3">
        <f t="shared" si="24"/>
        <v>2023</v>
      </c>
    </row>
    <row r="553" spans="1:6" ht="15" customHeight="1" x14ac:dyDescent="0.2">
      <c r="A553" s="2">
        <v>45247</v>
      </c>
      <c r="B553" s="3">
        <v>2244.1100999999999</v>
      </c>
      <c r="C553" s="3">
        <v>124773</v>
      </c>
      <c r="D553" s="4">
        <f t="shared" si="25"/>
        <v>-3.9447337299219117E-3</v>
      </c>
      <c r="E553" s="4">
        <f t="shared" si="26"/>
        <v>1.0745273915701153E-3</v>
      </c>
      <c r="F553" s="3">
        <f t="shared" si="24"/>
        <v>2023</v>
      </c>
    </row>
    <row r="554" spans="1:6" ht="15" customHeight="1" x14ac:dyDescent="0.2">
      <c r="A554" s="2">
        <v>45250</v>
      </c>
      <c r="B554" s="3">
        <v>2260.8101000000001</v>
      </c>
      <c r="C554" s="3">
        <v>125957</v>
      </c>
      <c r="D554" s="4">
        <f t="shared" si="25"/>
        <v>7.4141497553333992E-3</v>
      </c>
      <c r="E554" s="4">
        <f t="shared" si="26"/>
        <v>9.4444924891278204E-3</v>
      </c>
      <c r="F554" s="3">
        <f t="shared" si="24"/>
        <v>2023</v>
      </c>
    </row>
    <row r="555" spans="1:6" ht="15" customHeight="1" x14ac:dyDescent="0.2">
      <c r="A555" s="2">
        <v>45251</v>
      </c>
      <c r="B555" s="3">
        <v>2240.3101000000001</v>
      </c>
      <c r="C555" s="3">
        <v>125626</v>
      </c>
      <c r="D555" s="4">
        <f t="shared" si="25"/>
        <v>-9.108906597937021E-3</v>
      </c>
      <c r="E555" s="4">
        <f t="shared" si="26"/>
        <v>-2.6313398837409024E-3</v>
      </c>
      <c r="F555" s="3">
        <f t="shared" si="24"/>
        <v>2023</v>
      </c>
    </row>
    <row r="556" spans="1:6" ht="15" customHeight="1" x14ac:dyDescent="0.2">
      <c r="A556" s="2">
        <v>45252</v>
      </c>
      <c r="B556" s="3">
        <v>2257.4299000000001</v>
      </c>
      <c r="C556" s="3">
        <v>126035</v>
      </c>
      <c r="D556" s="4">
        <f t="shared" si="25"/>
        <v>7.6126599927899535E-3</v>
      </c>
      <c r="E556" s="4">
        <f t="shared" si="26"/>
        <v>3.2504071754888243E-3</v>
      </c>
      <c r="F556" s="3">
        <f t="shared" si="24"/>
        <v>2023</v>
      </c>
    </row>
    <row r="557" spans="1:6" ht="15" customHeight="1" x14ac:dyDescent="0.2">
      <c r="A557" s="2">
        <v>45253</v>
      </c>
      <c r="B557" s="3">
        <v>2272.6399000000001</v>
      </c>
      <c r="C557" s="3">
        <v>126576</v>
      </c>
      <c r="D557" s="4">
        <f t="shared" si="25"/>
        <v>6.7151535526884902E-3</v>
      </c>
      <c r="E557" s="4">
        <f t="shared" si="26"/>
        <v>4.2832721228888114E-3</v>
      </c>
      <c r="F557" s="3">
        <f t="shared" si="24"/>
        <v>2023</v>
      </c>
    </row>
    <row r="558" spans="1:6" ht="15" customHeight="1" x14ac:dyDescent="0.2">
      <c r="A558" s="2">
        <v>45254</v>
      </c>
      <c r="B558" s="3">
        <v>2250.25</v>
      </c>
      <c r="C558" s="3">
        <v>125517</v>
      </c>
      <c r="D558" s="4">
        <f t="shared" si="25"/>
        <v>-9.9007861757831311E-3</v>
      </c>
      <c r="E558" s="4">
        <f t="shared" si="26"/>
        <v>-8.4017107135004564E-3</v>
      </c>
      <c r="F558" s="3">
        <f t="shared" si="24"/>
        <v>2023</v>
      </c>
    </row>
    <row r="559" spans="1:6" ht="15" customHeight="1" x14ac:dyDescent="0.2">
      <c r="A559" s="2">
        <v>45257</v>
      </c>
      <c r="B559" s="3">
        <v>2263.1399000000001</v>
      </c>
      <c r="C559" s="3">
        <v>125731</v>
      </c>
      <c r="D559" s="4">
        <f t="shared" si="25"/>
        <v>5.7118641776630107E-3</v>
      </c>
      <c r="E559" s="4">
        <f t="shared" si="26"/>
        <v>1.7034965591811197E-3</v>
      </c>
      <c r="F559" s="3">
        <f t="shared" si="24"/>
        <v>2023</v>
      </c>
    </row>
    <row r="560" spans="1:6" ht="15" customHeight="1" x14ac:dyDescent="0.2">
      <c r="A560" s="2">
        <v>45258</v>
      </c>
      <c r="B560" s="3">
        <v>2281.0300000000002</v>
      </c>
      <c r="C560" s="3">
        <v>126538</v>
      </c>
      <c r="D560" s="4">
        <f t="shared" si="25"/>
        <v>7.8739100093024664E-3</v>
      </c>
      <c r="E560" s="4">
        <f t="shared" si="26"/>
        <v>6.3979541901492297E-3</v>
      </c>
      <c r="F560" s="3">
        <f t="shared" si="24"/>
        <v>2023</v>
      </c>
    </row>
    <row r="561" spans="1:6" ht="15" customHeight="1" x14ac:dyDescent="0.2">
      <c r="A561" s="2">
        <v>45259</v>
      </c>
      <c r="B561" s="3">
        <v>2278.54</v>
      </c>
      <c r="C561" s="3">
        <v>126166</v>
      </c>
      <c r="D561" s="4">
        <f t="shared" si="25"/>
        <v>-1.0922083650568245E-3</v>
      </c>
      <c r="E561" s="4">
        <f t="shared" si="26"/>
        <v>-2.9441581352890318E-3</v>
      </c>
      <c r="F561" s="3">
        <f t="shared" si="24"/>
        <v>2023</v>
      </c>
    </row>
    <row r="562" spans="1:6" ht="15" customHeight="1" x14ac:dyDescent="0.2">
      <c r="A562" s="2">
        <v>45260</v>
      </c>
      <c r="B562" s="3">
        <v>2300.75</v>
      </c>
      <c r="C562" s="3">
        <v>127331</v>
      </c>
      <c r="D562" s="4">
        <f t="shared" si="25"/>
        <v>9.700269759862953E-3</v>
      </c>
      <c r="E562" s="4">
        <f t="shared" si="26"/>
        <v>9.1914949836566888E-3</v>
      </c>
      <c r="F562" s="3">
        <f t="shared" si="24"/>
        <v>2023</v>
      </c>
    </row>
    <row r="563" spans="1:6" ht="15" customHeight="1" x14ac:dyDescent="0.2">
      <c r="A563" s="2">
        <v>45261</v>
      </c>
      <c r="B563" s="3">
        <v>2320.0100000000002</v>
      </c>
      <c r="C563" s="3">
        <v>128185</v>
      </c>
      <c r="D563" s="4">
        <f t="shared" si="25"/>
        <v>8.336339276927526E-3</v>
      </c>
      <c r="E563" s="4">
        <f t="shared" si="26"/>
        <v>6.6845377975629722E-3</v>
      </c>
      <c r="F563" s="3">
        <f t="shared" si="24"/>
        <v>2023</v>
      </c>
    </row>
    <row r="564" spans="1:6" ht="15" customHeight="1" x14ac:dyDescent="0.2">
      <c r="A564" s="2">
        <v>45264</v>
      </c>
      <c r="B564" s="3">
        <v>2304.7399999999998</v>
      </c>
      <c r="C564" s="3">
        <v>126803</v>
      </c>
      <c r="D564" s="4">
        <f t="shared" si="25"/>
        <v>-6.6036241919898197E-3</v>
      </c>
      <c r="E564" s="4">
        <f t="shared" si="26"/>
        <v>-1.0839831931558554E-2</v>
      </c>
      <c r="F564" s="3">
        <f t="shared" si="24"/>
        <v>2023</v>
      </c>
    </row>
    <row r="565" spans="1:6" ht="15" customHeight="1" x14ac:dyDescent="0.2">
      <c r="A565" s="2">
        <v>45265</v>
      </c>
      <c r="B565" s="3">
        <v>2312.5</v>
      </c>
      <c r="C565" s="3">
        <v>126903</v>
      </c>
      <c r="D565" s="4">
        <f t="shared" si="25"/>
        <v>3.3613185826762222E-3</v>
      </c>
      <c r="E565" s="4">
        <f t="shared" si="26"/>
        <v>7.8831407360230126E-4</v>
      </c>
      <c r="F565" s="3">
        <f t="shared" si="24"/>
        <v>2023</v>
      </c>
    </row>
    <row r="566" spans="1:6" ht="15" customHeight="1" x14ac:dyDescent="0.2">
      <c r="A566" s="2">
        <v>45266</v>
      </c>
      <c r="B566" s="3">
        <v>2295.8000000000002</v>
      </c>
      <c r="C566" s="3">
        <v>125623</v>
      </c>
      <c r="D566" s="4">
        <f t="shared" si="25"/>
        <v>-7.2478237551838048E-3</v>
      </c>
      <c r="E566" s="4">
        <f t="shared" si="26"/>
        <v>-1.0137656814245093E-2</v>
      </c>
      <c r="F566" s="3">
        <f t="shared" si="24"/>
        <v>2023</v>
      </c>
    </row>
    <row r="567" spans="1:6" ht="15" customHeight="1" x14ac:dyDescent="0.2">
      <c r="A567" s="2">
        <v>45267</v>
      </c>
      <c r="B567" s="3">
        <v>2302.0801000000001</v>
      </c>
      <c r="C567" s="3">
        <v>126010</v>
      </c>
      <c r="D567" s="4">
        <f t="shared" si="25"/>
        <v>2.7317388747839073E-3</v>
      </c>
      <c r="E567" s="4">
        <f t="shared" si="26"/>
        <v>3.0759105930024217E-3</v>
      </c>
      <c r="F567" s="3">
        <f t="shared" si="24"/>
        <v>2023</v>
      </c>
    </row>
    <row r="568" spans="1:6" ht="15" customHeight="1" x14ac:dyDescent="0.2">
      <c r="A568" s="2">
        <v>45268</v>
      </c>
      <c r="B568" s="3">
        <v>2317.0700999999999</v>
      </c>
      <c r="C568" s="3">
        <v>127094</v>
      </c>
      <c r="D568" s="4">
        <f t="shared" si="25"/>
        <v>6.4903941081535443E-3</v>
      </c>
      <c r="E568" s="4">
        <f t="shared" si="26"/>
        <v>8.5657012758426389E-3</v>
      </c>
      <c r="F568" s="3">
        <f t="shared" si="24"/>
        <v>2023</v>
      </c>
    </row>
    <row r="569" spans="1:6" ht="15" customHeight="1" x14ac:dyDescent="0.2">
      <c r="A569" s="2">
        <v>45271</v>
      </c>
      <c r="B569" s="3">
        <v>2313.8899000000001</v>
      </c>
      <c r="C569" s="3">
        <v>126916</v>
      </c>
      <c r="D569" s="4">
        <f t="shared" si="25"/>
        <v>-1.3734519408154882E-3</v>
      </c>
      <c r="E569" s="4">
        <f t="shared" si="26"/>
        <v>-1.401519854623815E-3</v>
      </c>
      <c r="F569" s="3">
        <f t="shared" si="24"/>
        <v>2023</v>
      </c>
    </row>
    <row r="570" spans="1:6" ht="15" customHeight="1" x14ac:dyDescent="0.2">
      <c r="A570" s="2">
        <v>45272</v>
      </c>
      <c r="B570" s="3">
        <v>2302.3000000000002</v>
      </c>
      <c r="C570" s="3">
        <v>126403</v>
      </c>
      <c r="D570" s="4">
        <f t="shared" si="25"/>
        <v>-5.0214244231938368E-3</v>
      </c>
      <c r="E570" s="4">
        <f t="shared" si="26"/>
        <v>-4.0502346944994161E-3</v>
      </c>
      <c r="F570" s="3">
        <f t="shared" si="24"/>
        <v>2023</v>
      </c>
    </row>
    <row r="571" spans="1:6" ht="15" customHeight="1" x14ac:dyDescent="0.2">
      <c r="A571" s="2">
        <v>45273</v>
      </c>
      <c r="B571" s="3">
        <v>2370.8600999999999</v>
      </c>
      <c r="C571" s="3">
        <v>129465</v>
      </c>
      <c r="D571" s="4">
        <f t="shared" si="25"/>
        <v>2.9344177434845985E-2</v>
      </c>
      <c r="E571" s="4">
        <f t="shared" si="26"/>
        <v>2.3935358731409447E-2</v>
      </c>
      <c r="F571" s="3">
        <f t="shared" si="24"/>
        <v>2023</v>
      </c>
    </row>
    <row r="572" spans="1:6" ht="15" customHeight="1" x14ac:dyDescent="0.2">
      <c r="A572" s="2">
        <v>45274</v>
      </c>
      <c r="B572" s="3">
        <v>2391.2399999999998</v>
      </c>
      <c r="C572" s="3">
        <v>130842</v>
      </c>
      <c r="D572" s="4">
        <f t="shared" si="25"/>
        <v>8.5592591473223605E-3</v>
      </c>
      <c r="E572" s="4">
        <f t="shared" si="26"/>
        <v>1.0579914058932455E-2</v>
      </c>
      <c r="F572" s="3">
        <f t="shared" si="24"/>
        <v>2023</v>
      </c>
    </row>
    <row r="573" spans="1:6" ht="15" customHeight="1" x14ac:dyDescent="0.2">
      <c r="A573" s="2">
        <v>45275</v>
      </c>
      <c r="B573" s="3">
        <v>2376.1498999999999</v>
      </c>
      <c r="C573" s="3">
        <v>130197</v>
      </c>
      <c r="D573" s="4">
        <f t="shared" si="25"/>
        <v>-6.330571114409737E-3</v>
      </c>
      <c r="E573" s="4">
        <f t="shared" si="26"/>
        <v>-4.9418003643074008E-3</v>
      </c>
      <c r="F573" s="3">
        <f t="shared" si="24"/>
        <v>2023</v>
      </c>
    </row>
    <row r="574" spans="1:6" ht="15" customHeight="1" x14ac:dyDescent="0.2">
      <c r="A574" s="2">
        <v>45278</v>
      </c>
      <c r="B574" s="3">
        <v>2389.71</v>
      </c>
      <c r="C574" s="3">
        <v>131084</v>
      </c>
      <c r="D574" s="4">
        <f t="shared" si="25"/>
        <v>5.690530933177838E-3</v>
      </c>
      <c r="E574" s="4">
        <f t="shared" si="26"/>
        <v>6.7896510462568749E-3</v>
      </c>
      <c r="F574" s="3">
        <f t="shared" si="24"/>
        <v>2023</v>
      </c>
    </row>
    <row r="575" spans="1:6" ht="15" customHeight="1" x14ac:dyDescent="0.2">
      <c r="A575" s="2">
        <v>45279</v>
      </c>
      <c r="B575" s="3">
        <v>2402.4099000000001</v>
      </c>
      <c r="C575" s="3">
        <v>131851</v>
      </c>
      <c r="D575" s="4">
        <f t="shared" si="25"/>
        <v>5.3003388884896281E-3</v>
      </c>
      <c r="E575" s="4">
        <f t="shared" si="26"/>
        <v>5.8341580661071674E-3</v>
      </c>
      <c r="F575" s="3">
        <f t="shared" si="24"/>
        <v>2023</v>
      </c>
    </row>
    <row r="576" spans="1:6" ht="15" customHeight="1" x14ac:dyDescent="0.2">
      <c r="A576" s="2">
        <v>45280</v>
      </c>
      <c r="B576" s="3">
        <v>2379.2199999999998</v>
      </c>
      <c r="C576" s="3">
        <v>130804</v>
      </c>
      <c r="D576" s="4">
        <f t="shared" si="25"/>
        <v>-9.6996556822382743E-3</v>
      </c>
      <c r="E576" s="4">
        <f t="shared" si="26"/>
        <v>-7.9724775514563567E-3</v>
      </c>
      <c r="F576" s="3">
        <f t="shared" si="24"/>
        <v>2023</v>
      </c>
    </row>
    <row r="577" spans="1:6" ht="15" customHeight="1" x14ac:dyDescent="0.2">
      <c r="A577" s="2">
        <v>45281</v>
      </c>
      <c r="B577" s="3">
        <v>2396.5300000000002</v>
      </c>
      <c r="C577" s="3">
        <v>132182</v>
      </c>
      <c r="D577" s="4">
        <f t="shared" si="25"/>
        <v>7.2491549196106106E-3</v>
      </c>
      <c r="E577" s="4">
        <f t="shared" si="26"/>
        <v>1.0479741214703336E-2</v>
      </c>
      <c r="F577" s="3">
        <f t="shared" si="24"/>
        <v>2023</v>
      </c>
    </row>
    <row r="578" spans="1:6" ht="15" customHeight="1" x14ac:dyDescent="0.2">
      <c r="A578" s="2">
        <v>45282</v>
      </c>
      <c r="B578" s="3">
        <v>2410.8998999999999</v>
      </c>
      <c r="C578" s="3">
        <v>132753</v>
      </c>
      <c r="D578" s="4">
        <f t="shared" si="25"/>
        <v>5.9782224998441037E-3</v>
      </c>
      <c r="E578" s="4">
        <f t="shared" si="26"/>
        <v>4.3104979267875199E-3</v>
      </c>
      <c r="F578" s="3">
        <f t="shared" ref="F578:F641" si="27">YEAR(A578)</f>
        <v>2023</v>
      </c>
    </row>
    <row r="579" spans="1:6" ht="15" customHeight="1" x14ac:dyDescent="0.2">
      <c r="A579" s="2">
        <v>45286</v>
      </c>
      <c r="B579" s="3">
        <v>2423.27</v>
      </c>
      <c r="C579" s="3">
        <v>133533</v>
      </c>
      <c r="D579" s="4">
        <f t="shared" ref="D579:D642" si="28">LN(B579/B578)</f>
        <v>5.117787440418152E-3</v>
      </c>
      <c r="E579" s="4">
        <f t="shared" ref="E579:E642" si="29">LN(C579/C578)</f>
        <v>5.8583795681217705E-3</v>
      </c>
      <c r="F579" s="3">
        <f t="shared" si="27"/>
        <v>2023</v>
      </c>
    </row>
    <row r="580" spans="1:6" ht="15" customHeight="1" x14ac:dyDescent="0.2">
      <c r="A580" s="2">
        <v>45287</v>
      </c>
      <c r="B580" s="3">
        <v>2435.1201000000001</v>
      </c>
      <c r="C580" s="3">
        <v>134194</v>
      </c>
      <c r="D580" s="4">
        <f t="shared" si="28"/>
        <v>4.8782099649264327E-3</v>
      </c>
      <c r="E580" s="4">
        <f t="shared" si="29"/>
        <v>4.9378758442391981E-3</v>
      </c>
      <c r="F580" s="3">
        <f t="shared" si="27"/>
        <v>2023</v>
      </c>
    </row>
    <row r="581" spans="1:6" ht="15" customHeight="1" x14ac:dyDescent="0.2">
      <c r="A581" s="2">
        <v>45288</v>
      </c>
      <c r="B581" s="3">
        <v>2434.3000000000002</v>
      </c>
      <c r="C581" s="3">
        <v>134185</v>
      </c>
      <c r="D581" s="4">
        <f t="shared" si="28"/>
        <v>-3.3683682693712644E-4</v>
      </c>
      <c r="E581" s="4">
        <f t="shared" si="29"/>
        <v>-6.7069331083087125E-5</v>
      </c>
      <c r="F581" s="3">
        <f t="shared" si="27"/>
        <v>2023</v>
      </c>
    </row>
    <row r="582" spans="1:6" ht="15" customHeight="1" x14ac:dyDescent="0.2">
      <c r="A582" s="2">
        <v>45293</v>
      </c>
      <c r="B582" s="3">
        <v>2399.8600999999999</v>
      </c>
      <c r="C582" s="3">
        <v>132697</v>
      </c>
      <c r="D582" s="4">
        <f t="shared" si="28"/>
        <v>-1.4248796885029532E-2</v>
      </c>
      <c r="E582" s="4">
        <f t="shared" si="29"/>
        <v>-1.1151111120500233E-2</v>
      </c>
      <c r="F582" s="3">
        <f t="shared" si="27"/>
        <v>2024</v>
      </c>
    </row>
    <row r="583" spans="1:6" ht="15" customHeight="1" x14ac:dyDescent="0.2">
      <c r="A583" s="2">
        <v>45294</v>
      </c>
      <c r="B583" s="3">
        <v>2395.29</v>
      </c>
      <c r="C583" s="3">
        <v>132834</v>
      </c>
      <c r="D583" s="4">
        <f t="shared" si="28"/>
        <v>-1.9061348606088521E-3</v>
      </c>
      <c r="E583" s="4">
        <f t="shared" si="29"/>
        <v>1.0318946726110474E-3</v>
      </c>
      <c r="F583" s="3">
        <f t="shared" si="27"/>
        <v>2024</v>
      </c>
    </row>
    <row r="584" spans="1:6" ht="15" customHeight="1" x14ac:dyDescent="0.2">
      <c r="A584" s="2">
        <v>45295</v>
      </c>
      <c r="B584" s="3">
        <v>2363.27</v>
      </c>
      <c r="C584" s="3">
        <v>131226</v>
      </c>
      <c r="D584" s="4">
        <f t="shared" si="28"/>
        <v>-1.3458055918229125E-2</v>
      </c>
      <c r="E584" s="4">
        <f t="shared" si="29"/>
        <v>-1.2179200761672608E-2</v>
      </c>
      <c r="F584" s="3">
        <f t="shared" si="27"/>
        <v>2024</v>
      </c>
    </row>
    <row r="585" spans="1:6" ht="15" customHeight="1" x14ac:dyDescent="0.2">
      <c r="A585" s="2">
        <v>45296</v>
      </c>
      <c r="B585" s="3">
        <v>2387.6698999999999</v>
      </c>
      <c r="C585" s="3">
        <v>132023</v>
      </c>
      <c r="D585" s="4">
        <f t="shared" si="28"/>
        <v>1.0271699935126463E-2</v>
      </c>
      <c r="E585" s="4">
        <f t="shared" si="29"/>
        <v>6.0551222236948921E-3</v>
      </c>
      <c r="F585" s="3">
        <f t="shared" si="27"/>
        <v>2024</v>
      </c>
    </row>
    <row r="586" spans="1:6" ht="15" customHeight="1" x14ac:dyDescent="0.2">
      <c r="A586" s="2">
        <v>45299</v>
      </c>
      <c r="B586" s="3">
        <v>2405.0801000000001</v>
      </c>
      <c r="C586" s="3">
        <v>132427</v>
      </c>
      <c r="D586" s="4">
        <f t="shared" si="28"/>
        <v>7.2652554719140616E-3</v>
      </c>
      <c r="E586" s="4">
        <f t="shared" si="29"/>
        <v>3.0554003728050453E-3</v>
      </c>
      <c r="F586" s="3">
        <f t="shared" si="27"/>
        <v>2024</v>
      </c>
    </row>
    <row r="587" spans="1:6" ht="15" customHeight="1" x14ac:dyDescent="0.2">
      <c r="A587" s="2">
        <v>45300</v>
      </c>
      <c r="B587" s="3">
        <v>2390.5300000000002</v>
      </c>
      <c r="C587" s="3">
        <v>131447</v>
      </c>
      <c r="D587" s="4">
        <f t="shared" si="28"/>
        <v>-6.0681099353359236E-3</v>
      </c>
      <c r="E587" s="4">
        <f t="shared" si="29"/>
        <v>-7.4278216554328038E-3</v>
      </c>
      <c r="F587" s="3">
        <f t="shared" si="27"/>
        <v>2024</v>
      </c>
    </row>
    <row r="588" spans="1:6" ht="15" customHeight="1" x14ac:dyDescent="0.2">
      <c r="A588" s="2">
        <v>45301</v>
      </c>
      <c r="B588" s="3">
        <v>2386.5</v>
      </c>
      <c r="C588" s="3">
        <v>130841</v>
      </c>
      <c r="D588" s="4">
        <f t="shared" si="28"/>
        <v>-1.6872412172604066E-3</v>
      </c>
      <c r="E588" s="4">
        <f t="shared" si="29"/>
        <v>-4.6208829859076565E-3</v>
      </c>
      <c r="F588" s="3">
        <f t="shared" si="27"/>
        <v>2024</v>
      </c>
    </row>
    <row r="589" spans="1:6" ht="15" customHeight="1" x14ac:dyDescent="0.2">
      <c r="A589" s="2">
        <v>45302</v>
      </c>
      <c r="B589" s="3">
        <v>2374.2800000000002</v>
      </c>
      <c r="C589" s="3">
        <v>130649</v>
      </c>
      <c r="D589" s="4">
        <f t="shared" si="28"/>
        <v>-5.1336238335903586E-3</v>
      </c>
      <c r="E589" s="4">
        <f t="shared" si="29"/>
        <v>-1.4685076638053325E-3</v>
      </c>
      <c r="F589" s="3">
        <f t="shared" si="27"/>
        <v>2024</v>
      </c>
    </row>
    <row r="590" spans="1:6" ht="15" customHeight="1" x14ac:dyDescent="0.2">
      <c r="A590" s="2">
        <v>45303</v>
      </c>
      <c r="B590" s="3">
        <v>2389.0500000000002</v>
      </c>
      <c r="C590" s="3">
        <v>130988</v>
      </c>
      <c r="D590" s="4">
        <f t="shared" si="28"/>
        <v>6.2015637535390187E-3</v>
      </c>
      <c r="E590" s="4">
        <f t="shared" si="29"/>
        <v>2.5913780520761273E-3</v>
      </c>
      <c r="F590" s="3">
        <f t="shared" si="27"/>
        <v>2024</v>
      </c>
    </row>
    <row r="591" spans="1:6" ht="15" customHeight="1" x14ac:dyDescent="0.2">
      <c r="A591" s="2">
        <v>45306</v>
      </c>
      <c r="B591" s="3">
        <v>2396.54</v>
      </c>
      <c r="C591" s="3">
        <v>131521</v>
      </c>
      <c r="D591" s="4">
        <f t="shared" si="28"/>
        <v>3.1302331022121919E-3</v>
      </c>
      <c r="E591" s="4">
        <f t="shared" si="29"/>
        <v>4.0608187333896848E-3</v>
      </c>
      <c r="F591" s="3">
        <f t="shared" si="27"/>
        <v>2024</v>
      </c>
    </row>
    <row r="592" spans="1:6" ht="15" customHeight="1" x14ac:dyDescent="0.2">
      <c r="A592" s="2">
        <v>45307</v>
      </c>
      <c r="B592" s="3">
        <v>2351.5801000000001</v>
      </c>
      <c r="C592" s="3">
        <v>129294</v>
      </c>
      <c r="D592" s="4">
        <f t="shared" si="28"/>
        <v>-1.8938545299342333E-2</v>
      </c>
      <c r="E592" s="4">
        <f t="shared" si="29"/>
        <v>-1.7077653696460776E-2</v>
      </c>
      <c r="F592" s="3">
        <f t="shared" si="27"/>
        <v>2024</v>
      </c>
    </row>
    <row r="593" spans="1:6" ht="15" customHeight="1" x14ac:dyDescent="0.2">
      <c r="A593" s="2">
        <v>45308</v>
      </c>
      <c r="B593" s="3">
        <v>2344.7399999999998</v>
      </c>
      <c r="C593" s="3">
        <v>128524</v>
      </c>
      <c r="D593" s="4">
        <f t="shared" si="28"/>
        <v>-2.9129636358151819E-3</v>
      </c>
      <c r="E593" s="4">
        <f t="shared" si="29"/>
        <v>-5.9732236649642136E-3</v>
      </c>
      <c r="F593" s="3">
        <f t="shared" si="27"/>
        <v>2024</v>
      </c>
    </row>
    <row r="594" spans="1:6" ht="15" customHeight="1" x14ac:dyDescent="0.2">
      <c r="A594" s="2">
        <v>45309</v>
      </c>
      <c r="B594" s="3">
        <v>2319.3998999999999</v>
      </c>
      <c r="C594" s="3">
        <v>127316</v>
      </c>
      <c r="D594" s="4">
        <f t="shared" si="28"/>
        <v>-1.0866033124951349E-2</v>
      </c>
      <c r="E594" s="4">
        <f t="shared" si="29"/>
        <v>-9.4434723057876327E-3</v>
      </c>
      <c r="F594" s="3">
        <f t="shared" si="27"/>
        <v>2024</v>
      </c>
    </row>
    <row r="595" spans="1:6" ht="15" customHeight="1" x14ac:dyDescent="0.2">
      <c r="A595" s="2">
        <v>45310</v>
      </c>
      <c r="B595" s="3">
        <v>2335.54</v>
      </c>
      <c r="C595" s="3">
        <v>127636</v>
      </c>
      <c r="D595" s="4">
        <f t="shared" si="28"/>
        <v>6.9346393410379664E-3</v>
      </c>
      <c r="E595" s="4">
        <f t="shared" si="29"/>
        <v>2.5102777624010689E-3</v>
      </c>
      <c r="F595" s="3">
        <f t="shared" si="27"/>
        <v>2024</v>
      </c>
    </row>
    <row r="596" spans="1:6" ht="15" customHeight="1" x14ac:dyDescent="0.2">
      <c r="A596" s="2">
        <v>45313</v>
      </c>
      <c r="B596" s="3">
        <v>2311.8998999999999</v>
      </c>
      <c r="C596" s="3">
        <v>126602</v>
      </c>
      <c r="D596" s="4">
        <f t="shared" si="28"/>
        <v>-1.0173473741816373E-2</v>
      </c>
      <c r="E596" s="4">
        <f t="shared" si="29"/>
        <v>-8.1341554068767724E-3</v>
      </c>
      <c r="F596" s="3">
        <f t="shared" si="27"/>
        <v>2024</v>
      </c>
    </row>
    <row r="597" spans="1:6" ht="15" customHeight="1" x14ac:dyDescent="0.2">
      <c r="A597" s="2">
        <v>45314</v>
      </c>
      <c r="B597" s="3">
        <v>2340</v>
      </c>
      <c r="C597" s="3">
        <v>128263</v>
      </c>
      <c r="D597" s="4">
        <f t="shared" si="28"/>
        <v>1.2081275344522201E-2</v>
      </c>
      <c r="E597" s="4">
        <f t="shared" si="29"/>
        <v>1.303453606265835E-2</v>
      </c>
      <c r="F597" s="3">
        <f t="shared" si="27"/>
        <v>2024</v>
      </c>
    </row>
    <row r="598" spans="1:6" ht="15" customHeight="1" x14ac:dyDescent="0.2">
      <c r="A598" s="2">
        <v>45315</v>
      </c>
      <c r="B598" s="3">
        <v>2325.1698999999999</v>
      </c>
      <c r="C598" s="3">
        <v>127816</v>
      </c>
      <c r="D598" s="4">
        <f t="shared" si="28"/>
        <v>-6.3578177313406339E-3</v>
      </c>
      <c r="E598" s="4">
        <f t="shared" si="29"/>
        <v>-3.4911137109895308E-3</v>
      </c>
      <c r="F598" s="3">
        <f t="shared" si="27"/>
        <v>2024</v>
      </c>
    </row>
    <row r="599" spans="1:6" ht="15" customHeight="1" x14ac:dyDescent="0.2">
      <c r="A599" s="2">
        <v>45316</v>
      </c>
      <c r="B599" s="3">
        <v>2331.8400999999999</v>
      </c>
      <c r="C599" s="3">
        <v>128169</v>
      </c>
      <c r="D599" s="4">
        <f t="shared" si="28"/>
        <v>2.8645867460989987E-3</v>
      </c>
      <c r="E599" s="4">
        <f t="shared" si="29"/>
        <v>2.7579758482396627E-3</v>
      </c>
      <c r="F599" s="3">
        <f t="shared" si="27"/>
        <v>2024</v>
      </c>
    </row>
    <row r="600" spans="1:6" ht="15" customHeight="1" x14ac:dyDescent="0.2">
      <c r="A600" s="2">
        <v>45317</v>
      </c>
      <c r="B600" s="3">
        <v>2336.6898999999999</v>
      </c>
      <c r="C600" s="3">
        <v>128967</v>
      </c>
      <c r="D600" s="4">
        <f t="shared" si="28"/>
        <v>2.0776568832490197E-3</v>
      </c>
      <c r="E600" s="4">
        <f t="shared" si="29"/>
        <v>6.2068521087029231E-3</v>
      </c>
      <c r="F600" s="3">
        <f t="shared" si="27"/>
        <v>2024</v>
      </c>
    </row>
    <row r="601" spans="1:6" ht="15" customHeight="1" x14ac:dyDescent="0.2">
      <c r="A601" s="2">
        <v>45320</v>
      </c>
      <c r="B601" s="3">
        <v>2324.7199999999998</v>
      </c>
      <c r="C601" s="3">
        <v>128503</v>
      </c>
      <c r="D601" s="4">
        <f t="shared" si="28"/>
        <v>-5.135753588112359E-3</v>
      </c>
      <c r="E601" s="4">
        <f t="shared" si="29"/>
        <v>-3.6043073159573572E-3</v>
      </c>
      <c r="F601" s="3">
        <f t="shared" si="27"/>
        <v>2024</v>
      </c>
    </row>
    <row r="602" spans="1:6" ht="15" customHeight="1" x14ac:dyDescent="0.2">
      <c r="A602" s="2">
        <v>45321</v>
      </c>
      <c r="B602" s="3">
        <v>2302.9499999999998</v>
      </c>
      <c r="C602" s="3">
        <v>127402</v>
      </c>
      <c r="D602" s="4">
        <f t="shared" si="28"/>
        <v>-9.4086918886243549E-3</v>
      </c>
      <c r="E602" s="4">
        <f t="shared" si="29"/>
        <v>-8.604808764287172E-3</v>
      </c>
      <c r="F602" s="3">
        <f t="shared" si="27"/>
        <v>2024</v>
      </c>
    </row>
    <row r="603" spans="1:6" ht="15" customHeight="1" x14ac:dyDescent="0.2">
      <c r="A603" s="2">
        <v>45322</v>
      </c>
      <c r="B603" s="3">
        <v>2315.9398999999999</v>
      </c>
      <c r="C603" s="3">
        <v>127752</v>
      </c>
      <c r="D603" s="4">
        <f t="shared" si="28"/>
        <v>5.6246996695191202E-3</v>
      </c>
      <c r="E603" s="4">
        <f t="shared" si="29"/>
        <v>2.7434429365974199E-3</v>
      </c>
      <c r="F603" s="3">
        <f t="shared" si="27"/>
        <v>2024</v>
      </c>
    </row>
    <row r="604" spans="1:6" ht="15" customHeight="1" x14ac:dyDescent="0.2">
      <c r="A604" s="2">
        <v>45323</v>
      </c>
      <c r="B604" s="3">
        <v>2329.9499999999998</v>
      </c>
      <c r="C604" s="3">
        <v>128481</v>
      </c>
      <c r="D604" s="4">
        <f t="shared" si="28"/>
        <v>6.0311986594890014E-3</v>
      </c>
      <c r="E604" s="4">
        <f t="shared" si="29"/>
        <v>5.690148942173557E-3</v>
      </c>
      <c r="F604" s="3">
        <f t="shared" si="27"/>
        <v>2024</v>
      </c>
    </row>
    <row r="605" spans="1:6" ht="15" customHeight="1" x14ac:dyDescent="0.2">
      <c r="A605" s="2">
        <v>45324</v>
      </c>
      <c r="B605" s="3">
        <v>2310.0100000000002</v>
      </c>
      <c r="C605" s="3">
        <v>127182</v>
      </c>
      <c r="D605" s="4">
        <f t="shared" si="28"/>
        <v>-8.5949545912276069E-3</v>
      </c>
      <c r="E605" s="4">
        <f t="shared" si="29"/>
        <v>-1.0161902022084704E-2</v>
      </c>
      <c r="F605" s="3">
        <f t="shared" si="27"/>
        <v>2024</v>
      </c>
    </row>
    <row r="606" spans="1:6" ht="15" customHeight="1" x14ac:dyDescent="0.2">
      <c r="A606" s="2">
        <v>45327</v>
      </c>
      <c r="B606" s="3">
        <v>2318.9499999999998</v>
      </c>
      <c r="C606" s="3">
        <v>127593</v>
      </c>
      <c r="D606" s="4">
        <f t="shared" si="28"/>
        <v>3.8626434946111656E-3</v>
      </c>
      <c r="E606" s="4">
        <f t="shared" si="29"/>
        <v>3.2263790130588987E-3</v>
      </c>
      <c r="F606" s="3">
        <f t="shared" si="27"/>
        <v>2024</v>
      </c>
    </row>
    <row r="607" spans="1:6" ht="15" customHeight="1" x14ac:dyDescent="0.2">
      <c r="A607" s="2">
        <v>45328</v>
      </c>
      <c r="B607" s="3">
        <v>2369.02</v>
      </c>
      <c r="C607" s="3">
        <v>130416</v>
      </c>
      <c r="D607" s="4">
        <f t="shared" si="28"/>
        <v>2.1361870498490587E-2</v>
      </c>
      <c r="E607" s="4">
        <f t="shared" si="29"/>
        <v>2.1883830880387756E-2</v>
      </c>
      <c r="F607" s="3">
        <f t="shared" si="27"/>
        <v>2024</v>
      </c>
    </row>
    <row r="608" spans="1:6" ht="15" customHeight="1" x14ac:dyDescent="0.2">
      <c r="A608" s="2">
        <v>45329</v>
      </c>
      <c r="B608" s="3">
        <v>2369.3701000000001</v>
      </c>
      <c r="C608" s="3">
        <v>129950</v>
      </c>
      <c r="D608" s="4">
        <f t="shared" si="28"/>
        <v>1.47771708638901E-4</v>
      </c>
      <c r="E608" s="4">
        <f t="shared" si="29"/>
        <v>-3.5795802646023333E-3</v>
      </c>
      <c r="F608" s="3">
        <f t="shared" si="27"/>
        <v>2024</v>
      </c>
    </row>
    <row r="609" spans="1:6" ht="15" customHeight="1" x14ac:dyDescent="0.2">
      <c r="A609" s="2">
        <v>45330</v>
      </c>
      <c r="B609" s="3">
        <v>2336.27</v>
      </c>
      <c r="C609" s="3">
        <v>128217</v>
      </c>
      <c r="D609" s="4">
        <f t="shared" si="28"/>
        <v>-1.4068498751747392E-2</v>
      </c>
      <c r="E609" s="4">
        <f t="shared" si="29"/>
        <v>-1.3425620088023612E-2</v>
      </c>
      <c r="F609" s="3">
        <f t="shared" si="27"/>
        <v>2024</v>
      </c>
    </row>
    <row r="610" spans="1:6" ht="15" customHeight="1" x14ac:dyDescent="0.2">
      <c r="A610" s="2">
        <v>45331</v>
      </c>
      <c r="B610" s="3">
        <v>2340.25</v>
      </c>
      <c r="C610" s="3">
        <v>128026</v>
      </c>
      <c r="D610" s="4">
        <f t="shared" si="28"/>
        <v>1.7021207910623655E-3</v>
      </c>
      <c r="E610" s="4">
        <f t="shared" si="29"/>
        <v>-1.4907727069481086E-3</v>
      </c>
      <c r="F610" s="3">
        <f t="shared" si="27"/>
        <v>2024</v>
      </c>
    </row>
    <row r="611" spans="1:6" ht="15" customHeight="1" x14ac:dyDescent="0.2">
      <c r="A611" s="2">
        <v>45336</v>
      </c>
      <c r="B611" s="3">
        <v>2320.0900999999999</v>
      </c>
      <c r="C611" s="3">
        <v>127018</v>
      </c>
      <c r="D611" s="4">
        <f t="shared" si="28"/>
        <v>-8.6517401387079286E-3</v>
      </c>
      <c r="E611" s="4">
        <f t="shared" si="29"/>
        <v>-7.9045595935429043E-3</v>
      </c>
      <c r="F611" s="3">
        <f t="shared" si="27"/>
        <v>2024</v>
      </c>
    </row>
    <row r="612" spans="1:6" ht="15" customHeight="1" x14ac:dyDescent="0.2">
      <c r="A612" s="2">
        <v>45337</v>
      </c>
      <c r="B612" s="3">
        <v>2328.0601000000001</v>
      </c>
      <c r="C612" s="3">
        <v>127804</v>
      </c>
      <c r="D612" s="4">
        <f t="shared" si="28"/>
        <v>3.4293245561540695E-3</v>
      </c>
      <c r="E612" s="4">
        <f t="shared" si="29"/>
        <v>6.169031659187545E-3</v>
      </c>
      <c r="F612" s="3">
        <f t="shared" si="27"/>
        <v>2024</v>
      </c>
    </row>
    <row r="613" spans="1:6" ht="15" customHeight="1" x14ac:dyDescent="0.2">
      <c r="A613" s="2">
        <v>45338</v>
      </c>
      <c r="B613" s="3">
        <v>2331.52</v>
      </c>
      <c r="C613" s="3">
        <v>128726</v>
      </c>
      <c r="D613" s="4">
        <f t="shared" si="28"/>
        <v>1.4850697108440352E-3</v>
      </c>
      <c r="E613" s="4">
        <f t="shared" si="29"/>
        <v>7.1882740425956672E-3</v>
      </c>
      <c r="F613" s="3">
        <f t="shared" si="27"/>
        <v>2024</v>
      </c>
    </row>
    <row r="614" spans="1:6" ht="15" customHeight="1" x14ac:dyDescent="0.2">
      <c r="A614" s="2">
        <v>45341</v>
      </c>
      <c r="B614" s="3">
        <v>2337.5801000000001</v>
      </c>
      <c r="C614" s="3">
        <v>129036</v>
      </c>
      <c r="D614" s="4">
        <f t="shared" si="28"/>
        <v>2.5958335752637339E-3</v>
      </c>
      <c r="E614" s="4">
        <f t="shared" si="29"/>
        <v>2.4053207956215286E-3</v>
      </c>
      <c r="F614" s="3">
        <f t="shared" si="27"/>
        <v>2024</v>
      </c>
    </row>
    <row r="615" spans="1:6" ht="15" customHeight="1" x14ac:dyDescent="0.2">
      <c r="A615" s="2">
        <v>45342</v>
      </c>
      <c r="B615" s="3">
        <v>2369.9699999999998</v>
      </c>
      <c r="C615" s="3">
        <v>129916</v>
      </c>
      <c r="D615" s="4">
        <f t="shared" si="28"/>
        <v>1.3761047865804647E-2</v>
      </c>
      <c r="E615" s="4">
        <f t="shared" si="29"/>
        <v>6.796652565672778E-3</v>
      </c>
      <c r="F615" s="3">
        <f t="shared" si="27"/>
        <v>2024</v>
      </c>
    </row>
    <row r="616" spans="1:6" ht="15" customHeight="1" x14ac:dyDescent="0.2">
      <c r="A616" s="2">
        <v>45343</v>
      </c>
      <c r="B616" s="3">
        <v>2372.1001000000001</v>
      </c>
      <c r="C616" s="3">
        <v>130032</v>
      </c>
      <c r="D616" s="4">
        <f t="shared" si="28"/>
        <v>8.983840805162212E-4</v>
      </c>
      <c r="E616" s="4">
        <f t="shared" si="29"/>
        <v>8.9248624878667427E-4</v>
      </c>
      <c r="F616" s="3">
        <f t="shared" si="27"/>
        <v>2024</v>
      </c>
    </row>
    <row r="617" spans="1:6" ht="15" customHeight="1" x14ac:dyDescent="0.2">
      <c r="A617" s="2">
        <v>45344</v>
      </c>
      <c r="B617" s="3">
        <v>2376.23</v>
      </c>
      <c r="C617" s="3">
        <v>130241</v>
      </c>
      <c r="D617" s="4">
        <f t="shared" si="28"/>
        <v>1.7395172426599736E-3</v>
      </c>
      <c r="E617" s="4">
        <f t="shared" si="29"/>
        <v>1.6060063465825327E-3</v>
      </c>
      <c r="F617" s="3">
        <f t="shared" si="27"/>
        <v>2024</v>
      </c>
    </row>
    <row r="618" spans="1:6" ht="15" customHeight="1" x14ac:dyDescent="0.2">
      <c r="A618" s="2">
        <v>45345</v>
      </c>
      <c r="B618" s="3">
        <v>2358.3101000000001</v>
      </c>
      <c r="C618" s="3">
        <v>129419</v>
      </c>
      <c r="D618" s="4">
        <f t="shared" si="28"/>
        <v>-7.5698949396933498E-3</v>
      </c>
      <c r="E618" s="4">
        <f t="shared" si="29"/>
        <v>-6.3313775391863137E-3</v>
      </c>
      <c r="F618" s="3">
        <f t="shared" si="27"/>
        <v>2024</v>
      </c>
    </row>
    <row r="619" spans="1:6" ht="15" customHeight="1" x14ac:dyDescent="0.2">
      <c r="A619" s="2">
        <v>45348</v>
      </c>
      <c r="B619" s="3">
        <v>2369.4699999999998</v>
      </c>
      <c r="C619" s="3">
        <v>129609</v>
      </c>
      <c r="D619" s="4">
        <f t="shared" si="28"/>
        <v>4.7209982238736823E-3</v>
      </c>
      <c r="E619" s="4">
        <f t="shared" si="29"/>
        <v>1.4670231332196565E-3</v>
      </c>
      <c r="F619" s="3">
        <f t="shared" si="27"/>
        <v>2024</v>
      </c>
    </row>
    <row r="620" spans="1:6" ht="15" customHeight="1" x14ac:dyDescent="0.2">
      <c r="A620" s="2">
        <v>45349</v>
      </c>
      <c r="B620" s="3">
        <v>2411.8200999999999</v>
      </c>
      <c r="C620" s="3">
        <v>131689</v>
      </c>
      <c r="D620" s="4">
        <f t="shared" si="28"/>
        <v>1.7715389230575244E-2</v>
      </c>
      <c r="E620" s="4">
        <f t="shared" si="29"/>
        <v>1.5920856150823223E-2</v>
      </c>
      <c r="F620" s="3">
        <f t="shared" si="27"/>
        <v>2024</v>
      </c>
    </row>
    <row r="621" spans="1:6" ht="15" customHeight="1" x14ac:dyDescent="0.2">
      <c r="A621" s="2">
        <v>45350</v>
      </c>
      <c r="B621" s="3">
        <v>2394.5300000000002</v>
      </c>
      <c r="C621" s="3">
        <v>130155</v>
      </c>
      <c r="D621" s="4">
        <f t="shared" si="28"/>
        <v>-7.1947212433331126E-3</v>
      </c>
      <c r="E621" s="4">
        <f t="shared" si="29"/>
        <v>-1.1717034188725326E-2</v>
      </c>
      <c r="F621" s="3">
        <f t="shared" si="27"/>
        <v>2024</v>
      </c>
    </row>
    <row r="622" spans="1:6" ht="15" customHeight="1" x14ac:dyDescent="0.2">
      <c r="A622" s="2">
        <v>45351</v>
      </c>
      <c r="B622" s="3">
        <v>2369.9099000000001</v>
      </c>
      <c r="C622" s="3">
        <v>129020</v>
      </c>
      <c r="D622" s="4">
        <f t="shared" si="28"/>
        <v>-1.0335031886931379E-2</v>
      </c>
      <c r="E622" s="4">
        <f t="shared" si="29"/>
        <v>-8.7586168094671082E-3</v>
      </c>
      <c r="F622" s="3">
        <f t="shared" si="27"/>
        <v>2024</v>
      </c>
    </row>
    <row r="623" spans="1:6" ht="15" customHeight="1" x14ac:dyDescent="0.2">
      <c r="A623" s="2">
        <v>45352</v>
      </c>
      <c r="B623" s="3">
        <v>2376.9099000000001</v>
      </c>
      <c r="C623" s="3">
        <v>129180</v>
      </c>
      <c r="D623" s="4">
        <f t="shared" si="28"/>
        <v>2.9493451907334216E-3</v>
      </c>
      <c r="E623" s="4">
        <f t="shared" si="29"/>
        <v>1.23934950023103E-3</v>
      </c>
      <c r="F623" s="3">
        <f t="shared" si="27"/>
        <v>2024</v>
      </c>
    </row>
    <row r="624" spans="1:6" ht="15" customHeight="1" x14ac:dyDescent="0.2">
      <c r="A624" s="2">
        <v>45355</v>
      </c>
      <c r="B624" s="3">
        <v>2359.04</v>
      </c>
      <c r="C624" s="3">
        <v>128341</v>
      </c>
      <c r="D624" s="4">
        <f t="shared" si="28"/>
        <v>-7.546526118264436E-3</v>
      </c>
      <c r="E624" s="4">
        <f t="shared" si="29"/>
        <v>-6.5159965092901348E-3</v>
      </c>
      <c r="F624" s="3">
        <f t="shared" si="27"/>
        <v>2024</v>
      </c>
    </row>
    <row r="625" spans="1:6" ht="15" customHeight="1" x14ac:dyDescent="0.2">
      <c r="A625" s="2">
        <v>45356</v>
      </c>
      <c r="B625" s="3">
        <v>2359.21</v>
      </c>
      <c r="C625" s="3">
        <v>128098</v>
      </c>
      <c r="D625" s="4">
        <f t="shared" si="28"/>
        <v>7.2060615725491926E-5</v>
      </c>
      <c r="E625" s="4">
        <f t="shared" si="29"/>
        <v>-1.8951881167270476E-3</v>
      </c>
      <c r="F625" s="3">
        <f t="shared" si="27"/>
        <v>2024</v>
      </c>
    </row>
    <row r="626" spans="1:6" ht="15" customHeight="1" x14ac:dyDescent="0.2">
      <c r="A626" s="2">
        <v>45357</v>
      </c>
      <c r="B626" s="3">
        <v>2366.5601000000001</v>
      </c>
      <c r="C626" s="3">
        <v>128890</v>
      </c>
      <c r="D626" s="4">
        <f t="shared" si="28"/>
        <v>3.1106489614098867E-3</v>
      </c>
      <c r="E626" s="4">
        <f t="shared" si="29"/>
        <v>6.1637314383787651E-3</v>
      </c>
      <c r="F626" s="3">
        <f t="shared" si="27"/>
        <v>2024</v>
      </c>
    </row>
    <row r="627" spans="1:6" ht="15" customHeight="1" x14ac:dyDescent="0.2">
      <c r="A627" s="2">
        <v>45358</v>
      </c>
      <c r="B627" s="3">
        <v>2359.9499999999998</v>
      </c>
      <c r="C627" s="3">
        <v>128340</v>
      </c>
      <c r="D627" s="4">
        <f t="shared" si="28"/>
        <v>-2.7970338239426975E-3</v>
      </c>
      <c r="E627" s="4">
        <f t="shared" si="29"/>
        <v>-4.276335094318919E-3</v>
      </c>
      <c r="F627" s="3">
        <f t="shared" si="27"/>
        <v>2024</v>
      </c>
    </row>
    <row r="628" spans="1:6" ht="15" customHeight="1" x14ac:dyDescent="0.2">
      <c r="A628" s="2">
        <v>45359</v>
      </c>
      <c r="B628" s="3">
        <v>2355.6001000000001</v>
      </c>
      <c r="C628" s="3">
        <v>127071</v>
      </c>
      <c r="D628" s="4">
        <f t="shared" si="28"/>
        <v>-1.8449178320979036E-3</v>
      </c>
      <c r="E628" s="4">
        <f t="shared" si="29"/>
        <v>-9.9370069587618823E-3</v>
      </c>
      <c r="F628" s="3">
        <f t="shared" si="27"/>
        <v>2024</v>
      </c>
    </row>
    <row r="629" spans="1:6" ht="15" customHeight="1" x14ac:dyDescent="0.2">
      <c r="A629" s="2">
        <v>45362</v>
      </c>
      <c r="B629" s="3">
        <v>2348.8200999999999</v>
      </c>
      <c r="C629" s="3">
        <v>126124</v>
      </c>
      <c r="D629" s="4">
        <f t="shared" si="28"/>
        <v>-2.8823975775554697E-3</v>
      </c>
      <c r="E629" s="4">
        <f t="shared" si="29"/>
        <v>-7.4804353634862321E-3</v>
      </c>
      <c r="F629" s="3">
        <f t="shared" si="27"/>
        <v>2024</v>
      </c>
    </row>
    <row r="630" spans="1:6" ht="15" customHeight="1" x14ac:dyDescent="0.2">
      <c r="A630" s="2">
        <v>45363</v>
      </c>
      <c r="B630" s="3">
        <v>2378.79</v>
      </c>
      <c r="C630" s="3">
        <v>127668</v>
      </c>
      <c r="D630" s="4">
        <f t="shared" si="28"/>
        <v>1.2678838078478668E-2</v>
      </c>
      <c r="E630" s="4">
        <f t="shared" si="29"/>
        <v>1.216759432210807E-2</v>
      </c>
      <c r="F630" s="3">
        <f t="shared" si="27"/>
        <v>2024</v>
      </c>
    </row>
    <row r="631" spans="1:6" ht="15" customHeight="1" x14ac:dyDescent="0.2">
      <c r="A631" s="2">
        <v>45364</v>
      </c>
      <c r="B631" s="3">
        <v>2387.27</v>
      </c>
      <c r="C631" s="3">
        <v>128006</v>
      </c>
      <c r="D631" s="4">
        <f t="shared" si="28"/>
        <v>3.5584986124623029E-3</v>
      </c>
      <c r="E631" s="4">
        <f t="shared" si="29"/>
        <v>2.6439934987892919E-3</v>
      </c>
      <c r="F631" s="3">
        <f t="shared" si="27"/>
        <v>2024</v>
      </c>
    </row>
    <row r="632" spans="1:6" ht="15" customHeight="1" x14ac:dyDescent="0.2">
      <c r="A632" s="2">
        <v>45365</v>
      </c>
      <c r="B632" s="3">
        <v>2387</v>
      </c>
      <c r="C632" s="3">
        <v>127690</v>
      </c>
      <c r="D632" s="4">
        <f t="shared" si="28"/>
        <v>-1.1310629699944531E-4</v>
      </c>
      <c r="E632" s="4">
        <f t="shared" si="29"/>
        <v>-2.4716863844289208E-3</v>
      </c>
      <c r="F632" s="3">
        <f t="shared" si="27"/>
        <v>2024</v>
      </c>
    </row>
    <row r="633" spans="1:6" ht="15" customHeight="1" x14ac:dyDescent="0.2">
      <c r="A633" s="2">
        <v>45366</v>
      </c>
      <c r="B633" s="3">
        <v>2363.5601000000001</v>
      </c>
      <c r="C633" s="3">
        <v>126742</v>
      </c>
      <c r="D633" s="4">
        <f t="shared" si="28"/>
        <v>-9.8683480387355485E-3</v>
      </c>
      <c r="E633" s="4">
        <f t="shared" si="29"/>
        <v>-7.4519273280278589E-3</v>
      </c>
      <c r="F633" s="3">
        <f t="shared" si="27"/>
        <v>2024</v>
      </c>
    </row>
    <row r="634" spans="1:6" ht="15" customHeight="1" x14ac:dyDescent="0.2">
      <c r="A634" s="2">
        <v>45369</v>
      </c>
      <c r="B634" s="3">
        <v>2363.1698999999999</v>
      </c>
      <c r="C634" s="3">
        <v>126954</v>
      </c>
      <c r="D634" s="4">
        <f t="shared" si="28"/>
        <v>-1.6510357091970072E-4</v>
      </c>
      <c r="E634" s="4">
        <f t="shared" si="29"/>
        <v>1.6712920136448418E-3</v>
      </c>
      <c r="F634" s="3">
        <f t="shared" si="27"/>
        <v>2024</v>
      </c>
    </row>
    <row r="635" spans="1:6" ht="15" customHeight="1" x14ac:dyDescent="0.2">
      <c r="A635" s="2">
        <v>45370</v>
      </c>
      <c r="B635" s="3">
        <v>2373.98</v>
      </c>
      <c r="C635" s="3">
        <v>127529</v>
      </c>
      <c r="D635" s="4">
        <f t="shared" si="28"/>
        <v>4.563975805119946E-3</v>
      </c>
      <c r="E635" s="4">
        <f t="shared" si="29"/>
        <v>4.5189735936134899E-3</v>
      </c>
      <c r="F635" s="3">
        <f t="shared" si="27"/>
        <v>2024</v>
      </c>
    </row>
    <row r="636" spans="1:6" ht="15" customHeight="1" x14ac:dyDescent="0.2">
      <c r="A636" s="2">
        <v>45371</v>
      </c>
      <c r="B636" s="3">
        <v>2408.2600000000002</v>
      </c>
      <c r="C636" s="3">
        <v>129125</v>
      </c>
      <c r="D636" s="4">
        <f t="shared" si="28"/>
        <v>1.4336623487633678E-2</v>
      </c>
      <c r="E636" s="4">
        <f t="shared" si="29"/>
        <v>1.2437137723982226E-2</v>
      </c>
      <c r="F636" s="3">
        <f t="shared" si="27"/>
        <v>2024</v>
      </c>
    </row>
    <row r="637" spans="1:6" ht="15" customHeight="1" x14ac:dyDescent="0.2">
      <c r="A637" s="2">
        <v>45372</v>
      </c>
      <c r="B637" s="3">
        <v>2391.6999999999998</v>
      </c>
      <c r="C637" s="3">
        <v>128159</v>
      </c>
      <c r="D637" s="4">
        <f t="shared" si="28"/>
        <v>-6.9000848771092679E-3</v>
      </c>
      <c r="E637" s="4">
        <f t="shared" si="29"/>
        <v>-7.5092468967619353E-3</v>
      </c>
      <c r="F637" s="3">
        <f t="shared" si="27"/>
        <v>2024</v>
      </c>
    </row>
    <row r="638" spans="1:6" ht="15" customHeight="1" x14ac:dyDescent="0.2">
      <c r="A638" s="2">
        <v>45373</v>
      </c>
      <c r="B638" s="3">
        <v>2366.6001000000001</v>
      </c>
      <c r="C638" s="3">
        <v>127027</v>
      </c>
      <c r="D638" s="4">
        <f t="shared" si="28"/>
        <v>-1.0550041939650014E-2</v>
      </c>
      <c r="E638" s="4">
        <f t="shared" si="29"/>
        <v>-8.8720182550952546E-3</v>
      </c>
      <c r="F638" s="3">
        <f t="shared" si="27"/>
        <v>2024</v>
      </c>
    </row>
    <row r="639" spans="1:6" ht="15" customHeight="1" x14ac:dyDescent="0.2">
      <c r="A639" s="2">
        <v>45376</v>
      </c>
      <c r="B639" s="3">
        <v>2359.96</v>
      </c>
      <c r="C639" s="3">
        <v>126931</v>
      </c>
      <c r="D639" s="4">
        <f t="shared" si="28"/>
        <v>-2.8096984816941405E-3</v>
      </c>
      <c r="E639" s="4">
        <f t="shared" si="29"/>
        <v>-7.5603056074359531E-4</v>
      </c>
      <c r="F639" s="3">
        <f t="shared" si="27"/>
        <v>2024</v>
      </c>
    </row>
    <row r="640" spans="1:6" ht="15" customHeight="1" x14ac:dyDescent="0.2">
      <c r="A640" s="2">
        <v>45377</v>
      </c>
      <c r="B640" s="3">
        <v>2360.5300000000002</v>
      </c>
      <c r="C640" s="3">
        <v>126863</v>
      </c>
      <c r="D640" s="4">
        <f t="shared" si="28"/>
        <v>2.4150035389151379E-4</v>
      </c>
      <c r="E640" s="4">
        <f t="shared" si="29"/>
        <v>-5.3586768502963858E-4</v>
      </c>
      <c r="F640" s="3">
        <f t="shared" si="27"/>
        <v>2024</v>
      </c>
    </row>
    <row r="641" spans="1:6" ht="15" customHeight="1" x14ac:dyDescent="0.2">
      <c r="A641" s="2">
        <v>45378</v>
      </c>
      <c r="B641" s="3">
        <v>2374.8301000000001</v>
      </c>
      <c r="C641" s="3">
        <v>127691</v>
      </c>
      <c r="D641" s="4">
        <f t="shared" si="28"/>
        <v>6.0397279903880493E-3</v>
      </c>
      <c r="E641" s="4">
        <f t="shared" si="29"/>
        <v>6.5055188305854919E-3</v>
      </c>
      <c r="F641" s="3">
        <f t="shared" si="27"/>
        <v>2024</v>
      </c>
    </row>
    <row r="642" spans="1:6" ht="15" customHeight="1" x14ac:dyDescent="0.2">
      <c r="A642" s="2">
        <v>45379</v>
      </c>
      <c r="B642" s="3">
        <v>2378.6898999999999</v>
      </c>
      <c r="C642" s="3">
        <v>128106</v>
      </c>
      <c r="D642" s="4">
        <f t="shared" si="28"/>
        <v>1.6239758529621958E-3</v>
      </c>
      <c r="E642" s="4">
        <f t="shared" si="29"/>
        <v>3.2447633405409191E-3</v>
      </c>
      <c r="F642" s="3">
        <f t="shared" ref="F642:F705" si="30">YEAR(A642)</f>
        <v>2024</v>
      </c>
    </row>
    <row r="643" spans="1:6" ht="15" customHeight="1" x14ac:dyDescent="0.2">
      <c r="A643" s="2">
        <v>45383</v>
      </c>
      <c r="B643" s="3">
        <v>2347.3899000000001</v>
      </c>
      <c r="C643" s="3">
        <v>126990</v>
      </c>
      <c r="D643" s="4">
        <f t="shared" ref="D643:D706" si="31">LN(B643/B642)</f>
        <v>-1.3245843896649435E-2</v>
      </c>
      <c r="E643" s="4">
        <f t="shared" ref="E643:E706" si="32">LN(C643/C642)</f>
        <v>-8.7497030123566862E-3</v>
      </c>
      <c r="F643" s="3">
        <f t="shared" si="30"/>
        <v>2024</v>
      </c>
    </row>
    <row r="644" spans="1:6" ht="15" customHeight="1" x14ac:dyDescent="0.2">
      <c r="A644" s="2">
        <v>45384</v>
      </c>
      <c r="B644" s="3">
        <v>2350.4899999999998</v>
      </c>
      <c r="C644" s="3">
        <v>127549</v>
      </c>
      <c r="D644" s="4">
        <f t="shared" si="31"/>
        <v>1.3197870171133318E-3</v>
      </c>
      <c r="E644" s="4">
        <f t="shared" si="32"/>
        <v>4.3922612934245171E-3</v>
      </c>
      <c r="F644" s="3">
        <f t="shared" si="30"/>
        <v>2024</v>
      </c>
    </row>
    <row r="645" spans="1:6" ht="15" customHeight="1" x14ac:dyDescent="0.2">
      <c r="A645" s="2">
        <v>45385</v>
      </c>
      <c r="B645" s="3">
        <v>2347.48</v>
      </c>
      <c r="C645" s="3">
        <v>127318</v>
      </c>
      <c r="D645" s="4">
        <f t="shared" si="31"/>
        <v>-1.2814046968659045E-3</v>
      </c>
      <c r="E645" s="4">
        <f t="shared" si="32"/>
        <v>-1.8127106550001452E-3</v>
      </c>
      <c r="F645" s="3">
        <f t="shared" si="30"/>
        <v>2024</v>
      </c>
    </row>
    <row r="646" spans="1:6" ht="15" customHeight="1" x14ac:dyDescent="0.2">
      <c r="A646" s="2">
        <v>45386</v>
      </c>
      <c r="B646" s="3">
        <v>2355.8000000000002</v>
      </c>
      <c r="C646" s="3">
        <v>127428</v>
      </c>
      <c r="D646" s="4">
        <f t="shared" si="31"/>
        <v>3.5379601803694751E-3</v>
      </c>
      <c r="E646" s="4">
        <f t="shared" si="32"/>
        <v>8.6360537034243471E-4</v>
      </c>
      <c r="F646" s="3">
        <f t="shared" si="30"/>
        <v>2024</v>
      </c>
    </row>
    <row r="647" spans="1:6" ht="15" customHeight="1" x14ac:dyDescent="0.2">
      <c r="A647" s="2">
        <v>45387</v>
      </c>
      <c r="B647" s="3">
        <v>2342.3600999999999</v>
      </c>
      <c r="C647" s="3">
        <v>126795</v>
      </c>
      <c r="D647" s="4">
        <f t="shared" si="31"/>
        <v>-5.7213617142442665E-3</v>
      </c>
      <c r="E647" s="4">
        <f t="shared" si="32"/>
        <v>-4.9798901607081844E-3</v>
      </c>
      <c r="F647" s="3">
        <f t="shared" si="30"/>
        <v>2024</v>
      </c>
    </row>
    <row r="648" spans="1:6" ht="15" customHeight="1" x14ac:dyDescent="0.2">
      <c r="A648" s="2">
        <v>45390</v>
      </c>
      <c r="B648" s="3">
        <v>2371.8200999999999</v>
      </c>
      <c r="C648" s="3">
        <v>128857</v>
      </c>
      <c r="D648" s="4">
        <f t="shared" si="31"/>
        <v>1.2498624260616983E-2</v>
      </c>
      <c r="E648" s="4">
        <f t="shared" si="32"/>
        <v>1.6131653310244971E-2</v>
      </c>
      <c r="F648" s="3">
        <f t="shared" si="30"/>
        <v>2024</v>
      </c>
    </row>
    <row r="649" spans="1:6" ht="15" customHeight="1" x14ac:dyDescent="0.2">
      <c r="A649" s="2">
        <v>45391</v>
      </c>
      <c r="B649" s="3">
        <v>2397.54</v>
      </c>
      <c r="C649" s="3">
        <v>129890</v>
      </c>
      <c r="D649" s="4">
        <f t="shared" si="31"/>
        <v>1.0785576593240399E-2</v>
      </c>
      <c r="E649" s="4">
        <f t="shared" si="32"/>
        <v>7.9846760599469359E-3</v>
      </c>
      <c r="F649" s="3">
        <f t="shared" si="30"/>
        <v>2024</v>
      </c>
    </row>
    <row r="650" spans="1:6" ht="15" customHeight="1" x14ac:dyDescent="0.2">
      <c r="A650" s="2">
        <v>45392</v>
      </c>
      <c r="B650" s="3">
        <v>2352.46</v>
      </c>
      <c r="C650" s="3">
        <v>128054</v>
      </c>
      <c r="D650" s="4">
        <f t="shared" si="31"/>
        <v>-1.8981622537416153E-2</v>
      </c>
      <c r="E650" s="4">
        <f t="shared" si="32"/>
        <v>-1.4235888463812969E-2</v>
      </c>
      <c r="F650" s="3">
        <f t="shared" si="30"/>
        <v>2024</v>
      </c>
    </row>
    <row r="651" spans="1:6" ht="15" customHeight="1" x14ac:dyDescent="0.2">
      <c r="A651" s="2">
        <v>45393</v>
      </c>
      <c r="B651" s="3">
        <v>2338.6001000000001</v>
      </c>
      <c r="C651" s="3">
        <v>127396</v>
      </c>
      <c r="D651" s="4">
        <f t="shared" si="31"/>
        <v>-5.909086660037882E-3</v>
      </c>
      <c r="E651" s="4">
        <f t="shared" si="32"/>
        <v>-5.1517044844726374E-3</v>
      </c>
      <c r="F651" s="3">
        <f t="shared" si="30"/>
        <v>2024</v>
      </c>
    </row>
    <row r="652" spans="1:6" ht="15" customHeight="1" x14ac:dyDescent="0.2">
      <c r="A652" s="2">
        <v>45394</v>
      </c>
      <c r="B652" s="3">
        <v>2302.6001000000001</v>
      </c>
      <c r="C652" s="3">
        <v>125946</v>
      </c>
      <c r="D652" s="4">
        <f t="shared" si="31"/>
        <v>-1.5513539798113008E-2</v>
      </c>
      <c r="E652" s="4">
        <f t="shared" si="32"/>
        <v>-1.1447101810982662E-2</v>
      </c>
      <c r="F652" s="3">
        <f t="shared" si="30"/>
        <v>2024</v>
      </c>
    </row>
    <row r="653" spans="1:6" ht="15" customHeight="1" x14ac:dyDescent="0.2">
      <c r="A653" s="2">
        <v>45397</v>
      </c>
      <c r="B653" s="3">
        <v>2285.3101000000001</v>
      </c>
      <c r="C653" s="3">
        <v>125334</v>
      </c>
      <c r="D653" s="4">
        <f t="shared" si="31"/>
        <v>-7.5372363886139762E-3</v>
      </c>
      <c r="E653" s="4">
        <f t="shared" si="32"/>
        <v>-4.8710698033499495E-3</v>
      </c>
      <c r="F653" s="3">
        <f t="shared" si="30"/>
        <v>2024</v>
      </c>
    </row>
    <row r="654" spans="1:6" ht="15" customHeight="1" x14ac:dyDescent="0.2">
      <c r="A654" s="2">
        <v>45398</v>
      </c>
      <c r="B654" s="3">
        <v>2266.21</v>
      </c>
      <c r="C654" s="3">
        <v>124389</v>
      </c>
      <c r="D654" s="4">
        <f t="shared" si="31"/>
        <v>-8.3928936701883547E-3</v>
      </c>
      <c r="E654" s="4">
        <f t="shared" si="32"/>
        <v>-7.5684218984653816E-3</v>
      </c>
      <c r="F654" s="3">
        <f t="shared" si="30"/>
        <v>2024</v>
      </c>
    </row>
    <row r="655" spans="1:6" ht="15" customHeight="1" x14ac:dyDescent="0.2">
      <c r="A655" s="2">
        <v>45399</v>
      </c>
      <c r="B655" s="3">
        <v>2255.4899999999998</v>
      </c>
      <c r="C655" s="3">
        <v>124171</v>
      </c>
      <c r="D655" s="4">
        <f t="shared" si="31"/>
        <v>-4.7415883780448165E-3</v>
      </c>
      <c r="E655" s="4">
        <f t="shared" si="32"/>
        <v>-1.754104086712878E-3</v>
      </c>
      <c r="F655" s="3">
        <f t="shared" si="30"/>
        <v>2024</v>
      </c>
    </row>
    <row r="656" spans="1:6" ht="15" customHeight="1" x14ac:dyDescent="0.2">
      <c r="A656" s="2">
        <v>45400</v>
      </c>
      <c r="B656" s="3">
        <v>2253.02</v>
      </c>
      <c r="C656" s="3">
        <v>124196</v>
      </c>
      <c r="D656" s="4">
        <f t="shared" si="31"/>
        <v>-1.0957057862208588E-3</v>
      </c>
      <c r="E656" s="4">
        <f t="shared" si="32"/>
        <v>2.0131499019147966E-4</v>
      </c>
      <c r="F656" s="3">
        <f t="shared" si="30"/>
        <v>2024</v>
      </c>
    </row>
    <row r="657" spans="1:6" ht="15" customHeight="1" x14ac:dyDescent="0.2">
      <c r="A657" s="2">
        <v>45401</v>
      </c>
      <c r="B657" s="3">
        <v>2262.6799000000001</v>
      </c>
      <c r="C657" s="3">
        <v>125124</v>
      </c>
      <c r="D657" s="4">
        <f t="shared" si="31"/>
        <v>4.2783687795182376E-3</v>
      </c>
      <c r="E657" s="4">
        <f t="shared" si="32"/>
        <v>7.444282733868799E-3</v>
      </c>
      <c r="F657" s="3">
        <f t="shared" si="30"/>
        <v>2024</v>
      </c>
    </row>
    <row r="658" spans="1:6" ht="15" customHeight="1" x14ac:dyDescent="0.2">
      <c r="A658" s="2">
        <v>45404</v>
      </c>
      <c r="B658" s="3">
        <v>2268.21</v>
      </c>
      <c r="C658" s="3">
        <v>125573</v>
      </c>
      <c r="D658" s="4">
        <f t="shared" si="31"/>
        <v>2.4410669286255519E-3</v>
      </c>
      <c r="E658" s="4">
        <f t="shared" si="32"/>
        <v>3.5820171768103665E-3</v>
      </c>
      <c r="F658" s="3">
        <f t="shared" si="30"/>
        <v>2024</v>
      </c>
    </row>
    <row r="659" spans="1:6" ht="15" customHeight="1" x14ac:dyDescent="0.2">
      <c r="A659" s="2">
        <v>45405</v>
      </c>
      <c r="B659" s="3">
        <v>2259.46</v>
      </c>
      <c r="C659" s="3">
        <v>125148</v>
      </c>
      <c r="D659" s="4">
        <f t="shared" si="31"/>
        <v>-3.8651274908161255E-3</v>
      </c>
      <c r="E659" s="4">
        <f t="shared" si="32"/>
        <v>-3.3902258451907535E-3</v>
      </c>
      <c r="F659" s="3">
        <f t="shared" si="30"/>
        <v>2024</v>
      </c>
    </row>
    <row r="660" spans="1:6" ht="15" customHeight="1" x14ac:dyDescent="0.2">
      <c r="A660" s="2">
        <v>45406</v>
      </c>
      <c r="B660" s="3">
        <v>2247.5900999999999</v>
      </c>
      <c r="C660" s="3">
        <v>124741</v>
      </c>
      <c r="D660" s="4">
        <f t="shared" si="31"/>
        <v>-5.2672711329922245E-3</v>
      </c>
      <c r="E660" s="4">
        <f t="shared" si="32"/>
        <v>-3.2574491865496255E-3</v>
      </c>
      <c r="F660" s="3">
        <f t="shared" si="30"/>
        <v>2024</v>
      </c>
    </row>
    <row r="661" spans="1:6" ht="15" customHeight="1" x14ac:dyDescent="0.2">
      <c r="A661" s="2">
        <v>45407</v>
      </c>
      <c r="B661" s="3">
        <v>2247.1298999999999</v>
      </c>
      <c r="C661" s="3">
        <v>124646</v>
      </c>
      <c r="D661" s="4">
        <f t="shared" si="31"/>
        <v>-2.0477360174072609E-4</v>
      </c>
      <c r="E661" s="4">
        <f t="shared" si="32"/>
        <v>-7.6186813743436247E-4</v>
      </c>
      <c r="F661" s="3">
        <f t="shared" si="30"/>
        <v>2024</v>
      </c>
    </row>
    <row r="662" spans="1:6" ht="15" customHeight="1" x14ac:dyDescent="0.2">
      <c r="A662" s="2">
        <v>45408</v>
      </c>
      <c r="B662" s="3">
        <v>2286.8899000000001</v>
      </c>
      <c r="C662" s="3">
        <v>126526</v>
      </c>
      <c r="D662" s="4">
        <f t="shared" si="31"/>
        <v>1.7538970265366518E-2</v>
      </c>
      <c r="E662" s="4">
        <f t="shared" si="32"/>
        <v>1.4970101042184859E-2</v>
      </c>
      <c r="F662" s="3">
        <f t="shared" si="30"/>
        <v>2024</v>
      </c>
    </row>
    <row r="663" spans="1:6" ht="15" customHeight="1" x14ac:dyDescent="0.2">
      <c r="A663" s="2">
        <v>45411</v>
      </c>
      <c r="B663" s="3">
        <v>2296.1001000000001</v>
      </c>
      <c r="C663" s="3">
        <v>127352</v>
      </c>
      <c r="D663" s="4">
        <f t="shared" si="31"/>
        <v>4.0193028564632612E-3</v>
      </c>
      <c r="E663" s="4">
        <f t="shared" si="32"/>
        <v>6.5070854075578877E-3</v>
      </c>
      <c r="F663" s="3">
        <f t="shared" si="30"/>
        <v>2024</v>
      </c>
    </row>
    <row r="664" spans="1:6" ht="15" customHeight="1" x14ac:dyDescent="0.2">
      <c r="A664" s="2">
        <v>45412</v>
      </c>
      <c r="B664" s="3">
        <v>2268.1001000000001</v>
      </c>
      <c r="C664" s="3">
        <v>125924</v>
      </c>
      <c r="D664" s="4">
        <f t="shared" si="31"/>
        <v>-1.2269554373930638E-2</v>
      </c>
      <c r="E664" s="4">
        <f t="shared" si="32"/>
        <v>-1.1276355687514365E-2</v>
      </c>
      <c r="F664" s="3">
        <f t="shared" si="30"/>
        <v>2024</v>
      </c>
    </row>
    <row r="665" spans="1:6" ht="15" customHeight="1" x14ac:dyDescent="0.2">
      <c r="A665" s="2">
        <v>45414</v>
      </c>
      <c r="B665" s="3">
        <v>2294.77</v>
      </c>
      <c r="C665" s="3">
        <v>127122</v>
      </c>
      <c r="D665" s="4">
        <f t="shared" si="31"/>
        <v>1.1690099931420062E-2</v>
      </c>
      <c r="E665" s="4">
        <f t="shared" si="32"/>
        <v>9.4687049048881554E-3</v>
      </c>
      <c r="F665" s="3">
        <f t="shared" si="30"/>
        <v>2024</v>
      </c>
    </row>
    <row r="666" spans="1:6" ht="15" customHeight="1" x14ac:dyDescent="0.2">
      <c r="A666" s="2">
        <v>45415</v>
      </c>
      <c r="B666" s="3">
        <v>2333.7199999999998</v>
      </c>
      <c r="C666" s="3">
        <v>128509</v>
      </c>
      <c r="D666" s="4">
        <f t="shared" si="31"/>
        <v>1.6830940318383423E-2</v>
      </c>
      <c r="E666" s="4">
        <f t="shared" si="32"/>
        <v>1.0851685522961802E-2</v>
      </c>
      <c r="F666" s="3">
        <f t="shared" si="30"/>
        <v>2024</v>
      </c>
    </row>
    <row r="667" spans="1:6" ht="15" customHeight="1" x14ac:dyDescent="0.2">
      <c r="A667" s="2">
        <v>45418</v>
      </c>
      <c r="B667" s="3">
        <v>2326.4398999999999</v>
      </c>
      <c r="C667" s="3">
        <v>128466</v>
      </c>
      <c r="D667" s="4">
        <f t="shared" si="31"/>
        <v>-3.1244017709741935E-3</v>
      </c>
      <c r="E667" s="4">
        <f t="shared" si="32"/>
        <v>-3.346629080753262E-4</v>
      </c>
      <c r="F667" s="3">
        <f t="shared" si="30"/>
        <v>2024</v>
      </c>
    </row>
    <row r="668" spans="1:6" ht="15" customHeight="1" x14ac:dyDescent="0.2">
      <c r="A668" s="2">
        <v>45419</v>
      </c>
      <c r="B668" s="3">
        <v>2337.2800000000002</v>
      </c>
      <c r="C668" s="3">
        <v>129210</v>
      </c>
      <c r="D668" s="4">
        <f t="shared" si="31"/>
        <v>4.648700931454434E-3</v>
      </c>
      <c r="E668" s="4">
        <f t="shared" si="32"/>
        <v>5.7747098490338938E-3</v>
      </c>
      <c r="F668" s="3">
        <f t="shared" si="30"/>
        <v>2024</v>
      </c>
    </row>
    <row r="669" spans="1:6" ht="15" customHeight="1" x14ac:dyDescent="0.2">
      <c r="A669" s="2">
        <v>45420</v>
      </c>
      <c r="B669" s="3">
        <v>2345.8899000000001</v>
      </c>
      <c r="C669" s="3">
        <v>129481</v>
      </c>
      <c r="D669" s="4">
        <f t="shared" si="31"/>
        <v>3.676958079398386E-3</v>
      </c>
      <c r="E669" s="4">
        <f t="shared" si="32"/>
        <v>2.0951644945853189E-3</v>
      </c>
      <c r="F669" s="3">
        <f t="shared" si="30"/>
        <v>2024</v>
      </c>
    </row>
    <row r="670" spans="1:6" ht="15" customHeight="1" x14ac:dyDescent="0.2">
      <c r="A670" s="2">
        <v>45421</v>
      </c>
      <c r="B670" s="3">
        <v>2306.6599000000001</v>
      </c>
      <c r="C670" s="3">
        <v>128188</v>
      </c>
      <c r="D670" s="4">
        <f t="shared" si="31"/>
        <v>-1.6864270752546706E-2</v>
      </c>
      <c r="E670" s="4">
        <f t="shared" si="32"/>
        <v>-1.0036215867398085E-2</v>
      </c>
      <c r="F670" s="3">
        <f t="shared" si="30"/>
        <v>2024</v>
      </c>
    </row>
    <row r="671" spans="1:6" ht="15" customHeight="1" x14ac:dyDescent="0.2">
      <c r="A671" s="2">
        <v>45422</v>
      </c>
      <c r="B671" s="3">
        <v>2289.8301000000001</v>
      </c>
      <c r="C671" s="3">
        <v>127600</v>
      </c>
      <c r="D671" s="4">
        <f t="shared" si="31"/>
        <v>-7.3229247571168082E-3</v>
      </c>
      <c r="E671" s="4">
        <f t="shared" si="32"/>
        <v>-4.5975654506264924E-3</v>
      </c>
      <c r="F671" s="3">
        <f t="shared" si="30"/>
        <v>2024</v>
      </c>
    </row>
    <row r="672" spans="1:6" ht="15" customHeight="1" x14ac:dyDescent="0.2">
      <c r="A672" s="2">
        <v>45425</v>
      </c>
      <c r="B672" s="3">
        <v>2300.1201000000001</v>
      </c>
      <c r="C672" s="3">
        <v>128155</v>
      </c>
      <c r="D672" s="4">
        <f t="shared" si="31"/>
        <v>4.4837162890904152E-3</v>
      </c>
      <c r="E672" s="4">
        <f t="shared" si="32"/>
        <v>4.3400979154701374E-3</v>
      </c>
      <c r="F672" s="3">
        <f t="shared" si="30"/>
        <v>2024</v>
      </c>
    </row>
    <row r="673" spans="1:6" ht="15" customHeight="1" x14ac:dyDescent="0.2">
      <c r="A673" s="2">
        <v>45426</v>
      </c>
      <c r="B673" s="3">
        <v>2313.8101000000001</v>
      </c>
      <c r="C673" s="3">
        <v>128515</v>
      </c>
      <c r="D673" s="4">
        <f t="shared" si="31"/>
        <v>5.9342207536624645E-3</v>
      </c>
      <c r="E673" s="4">
        <f t="shared" si="32"/>
        <v>2.8051602140311497E-3</v>
      </c>
      <c r="F673" s="3">
        <f t="shared" si="30"/>
        <v>2024</v>
      </c>
    </row>
    <row r="674" spans="1:6" ht="15" customHeight="1" x14ac:dyDescent="0.2">
      <c r="A674" s="2">
        <v>45427</v>
      </c>
      <c r="B674" s="3">
        <v>2321.4198999999999</v>
      </c>
      <c r="C674" s="3">
        <v>128028</v>
      </c>
      <c r="D674" s="4">
        <f t="shared" si="31"/>
        <v>3.2834646120509271E-3</v>
      </c>
      <c r="E674" s="4">
        <f t="shared" si="32"/>
        <v>-3.7966390428662154E-3</v>
      </c>
      <c r="F674" s="3">
        <f t="shared" si="30"/>
        <v>2024</v>
      </c>
    </row>
    <row r="675" spans="1:6" ht="15" customHeight="1" x14ac:dyDescent="0.2">
      <c r="A675" s="2">
        <v>45428</v>
      </c>
      <c r="B675" s="3">
        <v>2328.6399000000001</v>
      </c>
      <c r="C675" s="3">
        <v>128284</v>
      </c>
      <c r="D675" s="4">
        <f t="shared" si="31"/>
        <v>3.1053389042218151E-3</v>
      </c>
      <c r="E675" s="4">
        <f t="shared" si="32"/>
        <v>1.9975661313224118E-3</v>
      </c>
      <c r="F675" s="3">
        <f t="shared" si="30"/>
        <v>2024</v>
      </c>
    </row>
    <row r="676" spans="1:6" ht="15" customHeight="1" x14ac:dyDescent="0.2">
      <c r="A676" s="2">
        <v>45429</v>
      </c>
      <c r="B676" s="3">
        <v>2319.8200999999999</v>
      </c>
      <c r="C676" s="3">
        <v>128151</v>
      </c>
      <c r="D676" s="4">
        <f t="shared" si="31"/>
        <v>-3.7947236649145946E-3</v>
      </c>
      <c r="E676" s="4">
        <f t="shared" si="32"/>
        <v>-1.0372999935700743E-3</v>
      </c>
      <c r="F676" s="3">
        <f t="shared" si="30"/>
        <v>2024</v>
      </c>
    </row>
    <row r="677" spans="1:6" ht="15" customHeight="1" x14ac:dyDescent="0.2">
      <c r="A677" s="2">
        <v>45432</v>
      </c>
      <c r="B677" s="3">
        <v>2312.73</v>
      </c>
      <c r="C677" s="3">
        <v>127751</v>
      </c>
      <c r="D677" s="4">
        <f t="shared" si="31"/>
        <v>-3.0609946500098437E-3</v>
      </c>
      <c r="E677" s="4">
        <f t="shared" si="32"/>
        <v>-3.1261992932503442E-3</v>
      </c>
      <c r="F677" s="3">
        <f t="shared" si="30"/>
        <v>2024</v>
      </c>
    </row>
    <row r="678" spans="1:6" ht="15" customHeight="1" x14ac:dyDescent="0.2">
      <c r="A678" s="2">
        <v>45433</v>
      </c>
      <c r="B678" s="3">
        <v>2311.6498999999999</v>
      </c>
      <c r="C678" s="3">
        <v>127412</v>
      </c>
      <c r="D678" s="4">
        <f t="shared" si="31"/>
        <v>-4.6713290992424965E-4</v>
      </c>
      <c r="E678" s="4">
        <f t="shared" si="32"/>
        <v>-2.6571266167435144E-3</v>
      </c>
      <c r="F678" s="3">
        <f t="shared" si="30"/>
        <v>2024</v>
      </c>
    </row>
    <row r="679" spans="1:6" ht="15" customHeight="1" x14ac:dyDescent="0.2">
      <c r="A679" s="2">
        <v>45434</v>
      </c>
      <c r="B679" s="3">
        <v>2272.2600000000002</v>
      </c>
      <c r="C679" s="3">
        <v>125650</v>
      </c>
      <c r="D679" s="4">
        <f t="shared" si="31"/>
        <v>-1.7186581076961454E-2</v>
      </c>
      <c r="E679" s="4">
        <f t="shared" si="32"/>
        <v>-1.3925666235481851E-2</v>
      </c>
      <c r="F679" s="3">
        <f t="shared" si="30"/>
        <v>2024</v>
      </c>
    </row>
    <row r="680" spans="1:6" ht="15" customHeight="1" x14ac:dyDescent="0.2">
      <c r="A680" s="2">
        <v>45435</v>
      </c>
      <c r="B680" s="3">
        <v>2254.5900999999999</v>
      </c>
      <c r="C680" s="3">
        <v>124729</v>
      </c>
      <c r="D680" s="4">
        <f t="shared" si="31"/>
        <v>-7.8067483353974803E-3</v>
      </c>
      <c r="E680" s="4">
        <f t="shared" si="32"/>
        <v>-7.3568802015278583E-3</v>
      </c>
      <c r="F680" s="3">
        <f t="shared" si="30"/>
        <v>2024</v>
      </c>
    </row>
    <row r="681" spans="1:6" ht="15" customHeight="1" x14ac:dyDescent="0.2">
      <c r="A681" s="2">
        <v>45436</v>
      </c>
      <c r="B681" s="3">
        <v>2241.6298999999999</v>
      </c>
      <c r="C681" s="3">
        <v>124306</v>
      </c>
      <c r="D681" s="4">
        <f t="shared" si="31"/>
        <v>-5.76494739755707E-3</v>
      </c>
      <c r="E681" s="4">
        <f t="shared" si="32"/>
        <v>-3.3971161226249323E-3</v>
      </c>
      <c r="F681" s="3">
        <f t="shared" si="30"/>
        <v>2024</v>
      </c>
    </row>
    <row r="682" spans="1:6" ht="15" customHeight="1" x14ac:dyDescent="0.2">
      <c r="A682" s="2">
        <v>45439</v>
      </c>
      <c r="B682" s="3">
        <v>2241.8101000000001</v>
      </c>
      <c r="C682" s="3">
        <v>124496</v>
      </c>
      <c r="D682" s="4">
        <f t="shared" si="31"/>
        <v>8.0384704645239871E-5</v>
      </c>
      <c r="E682" s="4">
        <f t="shared" si="32"/>
        <v>1.5273192091258909E-3</v>
      </c>
      <c r="F682" s="3">
        <f t="shared" si="30"/>
        <v>2024</v>
      </c>
    </row>
    <row r="683" spans="1:6" ht="15" customHeight="1" x14ac:dyDescent="0.2">
      <c r="A683" s="2">
        <v>45440</v>
      </c>
      <c r="B683" s="3">
        <v>2230.5500000000002</v>
      </c>
      <c r="C683" s="3">
        <v>123780</v>
      </c>
      <c r="D683" s="4">
        <f t="shared" si="31"/>
        <v>-5.0354280694641399E-3</v>
      </c>
      <c r="E683" s="4">
        <f t="shared" si="32"/>
        <v>-5.767790563358857E-3</v>
      </c>
      <c r="F683" s="3">
        <f t="shared" si="30"/>
        <v>2024</v>
      </c>
    </row>
    <row r="684" spans="1:6" ht="15" customHeight="1" x14ac:dyDescent="0.2">
      <c r="A684" s="2">
        <v>45441</v>
      </c>
      <c r="B684" s="3">
        <v>2210.0900999999999</v>
      </c>
      <c r="C684" s="3">
        <v>122707</v>
      </c>
      <c r="D684" s="4">
        <f t="shared" si="31"/>
        <v>-9.2149079040913431E-3</v>
      </c>
      <c r="E684" s="4">
        <f t="shared" si="32"/>
        <v>-8.7063965068713868E-3</v>
      </c>
      <c r="F684" s="3">
        <f t="shared" si="30"/>
        <v>2024</v>
      </c>
    </row>
    <row r="685" spans="1:6" ht="15" customHeight="1" x14ac:dyDescent="0.2">
      <c r="A685" s="2">
        <v>45443</v>
      </c>
      <c r="B685" s="3">
        <v>2191.0900999999999</v>
      </c>
      <c r="C685" s="3">
        <v>122098</v>
      </c>
      <c r="D685" s="4">
        <f t="shared" si="31"/>
        <v>-8.6341013865882197E-3</v>
      </c>
      <c r="E685" s="4">
        <f t="shared" si="32"/>
        <v>-4.9753988382189905E-3</v>
      </c>
      <c r="F685" s="3">
        <f t="shared" si="30"/>
        <v>2024</v>
      </c>
    </row>
    <row r="686" spans="1:6" ht="15" customHeight="1" x14ac:dyDescent="0.2">
      <c r="A686" s="2">
        <v>45446</v>
      </c>
      <c r="B686" s="3">
        <v>2201.8600999999999</v>
      </c>
      <c r="C686" s="3">
        <v>122032</v>
      </c>
      <c r="D686" s="4">
        <f t="shared" si="31"/>
        <v>4.9033205876919351E-3</v>
      </c>
      <c r="E686" s="4">
        <f t="shared" si="32"/>
        <v>-5.4069554424225901E-4</v>
      </c>
      <c r="F686" s="3">
        <f t="shared" si="30"/>
        <v>2024</v>
      </c>
    </row>
    <row r="687" spans="1:6" ht="15" customHeight="1" x14ac:dyDescent="0.2">
      <c r="A687" s="2">
        <v>45447</v>
      </c>
      <c r="B687" s="3">
        <v>2199.3600999999999</v>
      </c>
      <c r="C687" s="3">
        <v>121802</v>
      </c>
      <c r="D687" s="4">
        <f t="shared" si="31"/>
        <v>-1.1360487116169903E-3</v>
      </c>
      <c r="E687" s="4">
        <f t="shared" si="32"/>
        <v>-1.8865299196508466E-3</v>
      </c>
      <c r="F687" s="3">
        <f t="shared" si="30"/>
        <v>2024</v>
      </c>
    </row>
    <row r="688" spans="1:6" ht="15" customHeight="1" x14ac:dyDescent="0.2">
      <c r="A688" s="2">
        <v>45448</v>
      </c>
      <c r="B688" s="3">
        <v>2194.04</v>
      </c>
      <c r="C688" s="3">
        <v>121407</v>
      </c>
      <c r="D688" s="4">
        <f t="shared" si="31"/>
        <v>-2.4218611914635919E-3</v>
      </c>
      <c r="E688" s="4">
        <f t="shared" si="32"/>
        <v>-3.2482379131143885E-3</v>
      </c>
      <c r="F688" s="3">
        <f t="shared" si="30"/>
        <v>2024</v>
      </c>
    </row>
    <row r="689" spans="1:6" ht="15" customHeight="1" x14ac:dyDescent="0.2">
      <c r="A689" s="2">
        <v>45449</v>
      </c>
      <c r="B689" s="3">
        <v>2224.52</v>
      </c>
      <c r="C689" s="3">
        <v>122899</v>
      </c>
      <c r="D689" s="4">
        <f t="shared" si="31"/>
        <v>1.3796568780577353E-2</v>
      </c>
      <c r="E689" s="4">
        <f t="shared" si="32"/>
        <v>1.2214342253267339E-2</v>
      </c>
      <c r="F689" s="3">
        <f t="shared" si="30"/>
        <v>2024</v>
      </c>
    </row>
    <row r="690" spans="1:6" ht="15" customHeight="1" x14ac:dyDescent="0.2">
      <c r="A690" s="2">
        <v>45450</v>
      </c>
      <c r="B690" s="3">
        <v>2187.7199999999998</v>
      </c>
      <c r="C690" s="3">
        <v>120767</v>
      </c>
      <c r="D690" s="4">
        <f t="shared" si="31"/>
        <v>-1.6681256386751785E-2</v>
      </c>
      <c r="E690" s="4">
        <f t="shared" si="32"/>
        <v>-1.7499810469744748E-2</v>
      </c>
      <c r="F690" s="3">
        <f t="shared" si="30"/>
        <v>2024</v>
      </c>
    </row>
    <row r="691" spans="1:6" ht="15" customHeight="1" x14ac:dyDescent="0.2">
      <c r="A691" s="2">
        <v>45453</v>
      </c>
      <c r="B691" s="3">
        <v>2176.3400999999999</v>
      </c>
      <c r="C691" s="3">
        <v>120760</v>
      </c>
      <c r="D691" s="4">
        <f t="shared" si="31"/>
        <v>-5.2152928845986104E-3</v>
      </c>
      <c r="E691" s="4">
        <f t="shared" si="32"/>
        <v>-5.796453400212958E-5</v>
      </c>
      <c r="F691" s="3">
        <f t="shared" si="30"/>
        <v>2024</v>
      </c>
    </row>
    <row r="692" spans="1:6" ht="15" customHeight="1" x14ac:dyDescent="0.2">
      <c r="A692" s="2">
        <v>45454</v>
      </c>
      <c r="B692" s="3">
        <v>2196.4499999999998</v>
      </c>
      <c r="C692" s="3">
        <v>121635</v>
      </c>
      <c r="D692" s="4">
        <f t="shared" si="31"/>
        <v>9.1978079506007306E-3</v>
      </c>
      <c r="E692" s="4">
        <f t="shared" si="32"/>
        <v>7.2196522259922917E-3</v>
      </c>
      <c r="F692" s="3">
        <f t="shared" si="30"/>
        <v>2024</v>
      </c>
    </row>
    <row r="693" spans="1:6" ht="15" customHeight="1" x14ac:dyDescent="0.2">
      <c r="A693" s="2">
        <v>45455</v>
      </c>
      <c r="B693" s="3">
        <v>2166.5801000000001</v>
      </c>
      <c r="C693" s="3">
        <v>119936</v>
      </c>
      <c r="D693" s="4">
        <f t="shared" si="31"/>
        <v>-1.3692487098087017E-2</v>
      </c>
      <c r="E693" s="4">
        <f t="shared" si="32"/>
        <v>-1.4066489888727994E-2</v>
      </c>
      <c r="F693" s="3">
        <f t="shared" si="30"/>
        <v>2024</v>
      </c>
    </row>
    <row r="694" spans="1:6" ht="15" customHeight="1" x14ac:dyDescent="0.2">
      <c r="A694" s="2">
        <v>45456</v>
      </c>
      <c r="B694" s="3">
        <v>2155.3701000000001</v>
      </c>
      <c r="C694" s="3">
        <v>119568</v>
      </c>
      <c r="D694" s="4">
        <f t="shared" si="31"/>
        <v>-5.1874846398788973E-3</v>
      </c>
      <c r="E694" s="4">
        <f t="shared" si="32"/>
        <v>-3.0730199879679715E-3</v>
      </c>
      <c r="F694" s="3">
        <f t="shared" si="30"/>
        <v>2024</v>
      </c>
    </row>
    <row r="695" spans="1:6" ht="15" customHeight="1" x14ac:dyDescent="0.2">
      <c r="A695" s="2">
        <v>45457</v>
      </c>
      <c r="B695" s="3">
        <v>2162.4198999999999</v>
      </c>
      <c r="C695" s="3">
        <v>119662</v>
      </c>
      <c r="D695" s="4">
        <f t="shared" si="31"/>
        <v>3.2654697261819171E-3</v>
      </c>
      <c r="E695" s="4">
        <f t="shared" si="32"/>
        <v>7.8585465733903802E-4</v>
      </c>
      <c r="F695" s="3">
        <f t="shared" si="30"/>
        <v>2024</v>
      </c>
    </row>
    <row r="696" spans="1:6" ht="15" customHeight="1" x14ac:dyDescent="0.2">
      <c r="A696" s="2">
        <v>45460</v>
      </c>
      <c r="B696" s="3">
        <v>2150.1898999999999</v>
      </c>
      <c r="C696" s="3">
        <v>119138</v>
      </c>
      <c r="D696" s="4">
        <f t="shared" si="31"/>
        <v>-5.67175485496245E-3</v>
      </c>
      <c r="E696" s="4">
        <f t="shared" si="32"/>
        <v>-4.3886167589435284E-3</v>
      </c>
      <c r="F696" s="3">
        <f t="shared" si="30"/>
        <v>2024</v>
      </c>
    </row>
    <row r="697" spans="1:6" ht="15" customHeight="1" x14ac:dyDescent="0.2">
      <c r="A697" s="2">
        <v>45461</v>
      </c>
      <c r="B697" s="3">
        <v>2155.7399999999998</v>
      </c>
      <c r="C697" s="3">
        <v>119630</v>
      </c>
      <c r="D697" s="4">
        <f t="shared" si="31"/>
        <v>2.5778882622322476E-3</v>
      </c>
      <c r="E697" s="4">
        <f t="shared" si="32"/>
        <v>4.1211610964830298E-3</v>
      </c>
      <c r="F697" s="3">
        <f t="shared" si="30"/>
        <v>2024</v>
      </c>
    </row>
    <row r="698" spans="1:6" ht="15" customHeight="1" x14ac:dyDescent="0.2">
      <c r="A698" s="2">
        <v>45462</v>
      </c>
      <c r="B698" s="3">
        <v>2171.6001000000001</v>
      </c>
      <c r="C698" s="3">
        <v>120261</v>
      </c>
      <c r="D698" s="4">
        <f t="shared" si="31"/>
        <v>7.3302170154297634E-3</v>
      </c>
      <c r="E698" s="4">
        <f t="shared" si="32"/>
        <v>5.2607347108513842E-3</v>
      </c>
      <c r="F698" s="3">
        <f t="shared" si="30"/>
        <v>2024</v>
      </c>
    </row>
    <row r="699" spans="1:6" ht="15" customHeight="1" x14ac:dyDescent="0.2">
      <c r="A699" s="2">
        <v>45463</v>
      </c>
      <c r="B699" s="3">
        <v>2169.9198999999999</v>
      </c>
      <c r="C699" s="3">
        <v>120446</v>
      </c>
      <c r="D699" s="4">
        <f t="shared" si="31"/>
        <v>-7.7401466946325887E-4</v>
      </c>
      <c r="E699" s="4">
        <f t="shared" si="32"/>
        <v>1.5371388154596386E-3</v>
      </c>
      <c r="F699" s="3">
        <f t="shared" si="30"/>
        <v>2024</v>
      </c>
    </row>
    <row r="700" spans="1:6" ht="15" customHeight="1" x14ac:dyDescent="0.2">
      <c r="A700" s="2">
        <v>45464</v>
      </c>
      <c r="B700" s="3">
        <v>2194.0100000000002</v>
      </c>
      <c r="C700" s="3">
        <v>121341</v>
      </c>
      <c r="D700" s="4">
        <f t="shared" si="31"/>
        <v>1.1040665299101941E-2</v>
      </c>
      <c r="E700" s="4">
        <f t="shared" si="32"/>
        <v>7.4032440764913061E-3</v>
      </c>
      <c r="F700" s="3">
        <f t="shared" si="30"/>
        <v>2024</v>
      </c>
    </row>
    <row r="701" spans="1:6" ht="15" customHeight="1" x14ac:dyDescent="0.2">
      <c r="A701" s="2">
        <v>45467</v>
      </c>
      <c r="B701" s="3">
        <v>2220.3000000000002</v>
      </c>
      <c r="C701" s="3">
        <v>122637</v>
      </c>
      <c r="D701" s="4">
        <f t="shared" si="31"/>
        <v>1.1911402161600632E-2</v>
      </c>
      <c r="E701" s="4">
        <f t="shared" si="32"/>
        <v>1.0624008639217501E-2</v>
      </c>
      <c r="F701" s="3">
        <f t="shared" si="30"/>
        <v>2024</v>
      </c>
    </row>
    <row r="702" spans="1:6" ht="15" customHeight="1" x14ac:dyDescent="0.2">
      <c r="A702" s="2">
        <v>45468</v>
      </c>
      <c r="B702" s="3">
        <v>2216.1298999999999</v>
      </c>
      <c r="C702" s="3">
        <v>122331</v>
      </c>
      <c r="D702" s="4">
        <f t="shared" si="31"/>
        <v>-1.8799355888163775E-3</v>
      </c>
      <c r="E702" s="4">
        <f t="shared" si="32"/>
        <v>-2.4982867897572394E-3</v>
      </c>
      <c r="F702" s="3">
        <f t="shared" si="30"/>
        <v>2024</v>
      </c>
    </row>
    <row r="703" spans="1:6" ht="15" customHeight="1" x14ac:dyDescent="0.2">
      <c r="A703" s="2">
        <v>45469</v>
      </c>
      <c r="B703" s="3">
        <v>2215.6201000000001</v>
      </c>
      <c r="C703" s="3">
        <v>122641</v>
      </c>
      <c r="D703" s="4">
        <f t="shared" si="31"/>
        <v>-2.3006713025256663E-4</v>
      </c>
      <c r="E703" s="4">
        <f t="shared" si="32"/>
        <v>2.5309028417500028E-3</v>
      </c>
      <c r="F703" s="3">
        <f t="shared" si="30"/>
        <v>2024</v>
      </c>
    </row>
    <row r="704" spans="1:6" ht="15" customHeight="1" x14ac:dyDescent="0.2">
      <c r="A704" s="2">
        <v>45470</v>
      </c>
      <c r="B704" s="3">
        <v>2251.5500000000002</v>
      </c>
      <c r="C704" s="3">
        <v>124308</v>
      </c>
      <c r="D704" s="4">
        <f t="shared" si="31"/>
        <v>1.6086548759861215E-2</v>
      </c>
      <c r="E704" s="4">
        <f t="shared" si="32"/>
        <v>1.3500968387139657E-2</v>
      </c>
      <c r="F704" s="3">
        <f t="shared" si="30"/>
        <v>2024</v>
      </c>
    </row>
    <row r="705" spans="1:6" ht="15" customHeight="1" x14ac:dyDescent="0.2">
      <c r="A705" s="2">
        <v>45471</v>
      </c>
      <c r="B705" s="3">
        <v>2231.3000000000002</v>
      </c>
      <c r="C705" s="3">
        <v>123907</v>
      </c>
      <c r="D705" s="4">
        <f t="shared" si="31"/>
        <v>-9.0344926718651519E-3</v>
      </c>
      <c r="E705" s="4">
        <f t="shared" si="32"/>
        <v>-3.2310726496325593E-3</v>
      </c>
      <c r="F705" s="3">
        <f t="shared" si="30"/>
        <v>2024</v>
      </c>
    </row>
    <row r="706" spans="1:6" ht="15" customHeight="1" x14ac:dyDescent="0.2">
      <c r="A706" s="2">
        <v>45474</v>
      </c>
      <c r="B706" s="3">
        <v>2236.6999999999998</v>
      </c>
      <c r="C706" s="3">
        <v>124718</v>
      </c>
      <c r="D706" s="4">
        <f t="shared" si="31"/>
        <v>2.4171900757667948E-3</v>
      </c>
      <c r="E706" s="4">
        <f t="shared" si="32"/>
        <v>6.523904486149746E-3</v>
      </c>
      <c r="F706" s="3">
        <f t="shared" ref="F706:F769" si="33">YEAR(A706)</f>
        <v>2024</v>
      </c>
    </row>
    <row r="707" spans="1:6" ht="15" customHeight="1" x14ac:dyDescent="0.2">
      <c r="A707" s="2">
        <v>45475</v>
      </c>
      <c r="B707" s="3">
        <v>2238.25</v>
      </c>
      <c r="C707" s="3">
        <v>124787</v>
      </c>
      <c r="D707" s="4">
        <f t="shared" ref="D707:D770" si="34">LN(B707/B706)</f>
        <v>6.9274519804091085E-4</v>
      </c>
      <c r="E707" s="4">
        <f t="shared" ref="E707:E770" si="35">LN(C707/C706)</f>
        <v>5.5309514245420195E-4</v>
      </c>
      <c r="F707" s="3">
        <f t="shared" si="33"/>
        <v>2024</v>
      </c>
    </row>
    <row r="708" spans="1:6" ht="15" customHeight="1" x14ac:dyDescent="0.2">
      <c r="A708" s="2">
        <v>45476</v>
      </c>
      <c r="B708" s="3">
        <v>2254.9198999999999</v>
      </c>
      <c r="C708" s="3">
        <v>125662</v>
      </c>
      <c r="D708" s="4">
        <f t="shared" si="34"/>
        <v>7.4201407273237624E-3</v>
      </c>
      <c r="E708" s="4">
        <f t="shared" si="35"/>
        <v>6.9874789689184109E-3</v>
      </c>
      <c r="F708" s="3">
        <f t="shared" si="33"/>
        <v>2024</v>
      </c>
    </row>
    <row r="709" spans="1:6" ht="15" customHeight="1" x14ac:dyDescent="0.2">
      <c r="A709" s="2">
        <v>45477</v>
      </c>
      <c r="B709" s="3">
        <v>2274.9299000000001</v>
      </c>
      <c r="C709" s="3">
        <v>126164</v>
      </c>
      <c r="D709" s="4">
        <f t="shared" si="34"/>
        <v>8.8347874819124199E-3</v>
      </c>
      <c r="E709" s="4">
        <f t="shared" si="35"/>
        <v>3.9868851107608891E-3</v>
      </c>
      <c r="F709" s="3">
        <f t="shared" si="33"/>
        <v>2024</v>
      </c>
    </row>
    <row r="710" spans="1:6" ht="15" customHeight="1" x14ac:dyDescent="0.2">
      <c r="A710" s="2">
        <v>45478</v>
      </c>
      <c r="B710" s="3">
        <v>2276.2399999999998</v>
      </c>
      <c r="C710" s="3">
        <v>126267</v>
      </c>
      <c r="D710" s="4">
        <f t="shared" si="34"/>
        <v>5.7572011811119546E-4</v>
      </c>
      <c r="E710" s="4">
        <f t="shared" si="35"/>
        <v>8.1606463323575075E-4</v>
      </c>
      <c r="F710" s="3">
        <f t="shared" si="33"/>
        <v>2024</v>
      </c>
    </row>
    <row r="711" spans="1:6" ht="15" customHeight="1" x14ac:dyDescent="0.2">
      <c r="A711" s="2">
        <v>45481</v>
      </c>
      <c r="B711" s="3">
        <v>2283.3600999999999</v>
      </c>
      <c r="C711" s="3">
        <v>126548</v>
      </c>
      <c r="D711" s="4">
        <f t="shared" si="34"/>
        <v>3.1231273055761766E-3</v>
      </c>
      <c r="E711" s="4">
        <f t="shared" si="35"/>
        <v>2.2229702803688361E-3</v>
      </c>
      <c r="F711" s="3">
        <f t="shared" si="33"/>
        <v>2024</v>
      </c>
    </row>
    <row r="712" spans="1:6" ht="15" customHeight="1" x14ac:dyDescent="0.2">
      <c r="A712" s="2">
        <v>45482</v>
      </c>
      <c r="B712" s="3">
        <v>2295.9398999999999</v>
      </c>
      <c r="C712" s="3">
        <v>127108</v>
      </c>
      <c r="D712" s="4">
        <f t="shared" si="34"/>
        <v>5.494215991483406E-3</v>
      </c>
      <c r="E712" s="4">
        <f t="shared" si="35"/>
        <v>4.4154359432974606E-3</v>
      </c>
      <c r="F712" s="3">
        <f t="shared" si="33"/>
        <v>2024</v>
      </c>
    </row>
    <row r="713" spans="1:6" ht="15" customHeight="1" x14ac:dyDescent="0.2">
      <c r="A713" s="2">
        <v>45483</v>
      </c>
      <c r="B713" s="3">
        <v>2304.8701000000001</v>
      </c>
      <c r="C713" s="3">
        <v>127218</v>
      </c>
      <c r="D713" s="4">
        <f t="shared" si="34"/>
        <v>3.8820169556585005E-3</v>
      </c>
      <c r="E713" s="4">
        <f t="shared" si="35"/>
        <v>8.6503154895070948E-4</v>
      </c>
      <c r="F713" s="3">
        <f t="shared" si="33"/>
        <v>2024</v>
      </c>
    </row>
    <row r="714" spans="1:6" ht="15" customHeight="1" x14ac:dyDescent="0.2">
      <c r="A714" s="2">
        <v>45484</v>
      </c>
      <c r="B714" s="3">
        <v>2333.3301000000001</v>
      </c>
      <c r="C714" s="3">
        <v>128294</v>
      </c>
      <c r="D714" s="4">
        <f t="shared" si="34"/>
        <v>1.2272155559763956E-2</v>
      </c>
      <c r="E714" s="4">
        <f t="shared" si="35"/>
        <v>8.4223548059784541E-3</v>
      </c>
      <c r="F714" s="3">
        <f t="shared" si="33"/>
        <v>2024</v>
      </c>
    </row>
    <row r="715" spans="1:6" ht="15" customHeight="1" x14ac:dyDescent="0.2">
      <c r="A715" s="2">
        <v>45485</v>
      </c>
      <c r="B715" s="3">
        <v>2343.5900999999999</v>
      </c>
      <c r="C715" s="3">
        <v>128897</v>
      </c>
      <c r="D715" s="4">
        <f t="shared" si="34"/>
        <v>4.387509737263119E-3</v>
      </c>
      <c r="E715" s="4">
        <f t="shared" si="35"/>
        <v>4.6891306841522849E-3</v>
      </c>
      <c r="F715" s="3">
        <f t="shared" si="33"/>
        <v>2024</v>
      </c>
    </row>
    <row r="716" spans="1:6" ht="15" customHeight="1" x14ac:dyDescent="0.2">
      <c r="A716" s="2">
        <v>45488</v>
      </c>
      <c r="B716" s="3">
        <v>2351.3400999999999</v>
      </c>
      <c r="C716" s="3">
        <v>129321</v>
      </c>
      <c r="D716" s="4">
        <f t="shared" si="34"/>
        <v>3.3014365322185969E-3</v>
      </c>
      <c r="E716" s="4">
        <f t="shared" si="35"/>
        <v>3.2840497646897506E-3</v>
      </c>
      <c r="F716" s="3">
        <f t="shared" si="33"/>
        <v>2024</v>
      </c>
    </row>
    <row r="717" spans="1:6" ht="15" customHeight="1" x14ac:dyDescent="0.2">
      <c r="A717" s="2">
        <v>45489</v>
      </c>
      <c r="B717" s="3">
        <v>2350.48</v>
      </c>
      <c r="C717" s="3">
        <v>129110</v>
      </c>
      <c r="D717" s="4">
        <f t="shared" si="34"/>
        <v>-3.6585832350065356E-4</v>
      </c>
      <c r="E717" s="4">
        <f t="shared" si="35"/>
        <v>-1.6329313966617306E-3</v>
      </c>
      <c r="F717" s="3">
        <f t="shared" si="33"/>
        <v>2024</v>
      </c>
    </row>
    <row r="718" spans="1:6" ht="15" customHeight="1" x14ac:dyDescent="0.2">
      <c r="A718" s="2">
        <v>45490</v>
      </c>
      <c r="B718" s="3">
        <v>2361.4099000000001</v>
      </c>
      <c r="C718" s="3">
        <v>129450</v>
      </c>
      <c r="D718" s="4">
        <f t="shared" si="34"/>
        <v>4.6392932923657298E-3</v>
      </c>
      <c r="E718" s="4">
        <f t="shared" si="35"/>
        <v>2.6299520109194599E-3</v>
      </c>
      <c r="F718" s="3">
        <f t="shared" si="33"/>
        <v>2024</v>
      </c>
    </row>
    <row r="719" spans="1:6" ht="15" customHeight="1" x14ac:dyDescent="0.2">
      <c r="A719" s="2">
        <v>45491</v>
      </c>
      <c r="B719" s="3">
        <v>2321.1999999999998</v>
      </c>
      <c r="C719" s="3">
        <v>127652</v>
      </c>
      <c r="D719" s="4">
        <f t="shared" si="34"/>
        <v>-1.7174562575988591E-2</v>
      </c>
      <c r="E719" s="4">
        <f t="shared" si="35"/>
        <v>-1.3986894791038394E-2</v>
      </c>
      <c r="F719" s="3">
        <f t="shared" si="33"/>
        <v>2024</v>
      </c>
    </row>
    <row r="720" spans="1:6" ht="15" customHeight="1" x14ac:dyDescent="0.2">
      <c r="A720" s="2">
        <v>45492</v>
      </c>
      <c r="B720" s="3">
        <v>2319.1201000000001</v>
      </c>
      <c r="C720" s="3">
        <v>127616</v>
      </c>
      <c r="D720" s="4">
        <f t="shared" si="34"/>
        <v>-8.9644683748720119E-4</v>
      </c>
      <c r="E720" s="4">
        <f t="shared" si="35"/>
        <v>-2.8205650718978608E-4</v>
      </c>
      <c r="F720" s="3">
        <f t="shared" si="33"/>
        <v>2024</v>
      </c>
    </row>
    <row r="721" spans="1:6" ht="15" customHeight="1" x14ac:dyDescent="0.2">
      <c r="A721" s="2">
        <v>45495</v>
      </c>
      <c r="B721" s="3">
        <v>2329.1898999999999</v>
      </c>
      <c r="C721" s="3">
        <v>127860</v>
      </c>
      <c r="D721" s="4">
        <f t="shared" si="34"/>
        <v>4.3326782218065943E-3</v>
      </c>
      <c r="E721" s="4">
        <f t="shared" si="35"/>
        <v>1.9101604392622699E-3</v>
      </c>
      <c r="F721" s="3">
        <f t="shared" si="33"/>
        <v>2024</v>
      </c>
    </row>
    <row r="722" spans="1:6" ht="15" customHeight="1" x14ac:dyDescent="0.2">
      <c r="A722" s="2">
        <v>45496</v>
      </c>
      <c r="B722" s="3">
        <v>2307.5100000000002</v>
      </c>
      <c r="C722" s="3">
        <v>126590</v>
      </c>
      <c r="D722" s="4">
        <f t="shared" si="34"/>
        <v>-9.3515036386811971E-3</v>
      </c>
      <c r="E722" s="4">
        <f t="shared" si="35"/>
        <v>-9.9823976898439064E-3</v>
      </c>
      <c r="F722" s="3">
        <f t="shared" si="33"/>
        <v>2024</v>
      </c>
    </row>
    <row r="723" spans="1:6" ht="15" customHeight="1" x14ac:dyDescent="0.2">
      <c r="A723" s="2">
        <v>45497</v>
      </c>
      <c r="B723" s="3">
        <v>2291.98</v>
      </c>
      <c r="C723" s="3">
        <v>126423</v>
      </c>
      <c r="D723" s="4">
        <f t="shared" si="34"/>
        <v>-6.752948269023412E-3</v>
      </c>
      <c r="E723" s="4">
        <f t="shared" si="35"/>
        <v>-1.3200904637447452E-3</v>
      </c>
      <c r="F723" s="3">
        <f t="shared" si="33"/>
        <v>2024</v>
      </c>
    </row>
    <row r="724" spans="1:6" ht="15" customHeight="1" x14ac:dyDescent="0.2">
      <c r="A724" s="2">
        <v>45498</v>
      </c>
      <c r="B724" s="3">
        <v>2280.0700999999999</v>
      </c>
      <c r="C724" s="3">
        <v>125954</v>
      </c>
      <c r="D724" s="4">
        <f t="shared" si="34"/>
        <v>-5.2098847031831538E-3</v>
      </c>
      <c r="E724" s="4">
        <f t="shared" si="35"/>
        <v>-3.7166662562890516E-3</v>
      </c>
      <c r="F724" s="3">
        <f t="shared" si="33"/>
        <v>2024</v>
      </c>
    </row>
    <row r="725" spans="1:6" ht="15" customHeight="1" x14ac:dyDescent="0.2">
      <c r="A725" s="2">
        <v>45499</v>
      </c>
      <c r="B725" s="3">
        <v>2309.4198999999999</v>
      </c>
      <c r="C725" s="3">
        <v>127492</v>
      </c>
      <c r="D725" s="4">
        <f t="shared" si="34"/>
        <v>1.2790179347530174E-2</v>
      </c>
      <c r="E725" s="4">
        <f t="shared" si="35"/>
        <v>1.2136856603182469E-2</v>
      </c>
      <c r="F725" s="3">
        <f t="shared" si="33"/>
        <v>2024</v>
      </c>
    </row>
    <row r="726" spans="1:6" ht="15" customHeight="1" x14ac:dyDescent="0.2">
      <c r="A726" s="2">
        <v>45502</v>
      </c>
      <c r="B726" s="3">
        <v>2298.9198999999999</v>
      </c>
      <c r="C726" s="3">
        <v>126954</v>
      </c>
      <c r="D726" s="4">
        <f t="shared" si="34"/>
        <v>-4.5569635165231045E-3</v>
      </c>
      <c r="E726" s="4">
        <f t="shared" si="35"/>
        <v>-4.2288014096787362E-3</v>
      </c>
      <c r="F726" s="3">
        <f t="shared" si="33"/>
        <v>2024</v>
      </c>
    </row>
    <row r="727" spans="1:6" ht="15" customHeight="1" x14ac:dyDescent="0.2">
      <c r="A727" s="2">
        <v>45503</v>
      </c>
      <c r="B727" s="3">
        <v>2288.79</v>
      </c>
      <c r="C727" s="3">
        <v>126139</v>
      </c>
      <c r="D727" s="4">
        <f t="shared" si="34"/>
        <v>-4.4161102962486272E-3</v>
      </c>
      <c r="E727" s="4">
        <f t="shared" si="35"/>
        <v>-6.4403426175077411E-3</v>
      </c>
      <c r="F727" s="3">
        <f t="shared" si="33"/>
        <v>2024</v>
      </c>
    </row>
    <row r="728" spans="1:6" ht="15" customHeight="1" x14ac:dyDescent="0.2">
      <c r="A728" s="2">
        <v>45504</v>
      </c>
      <c r="B728" s="3">
        <v>2309.5300000000002</v>
      </c>
      <c r="C728" s="3">
        <v>127652</v>
      </c>
      <c r="D728" s="4">
        <f t="shared" si="34"/>
        <v>9.0207469862873049E-3</v>
      </c>
      <c r="E728" s="4">
        <f t="shared" si="35"/>
        <v>1.1923337901809213E-2</v>
      </c>
      <c r="F728" s="3">
        <f t="shared" si="33"/>
        <v>2024</v>
      </c>
    </row>
    <row r="729" spans="1:6" ht="15" customHeight="1" x14ac:dyDescent="0.2">
      <c r="A729" s="2">
        <v>45505</v>
      </c>
      <c r="B729" s="3">
        <v>2315.7800000000002</v>
      </c>
      <c r="C729" s="3">
        <v>127395</v>
      </c>
      <c r="D729" s="4">
        <f t="shared" si="34"/>
        <v>2.7025232055685874E-3</v>
      </c>
      <c r="E729" s="4">
        <f t="shared" si="35"/>
        <v>-2.0153155064259556E-3</v>
      </c>
      <c r="F729" s="3">
        <f t="shared" si="33"/>
        <v>2024</v>
      </c>
    </row>
    <row r="730" spans="1:6" ht="15" customHeight="1" x14ac:dyDescent="0.2">
      <c r="A730" s="2">
        <v>45506</v>
      </c>
      <c r="B730" s="3">
        <v>2297.8200999999999</v>
      </c>
      <c r="C730" s="3">
        <v>125854</v>
      </c>
      <c r="D730" s="4">
        <f t="shared" si="34"/>
        <v>-7.7856729378875155E-3</v>
      </c>
      <c r="E730" s="4">
        <f t="shared" si="35"/>
        <v>-1.2169990954167735E-2</v>
      </c>
      <c r="F730" s="3">
        <f t="shared" si="33"/>
        <v>2024</v>
      </c>
    </row>
    <row r="731" spans="1:6" ht="15" customHeight="1" x14ac:dyDescent="0.2">
      <c r="A731" s="2">
        <v>45509</v>
      </c>
      <c r="B731" s="3">
        <v>2285.5100000000002</v>
      </c>
      <c r="C731" s="3">
        <v>125270</v>
      </c>
      <c r="D731" s="4">
        <f t="shared" si="34"/>
        <v>-5.3716967061899429E-3</v>
      </c>
      <c r="E731" s="4">
        <f t="shared" si="35"/>
        <v>-4.6510970898140189E-3</v>
      </c>
      <c r="F731" s="3">
        <f t="shared" si="33"/>
        <v>2024</v>
      </c>
    </row>
    <row r="732" spans="1:6" ht="15" customHeight="1" x14ac:dyDescent="0.2">
      <c r="A732" s="2">
        <v>45510</v>
      </c>
      <c r="B732" s="3">
        <v>2303.1999999999998</v>
      </c>
      <c r="C732" s="3">
        <v>126267</v>
      </c>
      <c r="D732" s="4">
        <f t="shared" si="34"/>
        <v>7.7102661255442819E-3</v>
      </c>
      <c r="E732" s="4">
        <f t="shared" si="35"/>
        <v>7.9273046997511681E-3</v>
      </c>
      <c r="F732" s="3">
        <f t="shared" si="33"/>
        <v>2024</v>
      </c>
    </row>
    <row r="733" spans="1:6" ht="15" customHeight="1" x14ac:dyDescent="0.2">
      <c r="A733" s="2">
        <v>45511</v>
      </c>
      <c r="B733" s="3">
        <v>2334.3501000000001</v>
      </c>
      <c r="C733" s="3">
        <v>127514</v>
      </c>
      <c r="D733" s="4">
        <f t="shared" si="34"/>
        <v>1.343406229966022E-2</v>
      </c>
      <c r="E733" s="4">
        <f t="shared" si="35"/>
        <v>9.8274499361885956E-3</v>
      </c>
      <c r="F733" s="3">
        <f t="shared" si="33"/>
        <v>2024</v>
      </c>
    </row>
    <row r="734" spans="1:6" ht="15" customHeight="1" x14ac:dyDescent="0.2">
      <c r="A734" s="2">
        <v>45512</v>
      </c>
      <c r="B734" s="3">
        <v>2355.48</v>
      </c>
      <c r="C734" s="3">
        <v>128661</v>
      </c>
      <c r="D734" s="4">
        <f t="shared" si="34"/>
        <v>9.0110057401311273E-3</v>
      </c>
      <c r="E734" s="4">
        <f t="shared" si="35"/>
        <v>8.9548758840507486E-3</v>
      </c>
      <c r="F734" s="3">
        <f t="shared" si="33"/>
        <v>2024</v>
      </c>
    </row>
    <row r="735" spans="1:6" ht="15" customHeight="1" x14ac:dyDescent="0.2">
      <c r="A735" s="2">
        <v>45513</v>
      </c>
      <c r="B735" s="3">
        <v>2398.3798999999999</v>
      </c>
      <c r="C735" s="3">
        <v>130615</v>
      </c>
      <c r="D735" s="4">
        <f t="shared" si="34"/>
        <v>1.8048939388400572E-2</v>
      </c>
      <c r="E735" s="4">
        <f t="shared" si="35"/>
        <v>1.5073026388575743E-2</v>
      </c>
      <c r="F735" s="3">
        <f t="shared" si="33"/>
        <v>2024</v>
      </c>
    </row>
    <row r="736" spans="1:6" ht="15" customHeight="1" x14ac:dyDescent="0.2">
      <c r="A736" s="2">
        <v>45516</v>
      </c>
      <c r="B736" s="3">
        <v>2406.79</v>
      </c>
      <c r="C736" s="3">
        <v>131116</v>
      </c>
      <c r="D736" s="4">
        <f t="shared" si="34"/>
        <v>3.5004417169416367E-3</v>
      </c>
      <c r="E736" s="4">
        <f t="shared" si="35"/>
        <v>3.8283627992324117E-3</v>
      </c>
      <c r="F736" s="3">
        <f t="shared" si="33"/>
        <v>2024</v>
      </c>
    </row>
    <row r="737" spans="1:6" ht="15" customHeight="1" x14ac:dyDescent="0.2">
      <c r="A737" s="2">
        <v>45517</v>
      </c>
      <c r="B737" s="3">
        <v>2436.9198999999999</v>
      </c>
      <c r="C737" s="3">
        <v>132398</v>
      </c>
      <c r="D737" s="4">
        <f t="shared" si="34"/>
        <v>1.2440996361259948E-2</v>
      </c>
      <c r="E737" s="4">
        <f t="shared" si="35"/>
        <v>9.7301100847346431E-3</v>
      </c>
      <c r="F737" s="3">
        <f t="shared" si="33"/>
        <v>2024</v>
      </c>
    </row>
    <row r="738" spans="1:6" ht="15" customHeight="1" x14ac:dyDescent="0.2">
      <c r="A738" s="2">
        <v>45518</v>
      </c>
      <c r="B738" s="3">
        <v>2455.29</v>
      </c>
      <c r="C738" s="3">
        <v>133318</v>
      </c>
      <c r="D738" s="4">
        <f t="shared" si="34"/>
        <v>7.5099747208151636E-3</v>
      </c>
      <c r="E738" s="4">
        <f t="shared" si="35"/>
        <v>6.9247141782316484E-3</v>
      </c>
      <c r="F738" s="3">
        <f t="shared" si="33"/>
        <v>2024</v>
      </c>
    </row>
    <row r="739" spans="1:6" ht="15" customHeight="1" x14ac:dyDescent="0.2">
      <c r="A739" s="2">
        <v>45519</v>
      </c>
      <c r="B739" s="3">
        <v>2469.7199999999998</v>
      </c>
      <c r="C739" s="3">
        <v>134153</v>
      </c>
      <c r="D739" s="4">
        <f t="shared" si="34"/>
        <v>5.8599033471944274E-3</v>
      </c>
      <c r="E739" s="4">
        <f t="shared" si="35"/>
        <v>6.243687821181924E-3</v>
      </c>
      <c r="F739" s="3">
        <f t="shared" si="33"/>
        <v>2024</v>
      </c>
    </row>
    <row r="740" spans="1:6" ht="15" customHeight="1" x14ac:dyDescent="0.2">
      <c r="A740" s="2">
        <v>45520</v>
      </c>
      <c r="B740" s="3">
        <v>2466.2399999999998</v>
      </c>
      <c r="C740" s="3">
        <v>133953</v>
      </c>
      <c r="D740" s="4">
        <f t="shared" si="34"/>
        <v>-1.4100602827406977E-3</v>
      </c>
      <c r="E740" s="4">
        <f t="shared" si="35"/>
        <v>-1.4919474916521766E-3</v>
      </c>
      <c r="F740" s="3">
        <f t="shared" si="33"/>
        <v>2024</v>
      </c>
    </row>
    <row r="741" spans="1:6" ht="15" customHeight="1" x14ac:dyDescent="0.2">
      <c r="A741" s="2">
        <v>45523</v>
      </c>
      <c r="B741" s="3">
        <v>2509.1399000000001</v>
      </c>
      <c r="C741" s="3">
        <v>135778</v>
      </c>
      <c r="D741" s="4">
        <f t="shared" si="34"/>
        <v>1.7245301488943886E-2</v>
      </c>
      <c r="E741" s="4">
        <f t="shared" si="35"/>
        <v>1.3532206898797954E-2</v>
      </c>
      <c r="F741" s="3">
        <f t="shared" si="33"/>
        <v>2024</v>
      </c>
    </row>
    <row r="742" spans="1:6" ht="15" customHeight="1" x14ac:dyDescent="0.2">
      <c r="A742" s="2">
        <v>45524</v>
      </c>
      <c r="B742" s="3">
        <v>2511.6599000000001</v>
      </c>
      <c r="C742" s="3">
        <v>136087</v>
      </c>
      <c r="D742" s="4">
        <f t="shared" si="34"/>
        <v>1.0038242160578714E-3</v>
      </c>
      <c r="E742" s="4">
        <f t="shared" si="35"/>
        <v>2.2731880386230425E-3</v>
      </c>
      <c r="F742" s="3">
        <f t="shared" si="33"/>
        <v>2024</v>
      </c>
    </row>
    <row r="743" spans="1:6" ht="15" customHeight="1" x14ac:dyDescent="0.2">
      <c r="A743" s="2">
        <v>45525</v>
      </c>
      <c r="B743" s="3">
        <v>2516.2800000000002</v>
      </c>
      <c r="C743" s="3">
        <v>136464</v>
      </c>
      <c r="D743" s="4">
        <f t="shared" si="34"/>
        <v>1.8377710920245225E-3</v>
      </c>
      <c r="E743" s="4">
        <f t="shared" si="35"/>
        <v>2.7664564829375559E-3</v>
      </c>
      <c r="F743" s="3">
        <f t="shared" si="33"/>
        <v>2024</v>
      </c>
    </row>
    <row r="744" spans="1:6" ht="15" customHeight="1" x14ac:dyDescent="0.2">
      <c r="A744" s="2">
        <v>45526</v>
      </c>
      <c r="B744" s="3">
        <v>2485.0801000000001</v>
      </c>
      <c r="C744" s="3">
        <v>135173</v>
      </c>
      <c r="D744" s="4">
        <f t="shared" si="34"/>
        <v>-1.2476727975007965E-2</v>
      </c>
      <c r="E744" s="4">
        <f t="shared" si="35"/>
        <v>-9.5054040534291902E-3</v>
      </c>
      <c r="F744" s="3">
        <f t="shared" si="33"/>
        <v>2024</v>
      </c>
    </row>
    <row r="745" spans="1:6" ht="15" customHeight="1" x14ac:dyDescent="0.2">
      <c r="A745" s="2">
        <v>45527</v>
      </c>
      <c r="B745" s="3">
        <v>2506.6298999999999</v>
      </c>
      <c r="C745" s="3">
        <v>135608</v>
      </c>
      <c r="D745" s="4">
        <f t="shared" si="34"/>
        <v>8.6342892033680028E-3</v>
      </c>
      <c r="E745" s="4">
        <f t="shared" si="35"/>
        <v>3.2129312928606819E-3</v>
      </c>
      <c r="F745" s="3">
        <f t="shared" si="33"/>
        <v>2024</v>
      </c>
    </row>
    <row r="746" spans="1:6" ht="15" customHeight="1" x14ac:dyDescent="0.2">
      <c r="A746" s="2">
        <v>45530</v>
      </c>
      <c r="B746" s="3">
        <v>2516.6399000000001</v>
      </c>
      <c r="C746" s="3">
        <v>136889</v>
      </c>
      <c r="D746" s="4">
        <f t="shared" si="34"/>
        <v>3.9854571417965558E-3</v>
      </c>
      <c r="E746" s="4">
        <f t="shared" si="35"/>
        <v>9.4020076290428616E-3</v>
      </c>
      <c r="F746" s="3">
        <f t="shared" si="33"/>
        <v>2024</v>
      </c>
    </row>
    <row r="747" spans="1:6" ht="15" customHeight="1" x14ac:dyDescent="0.2">
      <c r="A747" s="2">
        <v>45531</v>
      </c>
      <c r="B747" s="3">
        <v>2507.3101000000001</v>
      </c>
      <c r="C747" s="3">
        <v>136776</v>
      </c>
      <c r="D747" s="4">
        <f t="shared" si="34"/>
        <v>-3.7141335901891546E-3</v>
      </c>
      <c r="E747" s="4">
        <f t="shared" si="35"/>
        <v>-8.2582724441988104E-4</v>
      </c>
      <c r="F747" s="3">
        <f t="shared" si="33"/>
        <v>2024</v>
      </c>
    </row>
    <row r="748" spans="1:6" ht="15" customHeight="1" x14ac:dyDescent="0.2">
      <c r="A748" s="2">
        <v>45532</v>
      </c>
      <c r="B748" s="3">
        <v>2518.5500000000002</v>
      </c>
      <c r="C748" s="3">
        <v>137344</v>
      </c>
      <c r="D748" s="4">
        <f t="shared" si="34"/>
        <v>4.4728339091683065E-3</v>
      </c>
      <c r="E748" s="4">
        <f t="shared" si="35"/>
        <v>4.1441763673705388E-3</v>
      </c>
      <c r="F748" s="3">
        <f t="shared" si="33"/>
        <v>2024</v>
      </c>
    </row>
    <row r="749" spans="1:6" ht="15" customHeight="1" x14ac:dyDescent="0.2">
      <c r="A749" s="2">
        <v>45533</v>
      </c>
      <c r="B749" s="3">
        <v>2490.8301000000001</v>
      </c>
      <c r="C749" s="3">
        <v>136041</v>
      </c>
      <c r="D749" s="4">
        <f t="shared" si="34"/>
        <v>-1.10673106796573E-2</v>
      </c>
      <c r="E749" s="4">
        <f t="shared" si="35"/>
        <v>-9.5324166770180789E-3</v>
      </c>
      <c r="F749" s="3">
        <f t="shared" si="33"/>
        <v>2024</v>
      </c>
    </row>
    <row r="750" spans="1:6" ht="15" customHeight="1" x14ac:dyDescent="0.2">
      <c r="A750" s="2">
        <v>45534</v>
      </c>
      <c r="B750" s="3">
        <v>2488.3600999999999</v>
      </c>
      <c r="C750" s="3">
        <v>136004</v>
      </c>
      <c r="D750" s="4">
        <f t="shared" si="34"/>
        <v>-9.9212928343492398E-4</v>
      </c>
      <c r="E750" s="4">
        <f t="shared" si="35"/>
        <v>-2.7201382291998073E-4</v>
      </c>
      <c r="F750" s="3">
        <f t="shared" si="33"/>
        <v>2024</v>
      </c>
    </row>
    <row r="751" spans="1:6" ht="15" customHeight="1" x14ac:dyDescent="0.2">
      <c r="A751" s="2">
        <v>45537</v>
      </c>
      <c r="B751" s="3">
        <v>2464.27</v>
      </c>
      <c r="C751" s="3">
        <v>134906</v>
      </c>
      <c r="D751" s="4">
        <f t="shared" si="34"/>
        <v>-9.728281540431729E-3</v>
      </c>
      <c r="E751" s="4">
        <f t="shared" si="35"/>
        <v>-8.1060574529602976E-3</v>
      </c>
      <c r="F751" s="3">
        <f t="shared" si="33"/>
        <v>2024</v>
      </c>
    </row>
    <row r="752" spans="1:6" ht="15" customHeight="1" x14ac:dyDescent="0.2">
      <c r="A752" s="2">
        <v>45538</v>
      </c>
      <c r="B752" s="3">
        <v>2469.1001000000001</v>
      </c>
      <c r="C752" s="3">
        <v>134353</v>
      </c>
      <c r="D752" s="4">
        <f t="shared" si="34"/>
        <v>1.9581346809291636E-3</v>
      </c>
      <c r="E752" s="4">
        <f t="shared" si="35"/>
        <v>-4.1075750673199409E-3</v>
      </c>
      <c r="F752" s="3">
        <f t="shared" si="33"/>
        <v>2024</v>
      </c>
    </row>
    <row r="753" spans="1:6" ht="15" customHeight="1" x14ac:dyDescent="0.2">
      <c r="A753" s="2">
        <v>45539</v>
      </c>
      <c r="B753" s="3">
        <v>2511.7600000000002</v>
      </c>
      <c r="C753" s="3">
        <v>136111</v>
      </c>
      <c r="D753" s="4">
        <f t="shared" si="34"/>
        <v>1.7129950369249723E-2</v>
      </c>
      <c r="E753" s="4">
        <f t="shared" si="35"/>
        <v>1.3000064767783927E-2</v>
      </c>
      <c r="F753" s="3">
        <f t="shared" si="33"/>
        <v>2024</v>
      </c>
    </row>
    <row r="754" spans="1:6" ht="15" customHeight="1" x14ac:dyDescent="0.2">
      <c r="A754" s="2">
        <v>45540</v>
      </c>
      <c r="B754" s="3">
        <v>2521.9198999999999</v>
      </c>
      <c r="C754" s="3">
        <v>136502</v>
      </c>
      <c r="D754" s="4">
        <f t="shared" si="34"/>
        <v>4.0367738905103135E-3</v>
      </c>
      <c r="E754" s="4">
        <f t="shared" si="35"/>
        <v>2.8685372165824972E-3</v>
      </c>
      <c r="F754" s="3">
        <f t="shared" si="33"/>
        <v>2024</v>
      </c>
    </row>
    <row r="755" spans="1:6" ht="15" customHeight="1" x14ac:dyDescent="0.2">
      <c r="A755" s="2">
        <v>45541</v>
      </c>
      <c r="B755" s="3">
        <v>2484.8000000000002</v>
      </c>
      <c r="C755" s="3">
        <v>134572</v>
      </c>
      <c r="D755" s="4">
        <f t="shared" si="34"/>
        <v>-1.4828303118532836E-2</v>
      </c>
      <c r="E755" s="4">
        <f t="shared" si="35"/>
        <v>-1.4239894735791372E-2</v>
      </c>
      <c r="F755" s="3">
        <f t="shared" si="33"/>
        <v>2024</v>
      </c>
    </row>
    <row r="756" spans="1:6" ht="15" customHeight="1" x14ac:dyDescent="0.2">
      <c r="A756" s="2">
        <v>45544</v>
      </c>
      <c r="B756" s="3">
        <v>2486.98</v>
      </c>
      <c r="C756" s="3">
        <v>134737</v>
      </c>
      <c r="D756" s="4">
        <f t="shared" si="34"/>
        <v>8.7694955919566582E-4</v>
      </c>
      <c r="E756" s="4">
        <f t="shared" si="35"/>
        <v>1.225358384945627E-3</v>
      </c>
      <c r="F756" s="3">
        <f t="shared" si="33"/>
        <v>2024</v>
      </c>
    </row>
    <row r="757" spans="1:6" ht="15" customHeight="1" x14ac:dyDescent="0.2">
      <c r="A757" s="2">
        <v>45545</v>
      </c>
      <c r="B757" s="3">
        <v>2483.5900999999999</v>
      </c>
      <c r="C757" s="3">
        <v>134320</v>
      </c>
      <c r="D757" s="4">
        <f t="shared" si="34"/>
        <v>-1.3639886199636859E-3</v>
      </c>
      <c r="E757" s="4">
        <f t="shared" si="35"/>
        <v>-3.0997174121956714E-3</v>
      </c>
      <c r="F757" s="3">
        <f t="shared" si="33"/>
        <v>2024</v>
      </c>
    </row>
    <row r="758" spans="1:6" ht="15" customHeight="1" x14ac:dyDescent="0.2">
      <c r="A758" s="2">
        <v>45546</v>
      </c>
      <c r="B758" s="3">
        <v>2486.1298999999999</v>
      </c>
      <c r="C758" s="3">
        <v>134677</v>
      </c>
      <c r="D758" s="4">
        <f t="shared" si="34"/>
        <v>1.0221099865234261E-3</v>
      </c>
      <c r="E758" s="4">
        <f t="shared" si="35"/>
        <v>2.6543062532213965E-3</v>
      </c>
      <c r="F758" s="3">
        <f t="shared" si="33"/>
        <v>2024</v>
      </c>
    </row>
    <row r="759" spans="1:6" ht="15" customHeight="1" x14ac:dyDescent="0.2">
      <c r="A759" s="2">
        <v>45547</v>
      </c>
      <c r="B759" s="3">
        <v>2473.3301000000001</v>
      </c>
      <c r="C759" s="3">
        <v>134029</v>
      </c>
      <c r="D759" s="4">
        <f t="shared" si="34"/>
        <v>-5.1617831053440977E-3</v>
      </c>
      <c r="E759" s="4">
        <f t="shared" si="35"/>
        <v>-4.8231245761253304E-3</v>
      </c>
      <c r="F759" s="3">
        <f t="shared" si="33"/>
        <v>2024</v>
      </c>
    </row>
    <row r="760" spans="1:6" ht="15" customHeight="1" x14ac:dyDescent="0.2">
      <c r="A760" s="2">
        <v>45548</v>
      </c>
      <c r="B760" s="3">
        <v>2493.7600000000002</v>
      </c>
      <c r="C760" s="3">
        <v>134882</v>
      </c>
      <c r="D760" s="4">
        <f t="shared" si="34"/>
        <v>8.2261504403621805E-3</v>
      </c>
      <c r="E760" s="4">
        <f t="shared" si="35"/>
        <v>6.3441276924853605E-3</v>
      </c>
      <c r="F760" s="3">
        <f t="shared" si="33"/>
        <v>2024</v>
      </c>
    </row>
    <row r="761" spans="1:6" ht="15" customHeight="1" x14ac:dyDescent="0.2">
      <c r="A761" s="2">
        <v>45551</v>
      </c>
      <c r="B761" s="3">
        <v>2494.1100999999999</v>
      </c>
      <c r="C761" s="3">
        <v>135118</v>
      </c>
      <c r="D761" s="4">
        <f t="shared" si="34"/>
        <v>1.4038056066233888E-4</v>
      </c>
      <c r="E761" s="4">
        <f t="shared" si="35"/>
        <v>1.7481485933467122E-3</v>
      </c>
      <c r="F761" s="3">
        <f t="shared" si="33"/>
        <v>2024</v>
      </c>
    </row>
    <row r="762" spans="1:6" ht="15" customHeight="1" x14ac:dyDescent="0.2">
      <c r="A762" s="2">
        <v>45552</v>
      </c>
      <c r="B762" s="3">
        <v>2494.8200999999999</v>
      </c>
      <c r="C762" s="3">
        <v>134960</v>
      </c>
      <c r="D762" s="4">
        <f t="shared" si="34"/>
        <v>2.8463016171026331E-4</v>
      </c>
      <c r="E762" s="4">
        <f t="shared" si="35"/>
        <v>-1.1700324945004359E-3</v>
      </c>
      <c r="F762" s="3">
        <f t="shared" si="33"/>
        <v>2024</v>
      </c>
    </row>
    <row r="763" spans="1:6" ht="15" customHeight="1" x14ac:dyDescent="0.2">
      <c r="A763" s="2">
        <v>45553</v>
      </c>
      <c r="B763" s="3">
        <v>2475.1498999999999</v>
      </c>
      <c r="C763" s="3">
        <v>133748</v>
      </c>
      <c r="D763" s="4">
        <f t="shared" si="34"/>
        <v>-7.9156625522378218E-3</v>
      </c>
      <c r="E763" s="4">
        <f t="shared" si="35"/>
        <v>-9.0210058444262081E-3</v>
      </c>
      <c r="F763" s="3">
        <f t="shared" si="33"/>
        <v>2024</v>
      </c>
    </row>
    <row r="764" spans="1:6" ht="15" customHeight="1" x14ac:dyDescent="0.2">
      <c r="A764" s="2">
        <v>45554</v>
      </c>
      <c r="B764" s="3">
        <v>2457.3501000000001</v>
      </c>
      <c r="C764" s="3">
        <v>133123</v>
      </c>
      <c r="D764" s="4">
        <f t="shared" si="34"/>
        <v>-7.2173856125168348E-3</v>
      </c>
      <c r="E764" s="4">
        <f t="shared" si="35"/>
        <v>-4.6839195166289947E-3</v>
      </c>
      <c r="F764" s="3">
        <f t="shared" si="33"/>
        <v>2024</v>
      </c>
    </row>
    <row r="765" spans="1:6" ht="15" customHeight="1" x14ac:dyDescent="0.2">
      <c r="A765" s="2">
        <v>45555</v>
      </c>
      <c r="B765" s="3">
        <v>2413.29</v>
      </c>
      <c r="C765" s="3">
        <v>131065</v>
      </c>
      <c r="D765" s="4">
        <f t="shared" si="34"/>
        <v>-1.8092612463474104E-2</v>
      </c>
      <c r="E765" s="4">
        <f t="shared" si="35"/>
        <v>-1.558012952758168E-2</v>
      </c>
      <c r="F765" s="3">
        <f t="shared" si="33"/>
        <v>2024</v>
      </c>
    </row>
    <row r="766" spans="1:6" ht="15" customHeight="1" x14ac:dyDescent="0.2">
      <c r="A766" s="2">
        <v>45558</v>
      </c>
      <c r="B766" s="3">
        <v>2398.6698999999999</v>
      </c>
      <c r="C766" s="3">
        <v>130568</v>
      </c>
      <c r="D766" s="4">
        <f t="shared" si="34"/>
        <v>-6.0765863768395571E-3</v>
      </c>
      <c r="E766" s="4">
        <f t="shared" si="35"/>
        <v>-3.7992195006812594E-3</v>
      </c>
      <c r="F766" s="3">
        <f t="shared" si="33"/>
        <v>2024</v>
      </c>
    </row>
    <row r="767" spans="1:6" ht="15" customHeight="1" x14ac:dyDescent="0.2">
      <c r="A767" s="2">
        <v>45559</v>
      </c>
      <c r="B767" s="3">
        <v>2416.4099000000001</v>
      </c>
      <c r="C767" s="3">
        <v>132156</v>
      </c>
      <c r="D767" s="4">
        <f t="shared" si="34"/>
        <v>7.3685508875002935E-3</v>
      </c>
      <c r="E767" s="4">
        <f t="shared" si="35"/>
        <v>1.2088879122412523E-2</v>
      </c>
      <c r="F767" s="3">
        <f t="shared" si="33"/>
        <v>2024</v>
      </c>
    </row>
    <row r="768" spans="1:6" ht="15" customHeight="1" x14ac:dyDescent="0.2">
      <c r="A768" s="2">
        <v>45560</v>
      </c>
      <c r="B768" s="3">
        <v>2402.2399999999998</v>
      </c>
      <c r="C768" s="3">
        <v>131586</v>
      </c>
      <c r="D768" s="4">
        <f t="shared" si="34"/>
        <v>-5.8812908753633885E-3</v>
      </c>
      <c r="E768" s="4">
        <f t="shared" si="35"/>
        <v>-4.3224127173842998E-3</v>
      </c>
      <c r="F768" s="3">
        <f t="shared" si="33"/>
        <v>2024</v>
      </c>
    </row>
    <row r="769" spans="1:6" ht="15" customHeight="1" x14ac:dyDescent="0.2">
      <c r="A769" s="2">
        <v>45561</v>
      </c>
      <c r="B769" s="3">
        <v>2419.96</v>
      </c>
      <c r="C769" s="3">
        <v>133010</v>
      </c>
      <c r="D769" s="4">
        <f t="shared" si="34"/>
        <v>7.3493757038705417E-3</v>
      </c>
      <c r="E769" s="4">
        <f t="shared" si="35"/>
        <v>1.0763683111781819E-2</v>
      </c>
      <c r="F769" s="3">
        <f t="shared" si="33"/>
        <v>2024</v>
      </c>
    </row>
    <row r="770" spans="1:6" ht="15" customHeight="1" x14ac:dyDescent="0.2">
      <c r="A770" s="2">
        <v>45562</v>
      </c>
      <c r="B770" s="3">
        <v>2415.96</v>
      </c>
      <c r="C770" s="3">
        <v>132730</v>
      </c>
      <c r="D770" s="4">
        <f t="shared" si="34"/>
        <v>-1.6542874622500702E-3</v>
      </c>
      <c r="E770" s="4">
        <f t="shared" si="35"/>
        <v>-2.107323727093892E-3</v>
      </c>
      <c r="F770" s="3">
        <f t="shared" ref="F770:F833" si="36">YEAR(A770)</f>
        <v>2024</v>
      </c>
    </row>
    <row r="771" spans="1:6" ht="15" customHeight="1" x14ac:dyDescent="0.2">
      <c r="A771" s="2">
        <v>45565</v>
      </c>
      <c r="B771" s="3">
        <v>2397.29</v>
      </c>
      <c r="C771" s="3">
        <v>131816</v>
      </c>
      <c r="D771" s="4">
        <f t="shared" ref="D771:D834" si="37">LN(B771/B770)</f>
        <v>-7.7577909458773457E-3</v>
      </c>
      <c r="E771" s="4">
        <f t="shared" ref="E771:E834" si="38">LN(C771/C770)</f>
        <v>-6.9099788829805739E-3</v>
      </c>
      <c r="F771" s="3">
        <f t="shared" si="36"/>
        <v>2024</v>
      </c>
    </row>
    <row r="772" spans="1:6" ht="15" customHeight="1" x14ac:dyDescent="0.2">
      <c r="A772" s="2">
        <v>45566</v>
      </c>
      <c r="B772" s="3">
        <v>2402.5300000000002</v>
      </c>
      <c r="C772" s="3">
        <v>132495</v>
      </c>
      <c r="D772" s="4">
        <f t="shared" si="37"/>
        <v>2.1834160788211238E-3</v>
      </c>
      <c r="E772" s="4">
        <f t="shared" si="38"/>
        <v>5.1378981100749987E-3</v>
      </c>
      <c r="F772" s="3">
        <f t="shared" si="36"/>
        <v>2024</v>
      </c>
    </row>
    <row r="773" spans="1:6" ht="15" customHeight="1" x14ac:dyDescent="0.2">
      <c r="A773" s="2">
        <v>45567</v>
      </c>
      <c r="B773" s="3">
        <v>2419.4499999999998</v>
      </c>
      <c r="C773" s="3">
        <v>133515</v>
      </c>
      <c r="D773" s="4">
        <f t="shared" si="37"/>
        <v>7.0178928338976198E-3</v>
      </c>
      <c r="E773" s="4">
        <f t="shared" si="38"/>
        <v>7.6689222137992299E-3</v>
      </c>
      <c r="F773" s="3">
        <f t="shared" si="36"/>
        <v>2024</v>
      </c>
    </row>
    <row r="774" spans="1:6" ht="15" customHeight="1" x14ac:dyDescent="0.2">
      <c r="A774" s="2">
        <v>45568</v>
      </c>
      <c r="B774" s="3">
        <v>2380.6001000000001</v>
      </c>
      <c r="C774" s="3">
        <v>131672</v>
      </c>
      <c r="D774" s="4">
        <f t="shared" si="37"/>
        <v>-1.6187642853103701E-2</v>
      </c>
      <c r="E774" s="4">
        <f t="shared" si="38"/>
        <v>-1.3899849337237553E-2</v>
      </c>
      <c r="F774" s="3">
        <f t="shared" si="36"/>
        <v>2024</v>
      </c>
    </row>
    <row r="775" spans="1:6" ht="15" customHeight="1" x14ac:dyDescent="0.2">
      <c r="A775" s="2">
        <v>45569</v>
      </c>
      <c r="B775" s="3">
        <v>2387.1999999999998</v>
      </c>
      <c r="C775" s="3">
        <v>131792</v>
      </c>
      <c r="D775" s="4">
        <f t="shared" si="37"/>
        <v>2.7685322694462663E-3</v>
      </c>
      <c r="E775" s="4">
        <f t="shared" si="38"/>
        <v>9.1094045712592636E-4</v>
      </c>
      <c r="F775" s="3">
        <f t="shared" si="36"/>
        <v>2024</v>
      </c>
    </row>
    <row r="776" spans="1:6" ht="15" customHeight="1" x14ac:dyDescent="0.2">
      <c r="A776" s="2">
        <v>45572</v>
      </c>
      <c r="B776" s="3">
        <v>2382.0700999999999</v>
      </c>
      <c r="C776" s="3">
        <v>132018</v>
      </c>
      <c r="D776" s="4">
        <f t="shared" si="37"/>
        <v>-2.1512314760047968E-3</v>
      </c>
      <c r="E776" s="4">
        <f t="shared" si="38"/>
        <v>1.7133547271659961E-3</v>
      </c>
      <c r="F776" s="3">
        <f t="shared" si="36"/>
        <v>2024</v>
      </c>
    </row>
    <row r="777" spans="1:6" ht="15" customHeight="1" x14ac:dyDescent="0.2">
      <c r="A777" s="2">
        <v>45573</v>
      </c>
      <c r="B777" s="3">
        <v>2391.3200999999999</v>
      </c>
      <c r="C777" s="3">
        <v>131512</v>
      </c>
      <c r="D777" s="4">
        <f t="shared" si="37"/>
        <v>3.8756570030528173E-3</v>
      </c>
      <c r="E777" s="4">
        <f t="shared" si="38"/>
        <v>-3.8401747188496881E-3</v>
      </c>
      <c r="F777" s="3">
        <f t="shared" si="36"/>
        <v>2024</v>
      </c>
    </row>
    <row r="778" spans="1:6" ht="15" customHeight="1" x14ac:dyDescent="0.2">
      <c r="A778" s="2">
        <v>45574</v>
      </c>
      <c r="B778" s="3">
        <v>2357.8200999999999</v>
      </c>
      <c r="C778" s="3">
        <v>129962</v>
      </c>
      <c r="D778" s="4">
        <f t="shared" si="37"/>
        <v>-1.4108050818709642E-2</v>
      </c>
      <c r="E778" s="4">
        <f t="shared" si="38"/>
        <v>-1.1856002174155205E-2</v>
      </c>
      <c r="F778" s="3">
        <f t="shared" si="36"/>
        <v>2024</v>
      </c>
    </row>
    <row r="779" spans="1:6" ht="15" customHeight="1" x14ac:dyDescent="0.2">
      <c r="A779" s="2">
        <v>45575</v>
      </c>
      <c r="B779" s="3">
        <v>2362.5100000000002</v>
      </c>
      <c r="C779" s="3">
        <v>130353</v>
      </c>
      <c r="D779" s="4">
        <f t="shared" si="37"/>
        <v>1.987107445392627E-3</v>
      </c>
      <c r="E779" s="4">
        <f t="shared" si="38"/>
        <v>3.0040550413403277E-3</v>
      </c>
      <c r="F779" s="3">
        <f t="shared" si="36"/>
        <v>2024</v>
      </c>
    </row>
    <row r="780" spans="1:6" ht="15" customHeight="1" x14ac:dyDescent="0.2">
      <c r="A780" s="2">
        <v>45576</v>
      </c>
      <c r="B780" s="3">
        <v>2350.1100999999999</v>
      </c>
      <c r="C780" s="3">
        <v>129992</v>
      </c>
      <c r="D780" s="4">
        <f t="shared" si="37"/>
        <v>-5.2624350586148692E-3</v>
      </c>
      <c r="E780" s="4">
        <f t="shared" si="38"/>
        <v>-2.7732449739193235E-3</v>
      </c>
      <c r="F780" s="3">
        <f t="shared" si="36"/>
        <v>2024</v>
      </c>
    </row>
    <row r="781" spans="1:6" ht="15" customHeight="1" x14ac:dyDescent="0.2">
      <c r="A781" s="2">
        <v>45579</v>
      </c>
      <c r="B781" s="3">
        <v>2374.9099000000001</v>
      </c>
      <c r="C781" s="3">
        <v>131005</v>
      </c>
      <c r="D781" s="4">
        <f t="shared" si="37"/>
        <v>1.0497321802458603E-2</v>
      </c>
      <c r="E781" s="4">
        <f t="shared" si="38"/>
        <v>7.7625803112303972E-3</v>
      </c>
      <c r="F781" s="3">
        <f t="shared" si="36"/>
        <v>2024</v>
      </c>
    </row>
    <row r="782" spans="1:6" ht="15" customHeight="1" x14ac:dyDescent="0.2">
      <c r="A782" s="2">
        <v>45580</v>
      </c>
      <c r="B782" s="3">
        <v>2382.6698999999999</v>
      </c>
      <c r="C782" s="3">
        <v>131043</v>
      </c>
      <c r="D782" s="4">
        <f t="shared" si="37"/>
        <v>3.2621657262154025E-3</v>
      </c>
      <c r="E782" s="4">
        <f t="shared" si="38"/>
        <v>2.9002320388894608E-4</v>
      </c>
      <c r="F782" s="3">
        <f t="shared" si="36"/>
        <v>2024</v>
      </c>
    </row>
    <row r="783" spans="1:6" ht="15" customHeight="1" x14ac:dyDescent="0.2">
      <c r="A783" s="2">
        <v>45581</v>
      </c>
      <c r="B783" s="3">
        <v>2396.6898999999999</v>
      </c>
      <c r="C783" s="3">
        <v>131750</v>
      </c>
      <c r="D783" s="4">
        <f t="shared" si="37"/>
        <v>5.8669113862358608E-3</v>
      </c>
      <c r="E783" s="4">
        <f t="shared" si="38"/>
        <v>5.380673805877023E-3</v>
      </c>
      <c r="F783" s="3">
        <f t="shared" si="36"/>
        <v>2024</v>
      </c>
    </row>
    <row r="784" spans="1:6" ht="15" customHeight="1" x14ac:dyDescent="0.2">
      <c r="A784" s="2">
        <v>45582</v>
      </c>
      <c r="B784" s="3">
        <v>2381.0100000000002</v>
      </c>
      <c r="C784" s="3">
        <v>130793</v>
      </c>
      <c r="D784" s="4">
        <f t="shared" si="37"/>
        <v>-6.5638096254224407E-3</v>
      </c>
      <c r="E784" s="4">
        <f t="shared" si="38"/>
        <v>-7.2902666500213615E-3</v>
      </c>
      <c r="F784" s="3">
        <f t="shared" si="36"/>
        <v>2024</v>
      </c>
    </row>
    <row r="785" spans="1:6" ht="15" customHeight="1" x14ac:dyDescent="0.2">
      <c r="A785" s="2">
        <v>45583</v>
      </c>
      <c r="B785" s="3">
        <v>2378.1100999999999</v>
      </c>
      <c r="C785" s="3">
        <v>130499</v>
      </c>
      <c r="D785" s="4">
        <f t="shared" si="37"/>
        <v>-1.2186708038325013E-3</v>
      </c>
      <c r="E785" s="4">
        <f t="shared" si="38"/>
        <v>-2.2503568733109975E-3</v>
      </c>
      <c r="F785" s="3">
        <f t="shared" si="36"/>
        <v>2024</v>
      </c>
    </row>
    <row r="786" spans="1:6" ht="15" customHeight="1" x14ac:dyDescent="0.2">
      <c r="A786" s="2">
        <v>45586</v>
      </c>
      <c r="B786" s="3">
        <v>2381.6999999999998</v>
      </c>
      <c r="C786" s="3">
        <v>130362</v>
      </c>
      <c r="D786" s="4">
        <f t="shared" si="37"/>
        <v>1.5084218089650263E-3</v>
      </c>
      <c r="E786" s="4">
        <f t="shared" si="38"/>
        <v>-1.0503679169802341E-3</v>
      </c>
      <c r="F786" s="3">
        <f t="shared" si="36"/>
        <v>2024</v>
      </c>
    </row>
    <row r="787" spans="1:6" ht="15" customHeight="1" x14ac:dyDescent="0.2">
      <c r="A787" s="2">
        <v>45587</v>
      </c>
      <c r="B787" s="3">
        <v>2369.3899000000001</v>
      </c>
      <c r="C787" s="3">
        <v>129951</v>
      </c>
      <c r="D787" s="4">
        <f t="shared" si="37"/>
        <v>-5.182022570139405E-3</v>
      </c>
      <c r="E787" s="4">
        <f t="shared" si="38"/>
        <v>-3.1577396558577276E-3</v>
      </c>
      <c r="F787" s="3">
        <f t="shared" si="36"/>
        <v>2024</v>
      </c>
    </row>
    <row r="788" spans="1:6" ht="15" customHeight="1" x14ac:dyDescent="0.2">
      <c r="A788" s="2">
        <v>45588</v>
      </c>
      <c r="B788" s="3">
        <v>2366.8200999999999</v>
      </c>
      <c r="C788" s="3">
        <v>129233</v>
      </c>
      <c r="D788" s="4">
        <f t="shared" si="37"/>
        <v>-1.0851715832628193E-3</v>
      </c>
      <c r="E788" s="4">
        <f t="shared" si="38"/>
        <v>-5.5404796337565256E-3</v>
      </c>
      <c r="F788" s="3">
        <f t="shared" si="36"/>
        <v>2024</v>
      </c>
    </row>
    <row r="789" spans="1:6" ht="15" customHeight="1" x14ac:dyDescent="0.2">
      <c r="A789" s="2">
        <v>45589</v>
      </c>
      <c r="B789" s="3">
        <v>2385.0801000000001</v>
      </c>
      <c r="C789" s="3">
        <v>130067</v>
      </c>
      <c r="D789" s="4">
        <f t="shared" si="37"/>
        <v>7.6853844183666616E-3</v>
      </c>
      <c r="E789" s="4">
        <f t="shared" si="38"/>
        <v>6.4327256143859998E-3</v>
      </c>
      <c r="F789" s="3">
        <f t="shared" si="36"/>
        <v>2024</v>
      </c>
    </row>
    <row r="790" spans="1:6" ht="15" customHeight="1" x14ac:dyDescent="0.2">
      <c r="A790" s="2">
        <v>45590</v>
      </c>
      <c r="B790" s="3">
        <v>2365.5300000000002</v>
      </c>
      <c r="C790" s="3">
        <v>129893</v>
      </c>
      <c r="D790" s="4">
        <f t="shared" si="37"/>
        <v>-8.2306103651785447E-3</v>
      </c>
      <c r="E790" s="4">
        <f t="shared" si="38"/>
        <v>-1.3386676872169329E-3</v>
      </c>
      <c r="F790" s="3">
        <f t="shared" si="36"/>
        <v>2024</v>
      </c>
    </row>
    <row r="791" spans="1:6" ht="15" customHeight="1" x14ac:dyDescent="0.2">
      <c r="A791" s="2">
        <v>45593</v>
      </c>
      <c r="B791" s="3">
        <v>2391.5300000000002</v>
      </c>
      <c r="C791" s="3">
        <v>131213</v>
      </c>
      <c r="D791" s="4">
        <f t="shared" si="37"/>
        <v>1.093123017089106E-2</v>
      </c>
      <c r="E791" s="4">
        <f t="shared" si="38"/>
        <v>1.0110922348497786E-2</v>
      </c>
      <c r="F791" s="3">
        <f t="shared" si="36"/>
        <v>2024</v>
      </c>
    </row>
    <row r="792" spans="1:6" ht="15" customHeight="1" x14ac:dyDescent="0.2">
      <c r="A792" s="2">
        <v>45594</v>
      </c>
      <c r="B792" s="3">
        <v>2381.6201000000001</v>
      </c>
      <c r="C792" s="3">
        <v>130730</v>
      </c>
      <c r="D792" s="4">
        <f t="shared" si="37"/>
        <v>-4.1523580995011999E-3</v>
      </c>
      <c r="E792" s="4">
        <f t="shared" si="38"/>
        <v>-3.6878293934430274E-3</v>
      </c>
      <c r="F792" s="3">
        <f t="shared" si="36"/>
        <v>2024</v>
      </c>
    </row>
    <row r="793" spans="1:6" ht="15" customHeight="1" x14ac:dyDescent="0.2">
      <c r="A793" s="2">
        <v>45595</v>
      </c>
      <c r="B793" s="3">
        <v>2381.23</v>
      </c>
      <c r="C793" s="3">
        <v>130639</v>
      </c>
      <c r="D793" s="4">
        <f t="shared" si="37"/>
        <v>-1.6380948074449196E-4</v>
      </c>
      <c r="E793" s="4">
        <f t="shared" si="38"/>
        <v>-6.963335642482905E-4</v>
      </c>
      <c r="F793" s="3">
        <f t="shared" si="36"/>
        <v>2024</v>
      </c>
    </row>
    <row r="794" spans="1:6" ht="15" customHeight="1" x14ac:dyDescent="0.2">
      <c r="A794" s="2">
        <v>45596</v>
      </c>
      <c r="B794" s="3">
        <v>2365.4198999999999</v>
      </c>
      <c r="C794" s="3">
        <v>129713</v>
      </c>
      <c r="D794" s="4">
        <f t="shared" si="37"/>
        <v>-6.6616071545690441E-3</v>
      </c>
      <c r="E794" s="4">
        <f t="shared" si="38"/>
        <v>-7.113476406936603E-3</v>
      </c>
      <c r="F794" s="3">
        <f t="shared" si="36"/>
        <v>2024</v>
      </c>
    </row>
    <row r="795" spans="1:6" ht="15" customHeight="1" x14ac:dyDescent="0.2">
      <c r="A795" s="2">
        <v>45597</v>
      </c>
      <c r="B795" s="3">
        <v>2337.9499999999998</v>
      </c>
      <c r="C795" s="3">
        <v>128121</v>
      </c>
      <c r="D795" s="4">
        <f t="shared" si="37"/>
        <v>-1.168107673153421E-2</v>
      </c>
      <c r="E795" s="4">
        <f t="shared" si="38"/>
        <v>-1.2349187709445274E-2</v>
      </c>
      <c r="F795" s="3">
        <f t="shared" si="36"/>
        <v>2024</v>
      </c>
    </row>
    <row r="796" spans="1:6" ht="15" customHeight="1" x14ac:dyDescent="0.2">
      <c r="A796" s="2">
        <v>45600</v>
      </c>
      <c r="B796" s="3">
        <v>2393.98</v>
      </c>
      <c r="C796" s="3">
        <v>130515</v>
      </c>
      <c r="D796" s="4">
        <f t="shared" si="37"/>
        <v>2.3682775860636059E-2</v>
      </c>
      <c r="E796" s="4">
        <f t="shared" si="38"/>
        <v>1.8513032792958968E-2</v>
      </c>
      <c r="F796" s="3">
        <f t="shared" si="36"/>
        <v>2024</v>
      </c>
    </row>
    <row r="797" spans="1:6" ht="15" customHeight="1" x14ac:dyDescent="0.2">
      <c r="A797" s="2">
        <v>45601</v>
      </c>
      <c r="B797" s="3">
        <v>2402.6999999999998</v>
      </c>
      <c r="C797" s="3">
        <v>130661</v>
      </c>
      <c r="D797" s="4">
        <f t="shared" si="37"/>
        <v>3.6358521336049515E-3</v>
      </c>
      <c r="E797" s="4">
        <f t="shared" si="38"/>
        <v>1.1180201489259976E-3</v>
      </c>
      <c r="F797" s="3">
        <f t="shared" si="36"/>
        <v>2024</v>
      </c>
    </row>
    <row r="798" spans="1:6" ht="15" customHeight="1" x14ac:dyDescent="0.2">
      <c r="A798" s="2">
        <v>45602</v>
      </c>
      <c r="B798" s="3">
        <v>2401.46</v>
      </c>
      <c r="C798" s="3">
        <v>130341</v>
      </c>
      <c r="D798" s="4">
        <f t="shared" si="37"/>
        <v>-5.1621928809043047E-4</v>
      </c>
      <c r="E798" s="4">
        <f t="shared" si="38"/>
        <v>-2.4520897183915968E-3</v>
      </c>
      <c r="F798" s="3">
        <f t="shared" si="36"/>
        <v>2024</v>
      </c>
    </row>
    <row r="799" spans="1:6" ht="15" customHeight="1" x14ac:dyDescent="0.2">
      <c r="A799" s="2">
        <v>45603</v>
      </c>
      <c r="B799" s="3">
        <v>2369.1898999999999</v>
      </c>
      <c r="C799" s="3">
        <v>129682</v>
      </c>
      <c r="D799" s="4">
        <f t="shared" si="37"/>
        <v>-1.3528803358309725E-2</v>
      </c>
      <c r="E799" s="4">
        <f t="shared" si="38"/>
        <v>-5.0687932294827976E-3</v>
      </c>
      <c r="F799" s="3">
        <f t="shared" si="36"/>
        <v>2024</v>
      </c>
    </row>
    <row r="800" spans="1:6" ht="15" customHeight="1" x14ac:dyDescent="0.2">
      <c r="A800" s="2">
        <v>45604</v>
      </c>
      <c r="B800" s="3">
        <v>2341.3200999999999</v>
      </c>
      <c r="C800" s="3">
        <v>127830</v>
      </c>
      <c r="D800" s="4">
        <f t="shared" si="37"/>
        <v>-1.1833166770590023E-2</v>
      </c>
      <c r="E800" s="4">
        <f t="shared" si="38"/>
        <v>-1.4384043707218757E-2</v>
      </c>
      <c r="F800" s="3">
        <f t="shared" si="36"/>
        <v>2024</v>
      </c>
    </row>
    <row r="801" spans="1:6" ht="15" customHeight="1" x14ac:dyDescent="0.2">
      <c r="A801" s="2">
        <v>45607</v>
      </c>
      <c r="B801" s="3">
        <v>2355.4299000000001</v>
      </c>
      <c r="C801" s="3">
        <v>127874</v>
      </c>
      <c r="D801" s="4">
        <f t="shared" si="37"/>
        <v>6.0083429806457754E-3</v>
      </c>
      <c r="E801" s="4">
        <f t="shared" si="38"/>
        <v>3.4414792443029566E-4</v>
      </c>
      <c r="F801" s="3">
        <f t="shared" si="36"/>
        <v>2024</v>
      </c>
    </row>
    <row r="802" spans="1:6" ht="15" customHeight="1" x14ac:dyDescent="0.2">
      <c r="A802" s="2">
        <v>45608</v>
      </c>
      <c r="B802" s="3">
        <v>2351</v>
      </c>
      <c r="C802" s="3">
        <v>127698</v>
      </c>
      <c r="D802" s="4">
        <f t="shared" si="37"/>
        <v>-1.8824890213324436E-3</v>
      </c>
      <c r="E802" s="4">
        <f t="shared" si="38"/>
        <v>-1.3773028956389911E-3</v>
      </c>
      <c r="F802" s="3">
        <f t="shared" si="36"/>
        <v>2024</v>
      </c>
    </row>
    <row r="803" spans="1:6" ht="15" customHeight="1" x14ac:dyDescent="0.2">
      <c r="A803" s="2">
        <v>45609</v>
      </c>
      <c r="B803" s="3">
        <v>2354.6201000000001</v>
      </c>
      <c r="C803" s="3">
        <v>127734</v>
      </c>
      <c r="D803" s="4">
        <f t="shared" si="37"/>
        <v>1.5386285493717657E-3</v>
      </c>
      <c r="E803" s="4">
        <f t="shared" si="38"/>
        <v>2.8187541293466309E-4</v>
      </c>
      <c r="F803" s="3">
        <f t="shared" si="36"/>
        <v>2024</v>
      </c>
    </row>
    <row r="804" spans="1:6" ht="15" customHeight="1" x14ac:dyDescent="0.2">
      <c r="A804" s="2">
        <v>45610</v>
      </c>
      <c r="B804" s="3">
        <v>2349.46</v>
      </c>
      <c r="C804" s="3">
        <v>127792</v>
      </c>
      <c r="D804" s="4">
        <f t="shared" si="37"/>
        <v>-2.19388359041076E-3</v>
      </c>
      <c r="E804" s="4">
        <f t="shared" si="38"/>
        <v>4.5396555337685678E-4</v>
      </c>
      <c r="F804" s="3">
        <f t="shared" si="36"/>
        <v>2024</v>
      </c>
    </row>
    <row r="805" spans="1:6" ht="15" customHeight="1" x14ac:dyDescent="0.2">
      <c r="A805" s="2">
        <v>45614</v>
      </c>
      <c r="B805" s="3">
        <v>2335.0700999999999</v>
      </c>
      <c r="C805" s="3">
        <v>127768</v>
      </c>
      <c r="D805" s="4">
        <f t="shared" si="37"/>
        <v>-6.1436024333902974E-3</v>
      </c>
      <c r="E805" s="4">
        <f t="shared" si="38"/>
        <v>-1.8782282102487892E-4</v>
      </c>
      <c r="F805" s="3">
        <f t="shared" si="36"/>
        <v>2024</v>
      </c>
    </row>
    <row r="806" spans="1:6" ht="15" customHeight="1" x14ac:dyDescent="0.2">
      <c r="A806" s="2">
        <v>45615</v>
      </c>
      <c r="B806" s="3">
        <v>2346.5900999999999</v>
      </c>
      <c r="C806" s="3">
        <v>128197</v>
      </c>
      <c r="D806" s="4">
        <f t="shared" si="37"/>
        <v>4.9213410451293734E-3</v>
      </c>
      <c r="E806" s="4">
        <f t="shared" si="38"/>
        <v>3.3520239227176553E-3</v>
      </c>
      <c r="F806" s="3">
        <f t="shared" si="36"/>
        <v>2024</v>
      </c>
    </row>
    <row r="807" spans="1:6" ht="15" customHeight="1" x14ac:dyDescent="0.2">
      <c r="A807" s="2">
        <v>45617</v>
      </c>
      <c r="B807" s="3">
        <v>2316.5900999999999</v>
      </c>
      <c r="C807" s="3">
        <v>126922</v>
      </c>
      <c r="D807" s="4">
        <f t="shared" si="37"/>
        <v>-1.2866933125928983E-2</v>
      </c>
      <c r="E807" s="4">
        <f t="shared" si="38"/>
        <v>-9.9954187281178462E-3</v>
      </c>
      <c r="F807" s="3">
        <f t="shared" si="36"/>
        <v>2024</v>
      </c>
    </row>
    <row r="808" spans="1:6" ht="15" customHeight="1" x14ac:dyDescent="0.2">
      <c r="A808" s="2">
        <v>45618</v>
      </c>
      <c r="B808" s="3">
        <v>2353.8798999999999</v>
      </c>
      <c r="C808" s="3">
        <v>129126</v>
      </c>
      <c r="D808" s="4">
        <f t="shared" si="37"/>
        <v>1.596866799263371E-2</v>
      </c>
      <c r="E808" s="4">
        <f t="shared" si="38"/>
        <v>1.7215947294894791E-2</v>
      </c>
      <c r="F808" s="3">
        <f t="shared" si="36"/>
        <v>2024</v>
      </c>
    </row>
    <row r="809" spans="1:6" ht="15" customHeight="1" x14ac:dyDescent="0.2">
      <c r="A809" s="2">
        <v>45621</v>
      </c>
      <c r="B809" s="3">
        <v>2356.5601000000001</v>
      </c>
      <c r="C809" s="3">
        <v>129036</v>
      </c>
      <c r="D809" s="4">
        <f t="shared" si="37"/>
        <v>1.1379829864045239E-3</v>
      </c>
      <c r="E809" s="4">
        <f t="shared" si="38"/>
        <v>-6.9723664711335764E-4</v>
      </c>
      <c r="F809" s="3">
        <f t="shared" si="36"/>
        <v>2024</v>
      </c>
    </row>
    <row r="810" spans="1:6" ht="15" customHeight="1" x14ac:dyDescent="0.2">
      <c r="A810" s="2">
        <v>45622</v>
      </c>
      <c r="B810" s="3">
        <v>2385.5601000000001</v>
      </c>
      <c r="C810" s="3">
        <v>129922</v>
      </c>
      <c r="D810" s="4">
        <f t="shared" si="37"/>
        <v>1.2230968554612143E-2</v>
      </c>
      <c r="E810" s="4">
        <f t="shared" si="38"/>
        <v>6.8428351871603586E-3</v>
      </c>
      <c r="F810" s="3">
        <f t="shared" si="36"/>
        <v>2024</v>
      </c>
    </row>
    <row r="811" spans="1:6" ht="15" customHeight="1" x14ac:dyDescent="0.2">
      <c r="A811" s="2">
        <v>45623</v>
      </c>
      <c r="B811" s="3">
        <v>2328.0300000000002</v>
      </c>
      <c r="C811" s="3">
        <v>127669</v>
      </c>
      <c r="D811" s="4">
        <f t="shared" si="37"/>
        <v>-2.4411523152255893E-2</v>
      </c>
      <c r="E811" s="4">
        <f t="shared" si="38"/>
        <v>-1.7493293275629644E-2</v>
      </c>
      <c r="F811" s="3">
        <f t="shared" si="36"/>
        <v>2024</v>
      </c>
    </row>
    <row r="812" spans="1:6" ht="15" customHeight="1" x14ac:dyDescent="0.2">
      <c r="A812" s="2">
        <v>45624</v>
      </c>
      <c r="B812" s="3">
        <v>2259.2600000000002</v>
      </c>
      <c r="C812" s="3">
        <v>124610</v>
      </c>
      <c r="D812" s="4">
        <f t="shared" si="37"/>
        <v>-2.9985090346317092E-2</v>
      </c>
      <c r="E812" s="4">
        <f t="shared" si="38"/>
        <v>-2.4252117153144251E-2</v>
      </c>
      <c r="F812" s="3">
        <f t="shared" si="36"/>
        <v>2024</v>
      </c>
    </row>
    <row r="813" spans="1:6" ht="15" customHeight="1" x14ac:dyDescent="0.2">
      <c r="A813" s="2">
        <v>45625</v>
      </c>
      <c r="B813" s="3">
        <v>2276.1999999999998</v>
      </c>
      <c r="C813" s="3">
        <v>125668</v>
      </c>
      <c r="D813" s="4">
        <f t="shared" si="37"/>
        <v>7.4700598278712241E-3</v>
      </c>
      <c r="E813" s="4">
        <f t="shared" si="38"/>
        <v>8.4546488484139714E-3</v>
      </c>
      <c r="F813" s="3">
        <f t="shared" si="36"/>
        <v>2024</v>
      </c>
    </row>
    <row r="814" spans="1:6" ht="15" customHeight="1" x14ac:dyDescent="0.2">
      <c r="A814" s="2">
        <v>45628</v>
      </c>
      <c r="B814" s="3">
        <v>2264.75</v>
      </c>
      <c r="C814" s="3">
        <v>125236</v>
      </c>
      <c r="D814" s="4">
        <f t="shared" si="37"/>
        <v>-5.0430082983922032E-3</v>
      </c>
      <c r="E814" s="4">
        <f t="shared" si="38"/>
        <v>-3.4435515327743906E-3</v>
      </c>
      <c r="F814" s="3">
        <f t="shared" si="36"/>
        <v>2024</v>
      </c>
    </row>
    <row r="815" spans="1:6" ht="15" customHeight="1" x14ac:dyDescent="0.2">
      <c r="A815" s="2">
        <v>45629</v>
      </c>
      <c r="B815" s="3">
        <v>2284.1399000000001</v>
      </c>
      <c r="C815" s="3">
        <v>126139</v>
      </c>
      <c r="D815" s="4">
        <f t="shared" si="37"/>
        <v>8.5251645398068156E-3</v>
      </c>
      <c r="E815" s="4">
        <f t="shared" si="38"/>
        <v>7.1845162342834626E-3</v>
      </c>
      <c r="F815" s="3">
        <f t="shared" si="36"/>
        <v>2024</v>
      </c>
    </row>
    <row r="816" spans="1:6" ht="15" customHeight="1" x14ac:dyDescent="0.2">
      <c r="A816" s="2">
        <v>45630</v>
      </c>
      <c r="B816" s="3">
        <v>2294.8798999999999</v>
      </c>
      <c r="C816" s="3">
        <v>126087</v>
      </c>
      <c r="D816" s="4">
        <f t="shared" si="37"/>
        <v>4.690968881434777E-3</v>
      </c>
      <c r="E816" s="4">
        <f t="shared" si="38"/>
        <v>-4.1232863175672593E-4</v>
      </c>
      <c r="F816" s="3">
        <f t="shared" si="36"/>
        <v>2024</v>
      </c>
    </row>
    <row r="817" spans="1:6" ht="15" customHeight="1" x14ac:dyDescent="0.2">
      <c r="A817" s="2">
        <v>45631</v>
      </c>
      <c r="B817" s="3">
        <v>2327.5</v>
      </c>
      <c r="C817" s="3">
        <v>127858</v>
      </c>
      <c r="D817" s="4">
        <f t="shared" si="37"/>
        <v>1.4114219180583412E-2</v>
      </c>
      <c r="E817" s="4">
        <f t="shared" si="38"/>
        <v>1.3948128234742944E-2</v>
      </c>
      <c r="F817" s="3">
        <f t="shared" si="36"/>
        <v>2024</v>
      </c>
    </row>
    <row r="818" spans="1:6" ht="15" customHeight="1" x14ac:dyDescent="0.2">
      <c r="A818" s="2">
        <v>45632</v>
      </c>
      <c r="B818" s="3">
        <v>2293.7199999999998</v>
      </c>
      <c r="C818" s="3">
        <v>125946</v>
      </c>
      <c r="D818" s="4">
        <f t="shared" si="37"/>
        <v>-1.4619776452946532E-2</v>
      </c>
      <c r="E818" s="4">
        <f t="shared" si="38"/>
        <v>-1.506702944776106E-2</v>
      </c>
      <c r="F818" s="3">
        <f t="shared" si="36"/>
        <v>2024</v>
      </c>
    </row>
    <row r="819" spans="1:6" ht="15" customHeight="1" x14ac:dyDescent="0.2">
      <c r="A819" s="2">
        <v>45635</v>
      </c>
      <c r="B819" s="3">
        <v>2296.73</v>
      </c>
      <c r="C819" s="3">
        <v>127210</v>
      </c>
      <c r="D819" s="4">
        <f t="shared" si="37"/>
        <v>1.3114184584901564E-3</v>
      </c>
      <c r="E819" s="4">
        <f t="shared" si="38"/>
        <v>9.9860205081951977E-3</v>
      </c>
      <c r="F819" s="3">
        <f t="shared" si="36"/>
        <v>2024</v>
      </c>
    </row>
    <row r="820" spans="1:6" ht="15" customHeight="1" x14ac:dyDescent="0.2">
      <c r="A820" s="2">
        <v>45636</v>
      </c>
      <c r="B820" s="3">
        <v>2318.9099000000001</v>
      </c>
      <c r="C820" s="3">
        <v>128228</v>
      </c>
      <c r="D820" s="4">
        <f t="shared" si="37"/>
        <v>9.6108323901110491E-3</v>
      </c>
      <c r="E820" s="4">
        <f t="shared" si="38"/>
        <v>7.9706652070838119E-3</v>
      </c>
      <c r="F820" s="3">
        <f t="shared" si="36"/>
        <v>2024</v>
      </c>
    </row>
    <row r="821" spans="1:6" ht="15" customHeight="1" x14ac:dyDescent="0.2">
      <c r="A821" s="2">
        <v>45637</v>
      </c>
      <c r="B821" s="3">
        <v>2357.1599000000001</v>
      </c>
      <c r="C821" s="3">
        <v>129593</v>
      </c>
      <c r="D821" s="4">
        <f t="shared" si="37"/>
        <v>1.6360257563373694E-2</v>
      </c>
      <c r="E821" s="4">
        <f t="shared" si="38"/>
        <v>1.0588840738572681E-2</v>
      </c>
      <c r="F821" s="3">
        <f t="shared" si="36"/>
        <v>2024</v>
      </c>
    </row>
    <row r="822" spans="1:6" ht="15" customHeight="1" x14ac:dyDescent="0.2">
      <c r="A822" s="2">
        <v>45638</v>
      </c>
      <c r="B822" s="3">
        <v>2286.71</v>
      </c>
      <c r="C822" s="3">
        <v>126042</v>
      </c>
      <c r="D822" s="4">
        <f t="shared" si="37"/>
        <v>-3.0343358800668775E-2</v>
      </c>
      <c r="E822" s="4">
        <f t="shared" si="38"/>
        <v>-2.7783585372177712E-2</v>
      </c>
      <c r="F822" s="3">
        <f t="shared" si="36"/>
        <v>2024</v>
      </c>
    </row>
    <row r="823" spans="1:6" ht="15" customHeight="1" x14ac:dyDescent="0.2">
      <c r="A823" s="2">
        <v>45639</v>
      </c>
      <c r="B823" s="3">
        <v>2259.25</v>
      </c>
      <c r="C823" s="3">
        <v>124612</v>
      </c>
      <c r="D823" s="4">
        <f t="shared" si="37"/>
        <v>-1.208120352751656E-2</v>
      </c>
      <c r="E823" s="4">
        <f t="shared" si="38"/>
        <v>-1.1410274839385441E-2</v>
      </c>
      <c r="F823" s="3">
        <f t="shared" si="36"/>
        <v>2024</v>
      </c>
    </row>
    <row r="824" spans="1:6" ht="15" customHeight="1" x14ac:dyDescent="0.2">
      <c r="A824" s="2">
        <v>45642</v>
      </c>
      <c r="B824" s="3">
        <v>2234.7399999999998</v>
      </c>
      <c r="C824" s="3">
        <v>123560</v>
      </c>
      <c r="D824" s="4">
        <f t="shared" si="37"/>
        <v>-1.0908009597579741E-2</v>
      </c>
      <c r="E824" s="4">
        <f t="shared" si="38"/>
        <v>-8.4780418518320064E-3</v>
      </c>
      <c r="F824" s="3">
        <f t="shared" si="36"/>
        <v>2024</v>
      </c>
    </row>
    <row r="825" spans="1:6" ht="15" customHeight="1" x14ac:dyDescent="0.2">
      <c r="A825" s="2">
        <v>45643</v>
      </c>
      <c r="B825" s="3">
        <v>2253.1999999999998</v>
      </c>
      <c r="C825" s="3">
        <v>124698</v>
      </c>
      <c r="D825" s="4">
        <f t="shared" si="37"/>
        <v>8.2265378360734404E-3</v>
      </c>
      <c r="E825" s="4">
        <f t="shared" si="38"/>
        <v>9.1679460146100594E-3</v>
      </c>
      <c r="F825" s="3">
        <f t="shared" si="36"/>
        <v>2024</v>
      </c>
    </row>
    <row r="826" spans="1:6" ht="15" customHeight="1" x14ac:dyDescent="0.2">
      <c r="A826" s="2">
        <v>45644</v>
      </c>
      <c r="B826" s="3">
        <v>2177.4398999999999</v>
      </c>
      <c r="C826" s="3">
        <v>120772</v>
      </c>
      <c r="D826" s="4">
        <f t="shared" si="37"/>
        <v>-3.4201599134042943E-2</v>
      </c>
      <c r="E826" s="4">
        <f t="shared" si="38"/>
        <v>-3.1990343510755311E-2</v>
      </c>
      <c r="F826" s="3">
        <f t="shared" si="36"/>
        <v>2024</v>
      </c>
    </row>
    <row r="827" spans="1:6" ht="15" customHeight="1" x14ac:dyDescent="0.2">
      <c r="A827" s="2">
        <v>45645</v>
      </c>
      <c r="B827" s="3">
        <v>2197.6399000000001</v>
      </c>
      <c r="C827" s="3">
        <v>121188</v>
      </c>
      <c r="D827" s="4">
        <f t="shared" si="37"/>
        <v>9.2341829000946868E-3</v>
      </c>
      <c r="E827" s="4">
        <f t="shared" si="38"/>
        <v>3.438588278184418E-3</v>
      </c>
      <c r="F827" s="3">
        <f t="shared" si="36"/>
        <v>2024</v>
      </c>
    </row>
    <row r="828" spans="1:6" ht="15" customHeight="1" x14ac:dyDescent="0.2">
      <c r="A828" s="2">
        <v>45646</v>
      </c>
      <c r="B828" s="3">
        <v>2216.52</v>
      </c>
      <c r="C828" s="3">
        <v>122102</v>
      </c>
      <c r="D828" s="4">
        <f t="shared" si="37"/>
        <v>8.5543865926182346E-3</v>
      </c>
      <c r="E828" s="4">
        <f t="shared" si="38"/>
        <v>7.5137021664678609E-3</v>
      </c>
      <c r="F828" s="3">
        <f t="shared" si="36"/>
        <v>2024</v>
      </c>
    </row>
    <row r="829" spans="1:6" ht="15" customHeight="1" x14ac:dyDescent="0.2">
      <c r="A829" s="2">
        <v>45649</v>
      </c>
      <c r="B829" s="3">
        <v>2182.3899000000001</v>
      </c>
      <c r="C829" s="3">
        <v>120767</v>
      </c>
      <c r="D829" s="4">
        <f t="shared" si="37"/>
        <v>-1.551783767334595E-2</v>
      </c>
      <c r="E829" s="4">
        <f t="shared" si="38"/>
        <v>-1.0993691626247833E-2</v>
      </c>
      <c r="F829" s="3">
        <f t="shared" si="36"/>
        <v>2024</v>
      </c>
    </row>
    <row r="830" spans="1:6" ht="15" customHeight="1" x14ac:dyDescent="0.2">
      <c r="A830" s="2">
        <v>45652</v>
      </c>
      <c r="B830" s="3">
        <v>2183.4899999999998</v>
      </c>
      <c r="C830" s="3">
        <v>121078</v>
      </c>
      <c r="D830" s="4">
        <f t="shared" si="37"/>
        <v>5.0395340617696014E-4</v>
      </c>
      <c r="E830" s="4">
        <f t="shared" si="38"/>
        <v>2.5718966398290137E-3</v>
      </c>
      <c r="F830" s="3">
        <f t="shared" si="36"/>
        <v>2024</v>
      </c>
    </row>
    <row r="831" spans="1:6" ht="15" customHeight="1" x14ac:dyDescent="0.2">
      <c r="A831" s="2">
        <v>45653</v>
      </c>
      <c r="B831" s="3">
        <v>2167.4198999999999</v>
      </c>
      <c r="C831" s="3">
        <v>120269</v>
      </c>
      <c r="D831" s="4">
        <f t="shared" si="37"/>
        <v>-7.3870401575173734E-3</v>
      </c>
      <c r="E831" s="4">
        <f t="shared" si="38"/>
        <v>-6.704065349936698E-3</v>
      </c>
      <c r="F831" s="3">
        <f t="shared" si="36"/>
        <v>2024</v>
      </c>
    </row>
    <row r="832" spans="1:6" ht="15" customHeight="1" x14ac:dyDescent="0.2">
      <c r="A832" s="2">
        <v>45656</v>
      </c>
      <c r="B832" s="3">
        <v>2164.54</v>
      </c>
      <c r="C832" s="3">
        <v>120283</v>
      </c>
      <c r="D832" s="4">
        <f t="shared" si="37"/>
        <v>-1.3296062247804765E-3</v>
      </c>
      <c r="E832" s="4">
        <f t="shared" si="38"/>
        <v>1.1639894921510464E-4</v>
      </c>
      <c r="F832" s="3">
        <f t="shared" si="36"/>
        <v>2024</v>
      </c>
    </row>
    <row r="833" spans="1:6" ht="15" customHeight="1" x14ac:dyDescent="0.2">
      <c r="A833" s="2">
        <v>45659</v>
      </c>
      <c r="B833" s="3">
        <v>2158.4198999999999</v>
      </c>
      <c r="C833" s="3">
        <v>120125</v>
      </c>
      <c r="D833" s="4">
        <f t="shared" si="37"/>
        <v>-2.8314415263336113E-3</v>
      </c>
      <c r="E833" s="4">
        <f t="shared" si="38"/>
        <v>-1.3144323212910809E-3</v>
      </c>
      <c r="F833" s="3">
        <f t="shared" si="36"/>
        <v>2025</v>
      </c>
    </row>
    <row r="834" spans="1:6" ht="15" customHeight="1" x14ac:dyDescent="0.2">
      <c r="A834" s="2">
        <v>45660</v>
      </c>
      <c r="B834" s="3">
        <v>2128.0700999999999</v>
      </c>
      <c r="C834" s="3">
        <v>118533</v>
      </c>
      <c r="D834" s="4">
        <f t="shared" si="37"/>
        <v>-1.4160913555136823E-2</v>
      </c>
      <c r="E834" s="4">
        <f t="shared" si="38"/>
        <v>-1.3341464471252271E-2</v>
      </c>
      <c r="F834" s="3">
        <f t="shared" ref="F834:F897" si="39">YEAR(A834)</f>
        <v>2025</v>
      </c>
    </row>
    <row r="835" spans="1:6" ht="15" customHeight="1" x14ac:dyDescent="0.2">
      <c r="A835" s="2">
        <v>45663</v>
      </c>
      <c r="B835" s="3">
        <v>2179.1698999999999</v>
      </c>
      <c r="C835" s="3">
        <v>120022</v>
      </c>
      <c r="D835" s="4">
        <f t="shared" ref="D835:D898" si="40">LN(B835/B834)</f>
        <v>2.3728511803286386E-2</v>
      </c>
      <c r="E835" s="4">
        <f t="shared" ref="E835:E898" si="41">LN(C835/C834)</f>
        <v>1.2483656492673228E-2</v>
      </c>
      <c r="F835" s="3">
        <f t="shared" si="39"/>
        <v>2025</v>
      </c>
    </row>
    <row r="836" spans="1:6" ht="15" customHeight="1" x14ac:dyDescent="0.2">
      <c r="A836" s="2">
        <v>45664</v>
      </c>
      <c r="B836" s="3">
        <v>2198.77</v>
      </c>
      <c r="C836" s="3">
        <v>121163</v>
      </c>
      <c r="D836" s="4">
        <f t="shared" si="40"/>
        <v>8.9540886361376675E-3</v>
      </c>
      <c r="E836" s="4">
        <f t="shared" si="41"/>
        <v>9.4616871876975275E-3</v>
      </c>
      <c r="F836" s="3">
        <f t="shared" si="39"/>
        <v>2025</v>
      </c>
    </row>
    <row r="837" spans="1:6" ht="15" customHeight="1" x14ac:dyDescent="0.2">
      <c r="A837" s="2">
        <v>45665</v>
      </c>
      <c r="B837" s="3">
        <v>2164.8600999999999</v>
      </c>
      <c r="C837" s="3">
        <v>119625</v>
      </c>
      <c r="D837" s="4">
        <f t="shared" si="40"/>
        <v>-1.5542372676663196E-2</v>
      </c>
      <c r="E837" s="4">
        <f t="shared" si="41"/>
        <v>-1.2774896726456675E-2</v>
      </c>
      <c r="F837" s="3">
        <f t="shared" si="39"/>
        <v>2025</v>
      </c>
    </row>
    <row r="838" spans="1:6" ht="15" customHeight="1" x14ac:dyDescent="0.2">
      <c r="A838" s="2">
        <v>45666</v>
      </c>
      <c r="B838" s="3">
        <v>2166.4899999999998</v>
      </c>
      <c r="C838" s="3">
        <v>119781</v>
      </c>
      <c r="D838" s="4">
        <f t="shared" si="40"/>
        <v>7.5260601858693273E-4</v>
      </c>
      <c r="E838" s="4">
        <f t="shared" si="41"/>
        <v>1.3032256675200825E-3</v>
      </c>
      <c r="F838" s="3">
        <f t="shared" si="39"/>
        <v>2025</v>
      </c>
    </row>
    <row r="839" spans="1:6" ht="15" customHeight="1" x14ac:dyDescent="0.2">
      <c r="A839" s="2">
        <v>45667</v>
      </c>
      <c r="B839" s="3">
        <v>2131.5300000000002</v>
      </c>
      <c r="C839" s="3">
        <v>118856</v>
      </c>
      <c r="D839" s="4">
        <f t="shared" si="40"/>
        <v>-1.6268314728064826E-2</v>
      </c>
      <c r="E839" s="4">
        <f t="shared" si="41"/>
        <v>-7.7523991055866402E-3</v>
      </c>
      <c r="F839" s="3">
        <f t="shared" si="39"/>
        <v>2025</v>
      </c>
    </row>
    <row r="840" spans="1:6" ht="15" customHeight="1" x14ac:dyDescent="0.2">
      <c r="A840" s="2">
        <v>45670</v>
      </c>
      <c r="B840" s="3">
        <v>2125.6898999999999</v>
      </c>
      <c r="C840" s="3">
        <v>119007</v>
      </c>
      <c r="D840" s="4">
        <f t="shared" si="40"/>
        <v>-2.7436232097996262E-3</v>
      </c>
      <c r="E840" s="4">
        <f t="shared" si="41"/>
        <v>1.2696385758534997E-3</v>
      </c>
      <c r="F840" s="3">
        <f t="shared" si="39"/>
        <v>2025</v>
      </c>
    </row>
    <row r="841" spans="1:6" ht="15" customHeight="1" x14ac:dyDescent="0.2">
      <c r="A841" s="2">
        <v>45671</v>
      </c>
      <c r="B841" s="3">
        <v>2138.7199999999998</v>
      </c>
      <c r="C841" s="3">
        <v>119299</v>
      </c>
      <c r="D841" s="4">
        <f t="shared" si="40"/>
        <v>6.1111107313882012E-3</v>
      </c>
      <c r="E841" s="4">
        <f t="shared" si="41"/>
        <v>2.4506319281611235E-3</v>
      </c>
      <c r="F841" s="3">
        <f t="shared" si="39"/>
        <v>2025</v>
      </c>
    </row>
    <row r="842" spans="1:6" ht="15" customHeight="1" x14ac:dyDescent="0.2">
      <c r="A842" s="2">
        <v>45672</v>
      </c>
      <c r="B842" s="3">
        <v>2219.2600000000002</v>
      </c>
      <c r="C842" s="3">
        <v>122650</v>
      </c>
      <c r="D842" s="4">
        <f t="shared" si="40"/>
        <v>3.6966287741924751E-2</v>
      </c>
      <c r="E842" s="4">
        <f t="shared" si="41"/>
        <v>2.7701823865432074E-2</v>
      </c>
      <c r="F842" s="3">
        <f t="shared" si="39"/>
        <v>2025</v>
      </c>
    </row>
    <row r="843" spans="1:6" ht="15" customHeight="1" x14ac:dyDescent="0.2">
      <c r="A843" s="2">
        <v>45673</v>
      </c>
      <c r="B843" s="3">
        <v>2179.5</v>
      </c>
      <c r="C843" s="3">
        <v>121234</v>
      </c>
      <c r="D843" s="4">
        <f t="shared" si="40"/>
        <v>-1.8078314286640269E-2</v>
      </c>
      <c r="E843" s="4">
        <f t="shared" si="41"/>
        <v>-1.1612208357115844E-2</v>
      </c>
      <c r="F843" s="3">
        <f t="shared" si="39"/>
        <v>2025</v>
      </c>
    </row>
    <row r="844" spans="1:6" ht="15" customHeight="1" x14ac:dyDescent="0.2">
      <c r="A844" s="2">
        <v>45674</v>
      </c>
      <c r="B844" s="3">
        <v>2188.3998999999999</v>
      </c>
      <c r="C844" s="3">
        <v>122350</v>
      </c>
      <c r="D844" s="4">
        <f t="shared" si="40"/>
        <v>4.0751448157372791E-3</v>
      </c>
      <c r="E844" s="4">
        <f t="shared" si="41"/>
        <v>9.1632275412981638E-3</v>
      </c>
      <c r="F844" s="3">
        <f t="shared" si="39"/>
        <v>2025</v>
      </c>
    </row>
    <row r="845" spans="1:6" ht="15" customHeight="1" x14ac:dyDescent="0.2">
      <c r="A845" s="2">
        <v>45677</v>
      </c>
      <c r="B845" s="3">
        <v>2200.5100000000002</v>
      </c>
      <c r="C845" s="3">
        <v>122855</v>
      </c>
      <c r="D845" s="4">
        <f t="shared" si="40"/>
        <v>5.518514168358123E-3</v>
      </c>
      <c r="E845" s="4">
        <f t="shared" si="41"/>
        <v>4.119008290983231E-3</v>
      </c>
      <c r="F845" s="3">
        <f t="shared" si="39"/>
        <v>2025</v>
      </c>
    </row>
    <row r="846" spans="1:6" ht="15" customHeight="1" x14ac:dyDescent="0.2">
      <c r="A846" s="2">
        <v>45678</v>
      </c>
      <c r="B846" s="3">
        <v>2215.6898999999999</v>
      </c>
      <c r="C846" s="3">
        <v>123338</v>
      </c>
      <c r="D846" s="4">
        <f t="shared" si="40"/>
        <v>6.8746705894561465E-3</v>
      </c>
      <c r="E846" s="4">
        <f t="shared" si="41"/>
        <v>3.9237559125013099E-3</v>
      </c>
      <c r="F846" s="3">
        <f t="shared" si="39"/>
        <v>2025</v>
      </c>
    </row>
    <row r="847" spans="1:6" ht="15" customHeight="1" x14ac:dyDescent="0.2">
      <c r="A847" s="2">
        <v>45679</v>
      </c>
      <c r="B847" s="3">
        <v>2230.1001000000001</v>
      </c>
      <c r="C847" s="3">
        <v>122972</v>
      </c>
      <c r="D847" s="4">
        <f t="shared" si="40"/>
        <v>6.4826500871110445E-3</v>
      </c>
      <c r="E847" s="4">
        <f t="shared" si="41"/>
        <v>-2.9718669106065325E-3</v>
      </c>
      <c r="F847" s="3">
        <f t="shared" si="39"/>
        <v>2025</v>
      </c>
    </row>
    <row r="848" spans="1:6" ht="15" customHeight="1" x14ac:dyDescent="0.2">
      <c r="A848" s="2">
        <v>45680</v>
      </c>
      <c r="B848" s="3">
        <v>2219.3000000000002</v>
      </c>
      <c r="C848" s="3">
        <v>122483</v>
      </c>
      <c r="D848" s="4">
        <f t="shared" si="40"/>
        <v>-4.85464151042649E-3</v>
      </c>
      <c r="E848" s="4">
        <f t="shared" si="41"/>
        <v>-3.9844423371933413E-3</v>
      </c>
      <c r="F848" s="3">
        <f t="shared" si="39"/>
        <v>2025</v>
      </c>
    </row>
    <row r="849" spans="1:6" ht="15" customHeight="1" x14ac:dyDescent="0.2">
      <c r="A849" s="2">
        <v>45681</v>
      </c>
      <c r="B849" s="3">
        <v>2216.6898999999999</v>
      </c>
      <c r="C849" s="3">
        <v>122447</v>
      </c>
      <c r="D849" s="4">
        <f t="shared" si="40"/>
        <v>-1.1767836988133111E-3</v>
      </c>
      <c r="E849" s="4">
        <f t="shared" si="41"/>
        <v>-2.9396154214868876E-4</v>
      </c>
      <c r="F849" s="3">
        <f t="shared" si="39"/>
        <v>2025</v>
      </c>
    </row>
    <row r="850" spans="1:6" ht="15" customHeight="1" x14ac:dyDescent="0.2">
      <c r="A850" s="2">
        <v>45684</v>
      </c>
      <c r="B850" s="3">
        <v>2275.4099000000001</v>
      </c>
      <c r="C850" s="3">
        <v>124862</v>
      </c>
      <c r="D850" s="4">
        <f t="shared" si="40"/>
        <v>2.6145164849642143E-2</v>
      </c>
      <c r="E850" s="4">
        <f t="shared" si="41"/>
        <v>1.9530844143188241E-2</v>
      </c>
      <c r="F850" s="3">
        <f t="shared" si="39"/>
        <v>2025</v>
      </c>
    </row>
    <row r="851" spans="1:6" ht="15" customHeight="1" x14ac:dyDescent="0.2">
      <c r="A851" s="2">
        <v>45685</v>
      </c>
      <c r="B851" s="3">
        <v>2260.8400999999999</v>
      </c>
      <c r="C851" s="3">
        <v>124056</v>
      </c>
      <c r="D851" s="4">
        <f t="shared" si="40"/>
        <v>-6.4237421223315334E-3</v>
      </c>
      <c r="E851" s="4">
        <f t="shared" si="41"/>
        <v>-6.4760508835572756E-3</v>
      </c>
      <c r="F851" s="3">
        <f t="shared" si="39"/>
        <v>2025</v>
      </c>
    </row>
    <row r="852" spans="1:6" ht="15" customHeight="1" x14ac:dyDescent="0.2">
      <c r="A852" s="2">
        <v>45686</v>
      </c>
      <c r="B852" s="3">
        <v>2254</v>
      </c>
      <c r="C852" s="3">
        <v>123432</v>
      </c>
      <c r="D852" s="4">
        <f t="shared" si="40"/>
        <v>-3.0300542574590761E-3</v>
      </c>
      <c r="E852" s="4">
        <f t="shared" si="41"/>
        <v>-5.0426794211231299E-3</v>
      </c>
      <c r="F852" s="3">
        <f t="shared" si="39"/>
        <v>2025</v>
      </c>
    </row>
    <row r="853" spans="1:6" ht="15" customHeight="1" x14ac:dyDescent="0.2">
      <c r="A853" s="2">
        <v>45687</v>
      </c>
      <c r="B853" s="3">
        <v>2328.8400999999999</v>
      </c>
      <c r="C853" s="3">
        <v>126913</v>
      </c>
      <c r="D853" s="4">
        <f t="shared" si="40"/>
        <v>3.2663916852114276E-2</v>
      </c>
      <c r="E853" s="4">
        <f t="shared" si="41"/>
        <v>2.7811415201105315E-2</v>
      </c>
      <c r="F853" s="3">
        <f t="shared" si="39"/>
        <v>2025</v>
      </c>
    </row>
    <row r="854" spans="1:6" ht="15" customHeight="1" x14ac:dyDescent="0.2">
      <c r="A854" s="2">
        <v>45688</v>
      </c>
      <c r="B854" s="3">
        <v>2312.8101000000001</v>
      </c>
      <c r="C854" s="3">
        <v>126135</v>
      </c>
      <c r="D854" s="4">
        <f t="shared" si="40"/>
        <v>-6.9070537581970926E-3</v>
      </c>
      <c r="E854" s="4">
        <f t="shared" si="41"/>
        <v>-6.1490503888589837E-3</v>
      </c>
      <c r="F854" s="3">
        <f t="shared" si="39"/>
        <v>2025</v>
      </c>
    </row>
    <row r="855" spans="1:6" ht="15" customHeight="1" x14ac:dyDescent="0.2">
      <c r="A855" s="2">
        <v>45691</v>
      </c>
      <c r="B855" s="3">
        <v>2308.4099000000001</v>
      </c>
      <c r="C855" s="3">
        <v>125970</v>
      </c>
      <c r="D855" s="4">
        <f t="shared" si="40"/>
        <v>-1.9043461812203915E-3</v>
      </c>
      <c r="E855" s="4">
        <f t="shared" si="41"/>
        <v>-1.3089785887593485E-3</v>
      </c>
      <c r="F855" s="3">
        <f t="shared" si="39"/>
        <v>2025</v>
      </c>
    </row>
    <row r="856" spans="1:6" ht="15" customHeight="1" x14ac:dyDescent="0.2">
      <c r="A856" s="2">
        <v>45692</v>
      </c>
      <c r="B856" s="3">
        <v>2295.7800000000002</v>
      </c>
      <c r="C856" s="3">
        <v>125147</v>
      </c>
      <c r="D856" s="4">
        <f t="shared" si="40"/>
        <v>-5.4862774792081934E-3</v>
      </c>
      <c r="E856" s="4">
        <f t="shared" si="41"/>
        <v>-6.5547370082615726E-3</v>
      </c>
      <c r="F856" s="3">
        <f t="shared" si="39"/>
        <v>2025</v>
      </c>
    </row>
    <row r="857" spans="1:6" ht="15" customHeight="1" x14ac:dyDescent="0.2">
      <c r="A857" s="2">
        <v>45693</v>
      </c>
      <c r="B857" s="3">
        <v>2299.1201000000001</v>
      </c>
      <c r="C857" s="3">
        <v>125534</v>
      </c>
      <c r="D857" s="4">
        <f t="shared" si="40"/>
        <v>1.4538294698978292E-3</v>
      </c>
      <c r="E857" s="4">
        <f t="shared" si="41"/>
        <v>3.0875918593463916E-3</v>
      </c>
      <c r="F857" s="3">
        <f t="shared" si="39"/>
        <v>2025</v>
      </c>
    </row>
    <row r="858" spans="1:6" ht="15" customHeight="1" x14ac:dyDescent="0.2">
      <c r="A858" s="2">
        <v>45694</v>
      </c>
      <c r="B858" s="3">
        <v>2317.6399000000001</v>
      </c>
      <c r="C858" s="3">
        <v>126225</v>
      </c>
      <c r="D858" s="4">
        <f t="shared" si="40"/>
        <v>8.0228988894433147E-3</v>
      </c>
      <c r="E858" s="4">
        <f t="shared" si="41"/>
        <v>5.489390529683085E-3</v>
      </c>
      <c r="F858" s="3">
        <f t="shared" si="39"/>
        <v>2025</v>
      </c>
    </row>
    <row r="859" spans="1:6" ht="15" customHeight="1" x14ac:dyDescent="0.2">
      <c r="A859" s="2">
        <v>45695</v>
      </c>
      <c r="B859" s="3">
        <v>2283</v>
      </c>
      <c r="C859" s="3">
        <v>124619</v>
      </c>
      <c r="D859" s="4">
        <f t="shared" si="40"/>
        <v>-1.5059015862755895E-2</v>
      </c>
      <c r="E859" s="4">
        <f t="shared" si="41"/>
        <v>-1.2804946055257282E-2</v>
      </c>
      <c r="F859" s="3">
        <f t="shared" si="39"/>
        <v>2025</v>
      </c>
    </row>
    <row r="860" spans="1:6" ht="15" customHeight="1" x14ac:dyDescent="0.2">
      <c r="A860" s="2">
        <v>45698</v>
      </c>
      <c r="B860" s="3">
        <v>2300.8899000000001</v>
      </c>
      <c r="C860" s="3">
        <v>125572</v>
      </c>
      <c r="D860" s="4">
        <f t="shared" si="40"/>
        <v>7.8055935993738513E-3</v>
      </c>
      <c r="E860" s="4">
        <f t="shared" si="41"/>
        <v>7.6182165554985028E-3</v>
      </c>
      <c r="F860" s="3">
        <f t="shared" si="39"/>
        <v>2025</v>
      </c>
    </row>
    <row r="861" spans="1:6" ht="15" customHeight="1" x14ac:dyDescent="0.2">
      <c r="A861" s="2">
        <v>45699</v>
      </c>
      <c r="B861" s="3">
        <v>2335.8301000000001</v>
      </c>
      <c r="C861" s="3">
        <v>126522</v>
      </c>
      <c r="D861" s="4">
        <f t="shared" si="40"/>
        <v>1.5071370009525482E-2</v>
      </c>
      <c r="E861" s="4">
        <f t="shared" si="41"/>
        <v>7.5369068447123299E-3</v>
      </c>
      <c r="F861" s="3">
        <f t="shared" si="39"/>
        <v>2025</v>
      </c>
    </row>
    <row r="862" spans="1:6" ht="15" customHeight="1" x14ac:dyDescent="0.2">
      <c r="A862" s="2">
        <v>45700</v>
      </c>
      <c r="B862" s="3">
        <v>2298.79</v>
      </c>
      <c r="C862" s="3">
        <v>124380</v>
      </c>
      <c r="D862" s="4">
        <f t="shared" si="40"/>
        <v>-1.5984433610272082E-2</v>
      </c>
      <c r="E862" s="4">
        <f t="shared" si="41"/>
        <v>-1.70748104141898E-2</v>
      </c>
      <c r="F862" s="3">
        <f t="shared" si="39"/>
        <v>2025</v>
      </c>
    </row>
    <row r="863" spans="1:6" ht="15" customHeight="1" x14ac:dyDescent="0.2">
      <c r="A863" s="2">
        <v>45701</v>
      </c>
      <c r="B863" s="3">
        <v>2309.3998999999999</v>
      </c>
      <c r="C863" s="3">
        <v>124850</v>
      </c>
      <c r="D863" s="4">
        <f t="shared" si="40"/>
        <v>4.6048096880415158E-3</v>
      </c>
      <c r="E863" s="4">
        <f t="shared" si="41"/>
        <v>3.7716210500390217E-3</v>
      </c>
      <c r="F863" s="3">
        <f t="shared" si="39"/>
        <v>2025</v>
      </c>
    </row>
    <row r="864" spans="1:6" ht="15" customHeight="1" x14ac:dyDescent="0.2">
      <c r="A864" s="2">
        <v>45702</v>
      </c>
      <c r="B864" s="3">
        <v>2379.3101000000001</v>
      </c>
      <c r="C864" s="3">
        <v>128219</v>
      </c>
      <c r="D864" s="4">
        <f t="shared" si="40"/>
        <v>2.9822864477902337E-2</v>
      </c>
      <c r="E864" s="4">
        <f t="shared" si="41"/>
        <v>2.6626722707610986E-2</v>
      </c>
      <c r="F864" s="3">
        <f t="shared" si="39"/>
        <v>2025</v>
      </c>
    </row>
    <row r="865" spans="1:6" ht="15" customHeight="1" x14ac:dyDescent="0.2">
      <c r="A865" s="2">
        <v>45705</v>
      </c>
      <c r="B865" s="3">
        <v>2399.5801000000001</v>
      </c>
      <c r="C865" s="3">
        <v>128552</v>
      </c>
      <c r="D865" s="4">
        <f t="shared" si="40"/>
        <v>8.4831920013427389E-3</v>
      </c>
      <c r="E865" s="4">
        <f t="shared" si="41"/>
        <v>2.593752306058867E-3</v>
      </c>
      <c r="F865" s="3">
        <f t="shared" si="39"/>
        <v>2025</v>
      </c>
    </row>
    <row r="866" spans="1:6" ht="15" customHeight="1" x14ac:dyDescent="0.2">
      <c r="A866" s="2">
        <v>45706</v>
      </c>
      <c r="B866" s="3">
        <v>2386.8600999999999</v>
      </c>
      <c r="C866" s="3">
        <v>128532</v>
      </c>
      <c r="D866" s="4">
        <f t="shared" si="40"/>
        <v>-5.3150272072640869E-3</v>
      </c>
      <c r="E866" s="4">
        <f t="shared" si="41"/>
        <v>-1.5559116895914318E-4</v>
      </c>
      <c r="F866" s="3">
        <f t="shared" si="39"/>
        <v>2025</v>
      </c>
    </row>
    <row r="867" spans="1:6" ht="15" customHeight="1" x14ac:dyDescent="0.2">
      <c r="A867" s="2">
        <v>45707</v>
      </c>
      <c r="B867" s="3">
        <v>2345.7399999999998</v>
      </c>
      <c r="C867" s="3">
        <v>127309</v>
      </c>
      <c r="D867" s="4">
        <f t="shared" si="40"/>
        <v>-1.7377819356254848E-2</v>
      </c>
      <c r="E867" s="4">
        <f t="shared" si="41"/>
        <v>-9.5606983702987928E-3</v>
      </c>
      <c r="F867" s="3">
        <f t="shared" si="39"/>
        <v>2025</v>
      </c>
    </row>
    <row r="868" spans="1:6" ht="15" customHeight="1" x14ac:dyDescent="0.2">
      <c r="A868" s="2">
        <v>45708</v>
      </c>
      <c r="B868" s="3">
        <v>2341.9699999999998</v>
      </c>
      <c r="C868" s="3">
        <v>127601</v>
      </c>
      <c r="D868" s="4">
        <f t="shared" si="40"/>
        <v>-1.6084616210455655E-3</v>
      </c>
      <c r="E868" s="4">
        <f t="shared" si="41"/>
        <v>2.2910056703818312E-3</v>
      </c>
      <c r="F868" s="3">
        <f t="shared" si="39"/>
        <v>2025</v>
      </c>
    </row>
    <row r="869" spans="1:6" ht="15" customHeight="1" x14ac:dyDescent="0.2">
      <c r="A869" s="2">
        <v>45709</v>
      </c>
      <c r="B869" s="3">
        <v>2320.9099000000001</v>
      </c>
      <c r="C869" s="3">
        <v>127128</v>
      </c>
      <c r="D869" s="4">
        <f t="shared" si="40"/>
        <v>-9.033148464567313E-3</v>
      </c>
      <c r="E869" s="4">
        <f t="shared" si="41"/>
        <v>-3.7137549602408626E-3</v>
      </c>
      <c r="F869" s="3">
        <f t="shared" si="39"/>
        <v>2025</v>
      </c>
    </row>
    <row r="870" spans="1:6" ht="15" customHeight="1" x14ac:dyDescent="0.2">
      <c r="A870" s="2">
        <v>45712</v>
      </c>
      <c r="B870" s="3">
        <v>2276.8899000000001</v>
      </c>
      <c r="C870" s="3">
        <v>125401</v>
      </c>
      <c r="D870" s="4">
        <f t="shared" si="40"/>
        <v>-1.9148874248065478E-2</v>
      </c>
      <c r="E870" s="4">
        <f t="shared" si="41"/>
        <v>-1.3677850261652285E-2</v>
      </c>
      <c r="F870" s="3">
        <f t="shared" si="39"/>
        <v>2025</v>
      </c>
    </row>
    <row r="871" spans="1:6" ht="15" customHeight="1" x14ac:dyDescent="0.2">
      <c r="A871" s="2">
        <v>45713</v>
      </c>
      <c r="B871" s="3">
        <v>2297.5900999999999</v>
      </c>
      <c r="C871" s="3">
        <v>125980</v>
      </c>
      <c r="D871" s="4">
        <f t="shared" si="40"/>
        <v>9.0503582020989848E-3</v>
      </c>
      <c r="E871" s="4">
        <f t="shared" si="41"/>
        <v>4.6065615451000054E-3</v>
      </c>
      <c r="F871" s="3">
        <f t="shared" si="39"/>
        <v>2025</v>
      </c>
    </row>
    <row r="872" spans="1:6" ht="15" customHeight="1" x14ac:dyDescent="0.2">
      <c r="A872" s="2">
        <v>45714</v>
      </c>
      <c r="B872" s="3">
        <v>2262.5300000000002</v>
      </c>
      <c r="C872" s="3">
        <v>124769</v>
      </c>
      <c r="D872" s="4">
        <f t="shared" si="40"/>
        <v>-1.5377134845929856E-2</v>
      </c>
      <c r="E872" s="4">
        <f t="shared" si="41"/>
        <v>-9.6591365501059508E-3</v>
      </c>
      <c r="F872" s="3">
        <f t="shared" si="39"/>
        <v>2025</v>
      </c>
    </row>
    <row r="873" spans="1:6" ht="15" customHeight="1" x14ac:dyDescent="0.2">
      <c r="A873" s="2">
        <v>45715</v>
      </c>
      <c r="B873" s="3">
        <v>2279.7199999999998</v>
      </c>
      <c r="C873" s="3">
        <v>124799</v>
      </c>
      <c r="D873" s="4">
        <f t="shared" si="40"/>
        <v>7.5689722348624179E-3</v>
      </c>
      <c r="E873" s="4">
        <f t="shared" si="41"/>
        <v>2.4041543903455525E-4</v>
      </c>
      <c r="F873" s="3">
        <f t="shared" si="39"/>
        <v>2025</v>
      </c>
    </row>
    <row r="874" spans="1:6" ht="15" customHeight="1" x14ac:dyDescent="0.2">
      <c r="A874" s="2">
        <v>45716</v>
      </c>
      <c r="B874" s="3">
        <v>2227.21</v>
      </c>
      <c r="C874" s="3">
        <v>122799</v>
      </c>
      <c r="D874" s="4">
        <f t="shared" si="40"/>
        <v>-2.3302947316993814E-2</v>
      </c>
      <c r="E874" s="4">
        <f t="shared" si="41"/>
        <v>-1.6155570725302146E-2</v>
      </c>
      <c r="F874" s="3">
        <f t="shared" si="39"/>
        <v>2025</v>
      </c>
    </row>
    <row r="875" spans="1:6" ht="15" customHeight="1" x14ac:dyDescent="0.2">
      <c r="A875" s="2">
        <v>45721</v>
      </c>
      <c r="B875" s="3">
        <v>2248.29</v>
      </c>
      <c r="C875" s="3">
        <v>123047</v>
      </c>
      <c r="D875" s="4">
        <f t="shared" si="40"/>
        <v>9.4202461795075236E-3</v>
      </c>
      <c r="E875" s="4">
        <f t="shared" si="41"/>
        <v>2.0175238492523831E-3</v>
      </c>
      <c r="F875" s="3">
        <f t="shared" si="39"/>
        <v>2025</v>
      </c>
    </row>
    <row r="876" spans="1:6" ht="15" customHeight="1" x14ac:dyDescent="0.2">
      <c r="A876" s="2">
        <v>45722</v>
      </c>
      <c r="B876" s="3">
        <v>2259.0300000000002</v>
      </c>
      <c r="C876" s="3">
        <v>123358</v>
      </c>
      <c r="D876" s="4">
        <f t="shared" si="40"/>
        <v>4.765590340248458E-3</v>
      </c>
      <c r="E876" s="4">
        <f t="shared" si="41"/>
        <v>2.5243007661649598E-3</v>
      </c>
      <c r="F876" s="3">
        <f t="shared" si="39"/>
        <v>2025</v>
      </c>
    </row>
    <row r="877" spans="1:6" ht="15" customHeight="1" x14ac:dyDescent="0.2">
      <c r="A877" s="2">
        <v>45723</v>
      </c>
      <c r="B877" s="3">
        <v>2291.8200999999999</v>
      </c>
      <c r="C877" s="3">
        <v>125035</v>
      </c>
      <c r="D877" s="4">
        <f t="shared" si="40"/>
        <v>1.4410787760395755E-2</v>
      </c>
      <c r="E877" s="4">
        <f t="shared" si="41"/>
        <v>1.350300113679017E-2</v>
      </c>
      <c r="F877" s="3">
        <f t="shared" si="39"/>
        <v>2025</v>
      </c>
    </row>
    <row r="878" spans="1:6" ht="15" customHeight="1" x14ac:dyDescent="0.2">
      <c r="A878" s="2">
        <v>45726</v>
      </c>
      <c r="B878" s="3">
        <v>2278.6498999999999</v>
      </c>
      <c r="C878" s="3">
        <v>124519</v>
      </c>
      <c r="D878" s="4">
        <f t="shared" si="40"/>
        <v>-5.7631869165549465E-3</v>
      </c>
      <c r="E878" s="4">
        <f t="shared" si="41"/>
        <v>-4.1353834068763922E-3</v>
      </c>
      <c r="F878" s="3">
        <f t="shared" si="39"/>
        <v>2025</v>
      </c>
    </row>
    <row r="879" spans="1:6" ht="15" customHeight="1" x14ac:dyDescent="0.2">
      <c r="A879" s="2">
        <v>45727</v>
      </c>
      <c r="B879" s="3">
        <v>2258.2800000000002</v>
      </c>
      <c r="C879" s="3">
        <v>123507</v>
      </c>
      <c r="D879" s="4">
        <f t="shared" si="40"/>
        <v>-8.97965687138437E-3</v>
      </c>
      <c r="E879" s="4">
        <f t="shared" si="41"/>
        <v>-8.1604800790249649E-3</v>
      </c>
      <c r="F879" s="3">
        <f t="shared" si="39"/>
        <v>2025</v>
      </c>
    </row>
    <row r="880" spans="1:6" ht="15" customHeight="1" x14ac:dyDescent="0.2">
      <c r="A880" s="2">
        <v>45728</v>
      </c>
      <c r="B880" s="3">
        <v>2276.2600000000002</v>
      </c>
      <c r="C880" s="3">
        <v>123864</v>
      </c>
      <c r="D880" s="4">
        <f t="shared" si="40"/>
        <v>7.9302836579603145E-3</v>
      </c>
      <c r="E880" s="4">
        <f t="shared" si="41"/>
        <v>2.8863548908202754E-3</v>
      </c>
      <c r="F880" s="3">
        <f t="shared" si="39"/>
        <v>2025</v>
      </c>
    </row>
    <row r="881" spans="1:6" ht="15" customHeight="1" x14ac:dyDescent="0.2">
      <c r="A881" s="2">
        <v>45729</v>
      </c>
      <c r="B881" s="3">
        <v>2322.7199999999998</v>
      </c>
      <c r="C881" s="3">
        <v>125637</v>
      </c>
      <c r="D881" s="4">
        <f t="shared" si="40"/>
        <v>2.0205167490395672E-2</v>
      </c>
      <c r="E881" s="4">
        <f t="shared" si="41"/>
        <v>1.4212607124891389E-2</v>
      </c>
      <c r="F881" s="3">
        <f t="shared" si="39"/>
        <v>2025</v>
      </c>
    </row>
    <row r="882" spans="1:6" ht="15" customHeight="1" x14ac:dyDescent="0.2">
      <c r="A882" s="2">
        <v>45730</v>
      </c>
      <c r="B882" s="3">
        <v>2394.6298999999999</v>
      </c>
      <c r="C882" s="3">
        <v>128957</v>
      </c>
      <c r="D882" s="4">
        <f t="shared" si="40"/>
        <v>3.0489775919466177E-2</v>
      </c>
      <c r="E882" s="4">
        <f t="shared" si="41"/>
        <v>2.6082218821007423E-2</v>
      </c>
      <c r="F882" s="3">
        <f t="shared" si="39"/>
        <v>2025</v>
      </c>
    </row>
    <row r="883" spans="1:6" ht="15" customHeight="1" x14ac:dyDescent="0.2">
      <c r="A883" s="2">
        <v>45733</v>
      </c>
      <c r="B883" s="3">
        <v>2418.5500000000002</v>
      </c>
      <c r="C883" s="3">
        <v>130834</v>
      </c>
      <c r="D883" s="4">
        <f t="shared" si="40"/>
        <v>9.9394983882200114E-3</v>
      </c>
      <c r="E883" s="4">
        <f t="shared" si="41"/>
        <v>1.4450328622338027E-2</v>
      </c>
      <c r="F883" s="3">
        <f t="shared" si="39"/>
        <v>2025</v>
      </c>
    </row>
    <row r="884" spans="1:6" ht="15" customHeight="1" x14ac:dyDescent="0.2">
      <c r="A884" s="2">
        <v>45734</v>
      </c>
      <c r="B884" s="3">
        <v>2409.8701000000001</v>
      </c>
      <c r="C884" s="3">
        <v>131475</v>
      </c>
      <c r="D884" s="4">
        <f t="shared" si="40"/>
        <v>-3.5953414037208898E-3</v>
      </c>
      <c r="E884" s="4">
        <f t="shared" si="41"/>
        <v>4.8873753926354929E-3</v>
      </c>
      <c r="F884" s="3">
        <f t="shared" si="39"/>
        <v>2025</v>
      </c>
    </row>
    <row r="885" spans="1:6" ht="15" customHeight="1" x14ac:dyDescent="0.2">
      <c r="A885" s="2">
        <v>45735</v>
      </c>
      <c r="B885" s="3">
        <v>2438.8200999999999</v>
      </c>
      <c r="C885" s="3">
        <v>132508</v>
      </c>
      <c r="D885" s="4">
        <f t="shared" si="40"/>
        <v>1.1941511140856339E-2</v>
      </c>
      <c r="E885" s="4">
        <f t="shared" si="41"/>
        <v>7.8263014867202812E-3</v>
      </c>
      <c r="F885" s="3">
        <f t="shared" si="39"/>
        <v>2025</v>
      </c>
    </row>
    <row r="886" spans="1:6" ht="15" customHeight="1" x14ac:dyDescent="0.2">
      <c r="A886" s="2">
        <v>45736</v>
      </c>
      <c r="B886" s="3">
        <v>2420.1799000000001</v>
      </c>
      <c r="C886" s="3">
        <v>131955</v>
      </c>
      <c r="D886" s="4">
        <f t="shared" si="40"/>
        <v>-7.6724805272271957E-3</v>
      </c>
      <c r="E886" s="4">
        <f t="shared" si="41"/>
        <v>-4.1820655893805379E-3</v>
      </c>
      <c r="F886" s="3">
        <f t="shared" si="39"/>
        <v>2025</v>
      </c>
    </row>
    <row r="887" spans="1:6" ht="15" customHeight="1" x14ac:dyDescent="0.2">
      <c r="A887" s="2">
        <v>45737</v>
      </c>
      <c r="B887" s="3">
        <v>2434.29</v>
      </c>
      <c r="C887" s="3">
        <v>132345</v>
      </c>
      <c r="D887" s="4">
        <f t="shared" si="40"/>
        <v>5.8132566591114956E-3</v>
      </c>
      <c r="E887" s="4">
        <f t="shared" si="41"/>
        <v>2.9511939694301667E-3</v>
      </c>
      <c r="F887" s="3">
        <f t="shared" si="39"/>
        <v>2025</v>
      </c>
    </row>
    <row r="888" spans="1:6" ht="15" customHeight="1" x14ac:dyDescent="0.2">
      <c r="A888" s="2">
        <v>45740</v>
      </c>
      <c r="B888" s="3">
        <v>2412.52</v>
      </c>
      <c r="C888" s="3">
        <v>131321</v>
      </c>
      <c r="D888" s="4">
        <f t="shared" si="40"/>
        <v>-8.9832885556056247E-3</v>
      </c>
      <c r="E888" s="4">
        <f t="shared" si="41"/>
        <v>-7.7674417514866844E-3</v>
      </c>
      <c r="F888" s="3">
        <f t="shared" si="39"/>
        <v>2025</v>
      </c>
    </row>
    <row r="889" spans="1:6" ht="15" customHeight="1" x14ac:dyDescent="0.2">
      <c r="A889" s="2">
        <v>45741</v>
      </c>
      <c r="B889" s="3">
        <v>2429.8200999999999</v>
      </c>
      <c r="C889" s="3">
        <v>132068</v>
      </c>
      <c r="D889" s="4">
        <f t="shared" si="40"/>
        <v>7.1453773379930707E-3</v>
      </c>
      <c r="E889" s="4">
        <f t="shared" si="41"/>
        <v>5.6722338658424755E-3</v>
      </c>
      <c r="F889" s="3">
        <f t="shared" si="39"/>
        <v>2025</v>
      </c>
    </row>
    <row r="890" spans="1:6" ht="15" customHeight="1" x14ac:dyDescent="0.2">
      <c r="A890" s="2">
        <v>45742</v>
      </c>
      <c r="B890" s="3">
        <v>2443.7199999999998</v>
      </c>
      <c r="C890" s="3">
        <v>132520</v>
      </c>
      <c r="D890" s="4">
        <f t="shared" si="40"/>
        <v>5.7042467712773532E-3</v>
      </c>
      <c r="E890" s="4">
        <f t="shared" si="41"/>
        <v>3.4166359751616956E-3</v>
      </c>
      <c r="F890" s="3">
        <f t="shared" si="39"/>
        <v>2025</v>
      </c>
    </row>
    <row r="891" spans="1:6" ht="15" customHeight="1" x14ac:dyDescent="0.2">
      <c r="A891" s="2">
        <v>45743</v>
      </c>
      <c r="B891" s="3">
        <v>2452.9299000000001</v>
      </c>
      <c r="C891" s="3">
        <v>133149</v>
      </c>
      <c r="D891" s="4">
        <f t="shared" si="40"/>
        <v>3.76171915431919E-3</v>
      </c>
      <c r="E891" s="4">
        <f t="shared" si="41"/>
        <v>4.7352244733442385E-3</v>
      </c>
      <c r="F891" s="3">
        <f t="shared" si="39"/>
        <v>2025</v>
      </c>
    </row>
    <row r="892" spans="1:6" ht="15" customHeight="1" x14ac:dyDescent="0.2">
      <c r="A892" s="2">
        <v>45744</v>
      </c>
      <c r="B892" s="3">
        <v>2432.0900999999999</v>
      </c>
      <c r="C892" s="3">
        <v>131902</v>
      </c>
      <c r="D892" s="4">
        <f t="shared" si="40"/>
        <v>-8.5321765006308257E-3</v>
      </c>
      <c r="E892" s="4">
        <f t="shared" si="41"/>
        <v>-9.4095792944531194E-3</v>
      </c>
      <c r="F892" s="3">
        <f t="shared" si="39"/>
        <v>2025</v>
      </c>
    </row>
    <row r="893" spans="1:6" ht="15" customHeight="1" x14ac:dyDescent="0.2">
      <c r="A893" s="2">
        <v>45747</v>
      </c>
      <c r="B893" s="3">
        <v>2401.8000000000002</v>
      </c>
      <c r="C893" s="3">
        <v>130260</v>
      </c>
      <c r="D893" s="4">
        <f t="shared" si="40"/>
        <v>-1.2532554870593985E-2</v>
      </c>
      <c r="E893" s="4">
        <f t="shared" si="41"/>
        <v>-1.2526769492330753E-2</v>
      </c>
      <c r="F893" s="3">
        <f t="shared" si="39"/>
        <v>2025</v>
      </c>
    </row>
    <row r="894" spans="1:6" ht="15" customHeight="1" x14ac:dyDescent="0.2">
      <c r="A894" s="2">
        <v>45748</v>
      </c>
      <c r="B894" s="3">
        <v>2424.1298999999999</v>
      </c>
      <c r="C894" s="3">
        <v>131147</v>
      </c>
      <c r="D894" s="4">
        <f t="shared" si="40"/>
        <v>9.2541996356879427E-3</v>
      </c>
      <c r="E894" s="4">
        <f t="shared" si="41"/>
        <v>6.7863783618984071E-3</v>
      </c>
      <c r="F894" s="3">
        <f t="shared" si="39"/>
        <v>2025</v>
      </c>
    </row>
    <row r="895" spans="1:6" ht="15" customHeight="1" x14ac:dyDescent="0.2">
      <c r="A895" s="2">
        <v>45749</v>
      </c>
      <c r="B895" s="3">
        <v>2445.21</v>
      </c>
      <c r="C895" s="3">
        <v>131190</v>
      </c>
      <c r="D895" s="4">
        <f t="shared" si="40"/>
        <v>8.6583529289557676E-3</v>
      </c>
      <c r="E895" s="4">
        <f t="shared" si="41"/>
        <v>3.2782261278494569E-4</v>
      </c>
      <c r="F895" s="3">
        <f t="shared" si="39"/>
        <v>2025</v>
      </c>
    </row>
    <row r="896" spans="1:6" ht="15" customHeight="1" x14ac:dyDescent="0.2">
      <c r="A896" s="2">
        <v>45750</v>
      </c>
      <c r="B896" s="3">
        <v>2488.6298999999999</v>
      </c>
      <c r="C896" s="3">
        <v>131141</v>
      </c>
      <c r="D896" s="4">
        <f t="shared" si="40"/>
        <v>1.7601309265557991E-2</v>
      </c>
      <c r="E896" s="4">
        <f t="shared" si="41"/>
        <v>-3.73573848076326E-4</v>
      </c>
      <c r="F896" s="3">
        <f t="shared" si="39"/>
        <v>2025</v>
      </c>
    </row>
    <row r="897" spans="1:6" ht="15" customHeight="1" x14ac:dyDescent="0.2">
      <c r="A897" s="2">
        <v>45751</v>
      </c>
      <c r="B897" s="3">
        <v>2414.5801000000001</v>
      </c>
      <c r="C897" s="3">
        <v>127256</v>
      </c>
      <c r="D897" s="4">
        <f t="shared" si="40"/>
        <v>-3.0206917723147368E-2</v>
      </c>
      <c r="E897" s="4">
        <f t="shared" si="41"/>
        <v>-3.0072274648803184E-2</v>
      </c>
      <c r="F897" s="3">
        <f t="shared" si="39"/>
        <v>2025</v>
      </c>
    </row>
    <row r="898" spans="1:6" ht="15" customHeight="1" x14ac:dyDescent="0.2">
      <c r="A898" s="2">
        <v>45754</v>
      </c>
      <c r="B898" s="3">
        <v>2385.8798999999999</v>
      </c>
      <c r="C898" s="3">
        <v>125588</v>
      </c>
      <c r="D898" s="4">
        <f t="shared" si="40"/>
        <v>-1.1957413231825885E-2</v>
      </c>
      <c r="E898" s="4">
        <f t="shared" si="41"/>
        <v>-1.3194097527605355E-2</v>
      </c>
      <c r="F898" s="3">
        <f t="shared" ref="F898:F961" si="42">YEAR(A898)</f>
        <v>2025</v>
      </c>
    </row>
    <row r="899" spans="1:6" ht="15" customHeight="1" x14ac:dyDescent="0.2">
      <c r="A899" s="2">
        <v>45755</v>
      </c>
      <c r="B899" s="3">
        <v>2369.6898999999999</v>
      </c>
      <c r="C899" s="3">
        <v>123932</v>
      </c>
      <c r="D899" s="4">
        <f t="shared" ref="D899:D962" si="43">LN(B899/B898)</f>
        <v>-6.8088844152984513E-3</v>
      </c>
      <c r="E899" s="4">
        <f t="shared" ref="E899:E962" si="44">LN(C899/C898)</f>
        <v>-1.3273679979389812E-2</v>
      </c>
      <c r="F899" s="3">
        <f t="shared" si="42"/>
        <v>2025</v>
      </c>
    </row>
    <row r="900" spans="1:6" ht="15" customHeight="1" x14ac:dyDescent="0.2">
      <c r="A900" s="2">
        <v>45756</v>
      </c>
      <c r="B900" s="3">
        <v>2443.6001000000001</v>
      </c>
      <c r="C900" s="3">
        <v>127796</v>
      </c>
      <c r="D900" s="4">
        <f t="shared" si="43"/>
        <v>3.0713300012326247E-2</v>
      </c>
      <c r="E900" s="4">
        <f t="shared" si="44"/>
        <v>3.0702214460010903E-2</v>
      </c>
      <c r="F900" s="3">
        <f t="shared" si="42"/>
        <v>2025</v>
      </c>
    </row>
    <row r="901" spans="1:6" ht="15" customHeight="1" x14ac:dyDescent="0.2">
      <c r="A901" s="2">
        <v>45757</v>
      </c>
      <c r="B901" s="3">
        <v>2420.0500000000002</v>
      </c>
      <c r="C901" s="3">
        <v>126355</v>
      </c>
      <c r="D901" s="4">
        <f t="shared" si="43"/>
        <v>-9.6842016045209107E-3</v>
      </c>
      <c r="E901" s="4">
        <f t="shared" si="44"/>
        <v>-1.133983688209734E-2</v>
      </c>
      <c r="F901" s="3">
        <f t="shared" si="42"/>
        <v>2025</v>
      </c>
    </row>
    <row r="902" spans="1:6" ht="15" customHeight="1" x14ac:dyDescent="0.2">
      <c r="A902" s="2">
        <v>45758</v>
      </c>
      <c r="B902" s="3">
        <v>2447.6201000000001</v>
      </c>
      <c r="C902" s="3">
        <v>127682</v>
      </c>
      <c r="D902" s="4">
        <f t="shared" si="43"/>
        <v>1.1327963586512314E-2</v>
      </c>
      <c r="E902" s="4">
        <f t="shared" si="44"/>
        <v>1.0447392072240149E-2</v>
      </c>
      <c r="F902" s="3">
        <f t="shared" si="42"/>
        <v>2025</v>
      </c>
    </row>
    <row r="903" spans="1:6" ht="15" customHeight="1" x14ac:dyDescent="0.2">
      <c r="A903" s="2">
        <v>45761</v>
      </c>
      <c r="B903" s="3">
        <v>2483.4099000000001</v>
      </c>
      <c r="C903" s="3">
        <v>129454</v>
      </c>
      <c r="D903" s="4">
        <f t="shared" si="43"/>
        <v>1.4516410764127064E-2</v>
      </c>
      <c r="E903" s="4">
        <f t="shared" si="44"/>
        <v>1.3782807942309769E-2</v>
      </c>
      <c r="F903" s="3">
        <f t="shared" si="42"/>
        <v>2025</v>
      </c>
    </row>
    <row r="904" spans="1:6" ht="15" customHeight="1" x14ac:dyDescent="0.2">
      <c r="A904" s="2">
        <v>45762</v>
      </c>
      <c r="B904" s="3">
        <v>2499.6799000000001</v>
      </c>
      <c r="C904" s="3">
        <v>129245</v>
      </c>
      <c r="D904" s="4">
        <f t="shared" si="43"/>
        <v>6.5301082135137845E-3</v>
      </c>
      <c r="E904" s="4">
        <f t="shared" si="44"/>
        <v>-1.6157777607980288E-3</v>
      </c>
      <c r="F904" s="3">
        <f t="shared" si="42"/>
        <v>2025</v>
      </c>
    </row>
    <row r="905" spans="1:6" ht="15" customHeight="1" x14ac:dyDescent="0.2">
      <c r="A905" s="2">
        <v>45763</v>
      </c>
      <c r="B905" s="3">
        <v>2482.7600000000002</v>
      </c>
      <c r="C905" s="3">
        <v>128317</v>
      </c>
      <c r="D905" s="4">
        <f t="shared" si="43"/>
        <v>-6.7918390913519E-3</v>
      </c>
      <c r="E905" s="4">
        <f t="shared" si="44"/>
        <v>-7.2060631281886962E-3</v>
      </c>
      <c r="F905" s="3">
        <f t="shared" si="42"/>
        <v>2025</v>
      </c>
    </row>
    <row r="906" spans="1:6" ht="15" customHeight="1" x14ac:dyDescent="0.2">
      <c r="A906" s="2">
        <v>45764</v>
      </c>
      <c r="B906" s="3">
        <v>2503.5801000000001</v>
      </c>
      <c r="C906" s="3">
        <v>129650</v>
      </c>
      <c r="D906" s="4">
        <f t="shared" si="43"/>
        <v>8.3509028977548517E-3</v>
      </c>
      <c r="E906" s="4">
        <f t="shared" si="44"/>
        <v>1.0334747192132409E-2</v>
      </c>
      <c r="F906" s="3">
        <f t="shared" si="42"/>
        <v>2025</v>
      </c>
    </row>
    <row r="907" spans="1:6" ht="15" customHeight="1" x14ac:dyDescent="0.2">
      <c r="A907" s="2">
        <v>45769</v>
      </c>
      <c r="B907" s="3">
        <v>2521.0500000000002</v>
      </c>
      <c r="C907" s="3">
        <v>130464</v>
      </c>
      <c r="D907" s="4">
        <f t="shared" si="43"/>
        <v>6.9537339258109671E-3</v>
      </c>
      <c r="E907" s="4">
        <f t="shared" si="44"/>
        <v>6.2588146521694371E-3</v>
      </c>
      <c r="F907" s="3">
        <f t="shared" si="42"/>
        <v>2025</v>
      </c>
    </row>
    <row r="908" spans="1:6" ht="15" customHeight="1" x14ac:dyDescent="0.2">
      <c r="A908" s="2">
        <v>45770</v>
      </c>
      <c r="B908" s="3">
        <v>2556.96</v>
      </c>
      <c r="C908" s="3">
        <v>132216</v>
      </c>
      <c r="D908" s="4">
        <f t="shared" si="43"/>
        <v>1.4143571446113383E-2</v>
      </c>
      <c r="E908" s="4">
        <f t="shared" si="44"/>
        <v>1.3339622201682142E-2</v>
      </c>
      <c r="F908" s="3">
        <f t="shared" si="42"/>
        <v>2025</v>
      </c>
    </row>
    <row r="909" spans="1:6" ht="15" customHeight="1" x14ac:dyDescent="0.2">
      <c r="A909" s="2">
        <v>45771</v>
      </c>
      <c r="B909" s="3">
        <v>2625.99</v>
      </c>
      <c r="C909" s="3">
        <v>134580</v>
      </c>
      <c r="D909" s="4">
        <f t="shared" si="43"/>
        <v>2.6638914945577026E-2</v>
      </c>
      <c r="E909" s="4">
        <f t="shared" si="44"/>
        <v>1.7721868921646809E-2</v>
      </c>
      <c r="F909" s="3">
        <f t="shared" si="42"/>
        <v>2025</v>
      </c>
    </row>
    <row r="910" spans="1:6" ht="15" customHeight="1" x14ac:dyDescent="0.2">
      <c r="A910" s="2">
        <v>45772</v>
      </c>
      <c r="B910" s="3">
        <v>2642.1898999999999</v>
      </c>
      <c r="C910" s="3">
        <v>134739</v>
      </c>
      <c r="D910" s="4">
        <f t="shared" si="43"/>
        <v>6.1501130824729942E-3</v>
      </c>
      <c r="E910" s="4">
        <f t="shared" si="44"/>
        <v>1.1807560437469182E-3</v>
      </c>
      <c r="F910" s="3">
        <f t="shared" si="42"/>
        <v>2025</v>
      </c>
    </row>
    <row r="911" spans="1:6" ht="15" customHeight="1" x14ac:dyDescent="0.2">
      <c r="A911" s="2">
        <v>45775</v>
      </c>
      <c r="B911" s="3">
        <v>2648.78</v>
      </c>
      <c r="C911" s="3">
        <v>135016</v>
      </c>
      <c r="D911" s="4">
        <f t="shared" si="43"/>
        <v>2.4910757507362589E-3</v>
      </c>
      <c r="E911" s="4">
        <f t="shared" si="44"/>
        <v>2.053716130264175E-3</v>
      </c>
      <c r="F911" s="3">
        <f t="shared" si="42"/>
        <v>2025</v>
      </c>
    </row>
    <row r="912" spans="1:6" ht="15" customHeight="1" x14ac:dyDescent="0.2">
      <c r="A912" s="2">
        <v>45776</v>
      </c>
      <c r="B912" s="3">
        <v>2646.4398999999999</v>
      </c>
      <c r="C912" s="3">
        <v>135093</v>
      </c>
      <c r="D912" s="4">
        <f t="shared" si="43"/>
        <v>-8.8385381401828527E-4</v>
      </c>
      <c r="E912" s="4">
        <f t="shared" si="44"/>
        <v>5.7014021810305104E-4</v>
      </c>
      <c r="F912" s="3">
        <f t="shared" si="42"/>
        <v>2025</v>
      </c>
    </row>
    <row r="913" spans="1:6" ht="15" customHeight="1" x14ac:dyDescent="0.2">
      <c r="A913" s="2">
        <v>45777</v>
      </c>
      <c r="B913" s="3">
        <v>2670.02</v>
      </c>
      <c r="C913" s="3">
        <v>135067</v>
      </c>
      <c r="D913" s="4">
        <f t="shared" si="43"/>
        <v>8.8706602013782672E-3</v>
      </c>
      <c r="E913" s="4">
        <f t="shared" si="44"/>
        <v>-1.924785318350126E-4</v>
      </c>
      <c r="F913" s="3">
        <f t="shared" si="42"/>
        <v>2025</v>
      </c>
    </row>
    <row r="914" spans="1:6" ht="15" customHeight="1" x14ac:dyDescent="0.2">
      <c r="A914" s="2">
        <v>45779</v>
      </c>
      <c r="B914" s="3">
        <v>2662.49</v>
      </c>
      <c r="C914" s="3">
        <v>135134</v>
      </c>
      <c r="D914" s="4">
        <f t="shared" si="43"/>
        <v>-2.8241878608620337E-3</v>
      </c>
      <c r="E914" s="4">
        <f t="shared" si="44"/>
        <v>4.9592711628155184E-4</v>
      </c>
      <c r="F914" s="3">
        <f t="shared" si="42"/>
        <v>2025</v>
      </c>
    </row>
    <row r="915" spans="1:6" ht="15" customHeight="1" x14ac:dyDescent="0.2">
      <c r="A915" s="2">
        <v>45782</v>
      </c>
      <c r="B915" s="3">
        <v>2638.21</v>
      </c>
      <c r="C915" s="3">
        <v>133491</v>
      </c>
      <c r="D915" s="4">
        <f t="shared" si="43"/>
        <v>-9.1611182712522683E-3</v>
      </c>
      <c r="E915" s="4">
        <f t="shared" si="44"/>
        <v>-1.2232818899308136E-2</v>
      </c>
      <c r="F915" s="3">
        <f t="shared" si="42"/>
        <v>2025</v>
      </c>
    </row>
    <row r="916" spans="1:6" ht="15" customHeight="1" x14ac:dyDescent="0.2">
      <c r="A916" s="2">
        <v>45783</v>
      </c>
      <c r="B916" s="3">
        <v>2624.95</v>
      </c>
      <c r="C916" s="3">
        <v>133516</v>
      </c>
      <c r="D916" s="4">
        <f t="shared" si="43"/>
        <v>-5.0388086455620167E-3</v>
      </c>
      <c r="E916" s="4">
        <f t="shared" si="44"/>
        <v>1.8726100868555107E-4</v>
      </c>
      <c r="F916" s="3">
        <f t="shared" si="42"/>
        <v>2025</v>
      </c>
    </row>
    <row r="917" spans="1:6" ht="15" customHeight="1" x14ac:dyDescent="0.2">
      <c r="A917" s="2">
        <v>45784</v>
      </c>
      <c r="B917" s="3">
        <v>2601</v>
      </c>
      <c r="C917" s="3">
        <v>133398</v>
      </c>
      <c r="D917" s="4">
        <f t="shared" si="43"/>
        <v>-9.1658617766166711E-3</v>
      </c>
      <c r="E917" s="4">
        <f t="shared" si="44"/>
        <v>-8.8417998072372035E-4</v>
      </c>
      <c r="F917" s="3">
        <f t="shared" si="42"/>
        <v>2025</v>
      </c>
    </row>
    <row r="918" spans="1:6" ht="15" customHeight="1" x14ac:dyDescent="0.2">
      <c r="A918" s="2">
        <v>45785</v>
      </c>
      <c r="B918" s="3">
        <v>2691.47</v>
      </c>
      <c r="C918" s="3">
        <v>136232</v>
      </c>
      <c r="D918" s="4">
        <f t="shared" si="43"/>
        <v>3.4191526289237897E-2</v>
      </c>
      <c r="E918" s="4">
        <f t="shared" si="44"/>
        <v>2.1022173858916963E-2</v>
      </c>
      <c r="F918" s="3">
        <f t="shared" si="42"/>
        <v>2025</v>
      </c>
    </row>
    <row r="919" spans="1:6" ht="15" customHeight="1" x14ac:dyDescent="0.2">
      <c r="A919" s="2">
        <v>45786</v>
      </c>
      <c r="B919" s="3">
        <v>2698.8899000000001</v>
      </c>
      <c r="C919" s="3">
        <v>136512</v>
      </c>
      <c r="D919" s="4">
        <f t="shared" si="43"/>
        <v>2.7530275618087071E-3</v>
      </c>
      <c r="E919" s="4">
        <f t="shared" si="44"/>
        <v>2.0532081245819575E-3</v>
      </c>
      <c r="F919" s="3">
        <f t="shared" si="42"/>
        <v>2025</v>
      </c>
    </row>
    <row r="920" spans="1:6" ht="15" customHeight="1" x14ac:dyDescent="0.2">
      <c r="A920" s="2">
        <v>45789</v>
      </c>
      <c r="B920" s="3">
        <v>2683.04</v>
      </c>
      <c r="C920" s="3">
        <v>136563</v>
      </c>
      <c r="D920" s="4">
        <f t="shared" si="43"/>
        <v>-5.890060300898719E-3</v>
      </c>
      <c r="E920" s="4">
        <f t="shared" si="44"/>
        <v>3.7352376155242996E-4</v>
      </c>
      <c r="F920" s="3">
        <f t="shared" si="42"/>
        <v>2025</v>
      </c>
    </row>
    <row r="921" spans="1:6" ht="15" customHeight="1" x14ac:dyDescent="0.2">
      <c r="A921" s="2">
        <v>45790</v>
      </c>
      <c r="B921" s="3">
        <v>2742.8998999999999</v>
      </c>
      <c r="C921" s="3">
        <v>138963</v>
      </c>
      <c r="D921" s="4">
        <f t="shared" si="43"/>
        <v>2.2065238381926724E-2</v>
      </c>
      <c r="E921" s="4">
        <f t="shared" si="44"/>
        <v>1.7421664035833125E-2</v>
      </c>
      <c r="F921" s="3">
        <f t="shared" si="42"/>
        <v>2025</v>
      </c>
    </row>
    <row r="922" spans="1:6" ht="15" customHeight="1" x14ac:dyDescent="0.2">
      <c r="A922" s="2">
        <v>45791</v>
      </c>
      <c r="B922" s="3">
        <v>2730.97</v>
      </c>
      <c r="C922" s="3">
        <v>138423</v>
      </c>
      <c r="D922" s="4">
        <f t="shared" si="43"/>
        <v>-4.358860954540876E-3</v>
      </c>
      <c r="E922" s="4">
        <f t="shared" si="44"/>
        <v>-3.8934962987961438E-3</v>
      </c>
      <c r="F922" s="3">
        <f t="shared" si="42"/>
        <v>2025</v>
      </c>
    </row>
    <row r="923" spans="1:6" ht="15" customHeight="1" x14ac:dyDescent="0.2">
      <c r="A923" s="2">
        <v>45792</v>
      </c>
      <c r="B923" s="3">
        <v>2761.72</v>
      </c>
      <c r="C923" s="3">
        <v>139334</v>
      </c>
      <c r="D923" s="4">
        <f t="shared" si="43"/>
        <v>1.1196816589549739E-2</v>
      </c>
      <c r="E923" s="4">
        <f t="shared" si="44"/>
        <v>6.5597141867204433E-3</v>
      </c>
      <c r="F923" s="3">
        <f t="shared" si="42"/>
        <v>2025</v>
      </c>
    </row>
    <row r="924" spans="1:6" ht="15" customHeight="1" x14ac:dyDescent="0.2">
      <c r="A924" s="2">
        <v>45793</v>
      </c>
      <c r="B924" s="3">
        <v>2759.95</v>
      </c>
      <c r="C924" s="3">
        <v>139187</v>
      </c>
      <c r="D924" s="4">
        <f t="shared" si="43"/>
        <v>-6.4111041066405665E-4</v>
      </c>
      <c r="E924" s="4">
        <f t="shared" si="44"/>
        <v>-1.0555757996663702E-3</v>
      </c>
      <c r="F924" s="3">
        <f t="shared" si="42"/>
        <v>2025</v>
      </c>
    </row>
    <row r="925" spans="1:6" ht="15" customHeight="1" x14ac:dyDescent="0.2">
      <c r="A925" s="2">
        <v>45796</v>
      </c>
      <c r="B925" s="3">
        <v>2768.6001000000001</v>
      </c>
      <c r="C925" s="3">
        <v>139636</v>
      </c>
      <c r="D925" s="4">
        <f t="shared" si="43"/>
        <v>3.1292497679012874E-3</v>
      </c>
      <c r="E925" s="4">
        <f t="shared" si="44"/>
        <v>3.2206840046605616E-3</v>
      </c>
      <c r="F925" s="3">
        <f t="shared" si="42"/>
        <v>2025</v>
      </c>
    </row>
    <row r="926" spans="1:6" ht="15" customHeight="1" x14ac:dyDescent="0.2">
      <c r="A926" s="2">
        <v>45797</v>
      </c>
      <c r="B926" s="3">
        <v>2780.51</v>
      </c>
      <c r="C926" s="3">
        <v>140110</v>
      </c>
      <c r="D926" s="4">
        <f t="shared" si="43"/>
        <v>4.2925507236331725E-3</v>
      </c>
      <c r="E926" s="4">
        <f t="shared" si="44"/>
        <v>3.3887916439507282E-3</v>
      </c>
      <c r="F926" s="3">
        <f t="shared" si="42"/>
        <v>2025</v>
      </c>
    </row>
    <row r="927" spans="1:6" ht="15" customHeight="1" x14ac:dyDescent="0.2">
      <c r="A927" s="2">
        <v>45798</v>
      </c>
      <c r="B927" s="3">
        <v>2719.3400999999999</v>
      </c>
      <c r="C927" s="3">
        <v>137881</v>
      </c>
      <c r="D927" s="4">
        <f t="shared" si="43"/>
        <v>-2.2245123535318507E-2</v>
      </c>
      <c r="E927" s="4">
        <f t="shared" si="44"/>
        <v>-1.6036834077283194E-2</v>
      </c>
      <c r="F927" s="3">
        <f t="shared" si="42"/>
        <v>2025</v>
      </c>
    </row>
    <row r="928" spans="1:6" ht="15" customHeight="1" x14ac:dyDescent="0.2">
      <c r="A928" s="2">
        <v>45799</v>
      </c>
      <c r="B928" s="3">
        <v>2715.8400999999999</v>
      </c>
      <c r="C928" s="3">
        <v>137273</v>
      </c>
      <c r="D928" s="4">
        <f t="shared" si="43"/>
        <v>-1.2879059589552817E-3</v>
      </c>
      <c r="E928" s="4">
        <f t="shared" si="44"/>
        <v>-4.4193505422642264E-3</v>
      </c>
      <c r="F928" s="3">
        <f t="shared" si="42"/>
        <v>2025</v>
      </c>
    </row>
    <row r="929" spans="1:6" ht="15" customHeight="1" x14ac:dyDescent="0.2">
      <c r="A929" s="2">
        <v>45800</v>
      </c>
      <c r="B929" s="3">
        <v>2727.6498999999999</v>
      </c>
      <c r="C929" s="3">
        <v>137824</v>
      </c>
      <c r="D929" s="4">
        <f t="shared" si="43"/>
        <v>4.3390613481543855E-3</v>
      </c>
      <c r="E929" s="4">
        <f t="shared" si="44"/>
        <v>4.0058651081072323E-3</v>
      </c>
      <c r="F929" s="3">
        <f t="shared" si="42"/>
        <v>2025</v>
      </c>
    </row>
    <row r="930" spans="1:6" ht="15" customHeight="1" x14ac:dyDescent="0.2">
      <c r="A930" s="2">
        <v>45803</v>
      </c>
      <c r="B930" s="3">
        <v>2740.8501000000001</v>
      </c>
      <c r="C930" s="3">
        <v>138136</v>
      </c>
      <c r="D930" s="4">
        <f t="shared" si="43"/>
        <v>4.8277317868053683E-3</v>
      </c>
      <c r="E930" s="4">
        <f t="shared" si="44"/>
        <v>2.2611982384291027E-3</v>
      </c>
      <c r="F930" s="3">
        <f t="shared" si="42"/>
        <v>2025</v>
      </c>
    </row>
    <row r="931" spans="1:6" ht="15" customHeight="1" x14ac:dyDescent="0.2">
      <c r="A931" s="2">
        <v>45804</v>
      </c>
      <c r="B931" s="3">
        <v>2779.26</v>
      </c>
      <c r="C931" s="3">
        <v>139541</v>
      </c>
      <c r="D931" s="4">
        <f t="shared" si="43"/>
        <v>1.391657746297072E-2</v>
      </c>
      <c r="E931" s="4">
        <f t="shared" si="44"/>
        <v>1.011975777918124E-2</v>
      </c>
      <c r="F931" s="3">
        <f t="shared" si="42"/>
        <v>2025</v>
      </c>
    </row>
    <row r="932" spans="1:6" ht="15" customHeight="1" x14ac:dyDescent="0.2">
      <c r="A932" s="2">
        <v>45805</v>
      </c>
      <c r="B932" s="3">
        <v>2775.1698999999999</v>
      </c>
      <c r="C932" s="3">
        <v>138888</v>
      </c>
      <c r="D932" s="4">
        <f t="shared" si="43"/>
        <v>-1.4727346686896103E-3</v>
      </c>
      <c r="E932" s="4">
        <f t="shared" si="44"/>
        <v>-4.6906119496631909E-3</v>
      </c>
      <c r="F932" s="3">
        <f t="shared" si="42"/>
        <v>2025</v>
      </c>
    </row>
    <row r="933" spans="1:6" ht="15" customHeight="1" x14ac:dyDescent="0.2">
      <c r="A933" s="2">
        <v>45806</v>
      </c>
      <c r="B933" s="3">
        <v>2762.0601000000001</v>
      </c>
      <c r="C933" s="3">
        <v>138534</v>
      </c>
      <c r="D933" s="4">
        <f t="shared" si="43"/>
        <v>-4.735156204574752E-3</v>
      </c>
      <c r="E933" s="4">
        <f t="shared" si="44"/>
        <v>-2.5520700747258861E-3</v>
      </c>
      <c r="F933" s="3">
        <f t="shared" si="42"/>
        <v>2025</v>
      </c>
    </row>
    <row r="934" spans="1:6" ht="15" customHeight="1" x14ac:dyDescent="0.2">
      <c r="A934" s="2">
        <v>45807</v>
      </c>
      <c r="B934" s="3">
        <v>2750.96</v>
      </c>
      <c r="C934" s="3">
        <v>137027</v>
      </c>
      <c r="D934" s="4">
        <f t="shared" si="43"/>
        <v>-4.026872675344257E-3</v>
      </c>
      <c r="E934" s="4">
        <f t="shared" si="44"/>
        <v>-1.0937796162595348E-2</v>
      </c>
      <c r="F934" s="3">
        <f t="shared" si="42"/>
        <v>2025</v>
      </c>
    </row>
    <row r="935" spans="1:6" ht="15" customHeight="1" x14ac:dyDescent="0.2">
      <c r="A935" s="2">
        <v>45810</v>
      </c>
      <c r="B935" s="3">
        <v>2738.77</v>
      </c>
      <c r="C935" s="3">
        <v>136787</v>
      </c>
      <c r="D935" s="4">
        <f t="shared" si="43"/>
        <v>-4.4410271670891725E-3</v>
      </c>
      <c r="E935" s="4">
        <f t="shared" si="44"/>
        <v>-1.7530152692064717E-3</v>
      </c>
      <c r="F935" s="3">
        <f t="shared" si="42"/>
        <v>2025</v>
      </c>
    </row>
    <row r="936" spans="1:6" ht="15" customHeight="1" x14ac:dyDescent="0.2">
      <c r="A936" s="2">
        <v>45811</v>
      </c>
      <c r="B936" s="3">
        <v>2772.1201000000001</v>
      </c>
      <c r="C936" s="3">
        <v>137546</v>
      </c>
      <c r="D936" s="4">
        <f t="shared" si="43"/>
        <v>1.2103492005006584E-2</v>
      </c>
      <c r="E936" s="4">
        <f t="shared" si="44"/>
        <v>5.5334351801988686E-3</v>
      </c>
      <c r="F936" s="3">
        <f t="shared" si="42"/>
        <v>2025</v>
      </c>
    </row>
    <row r="937" spans="1:6" ht="15" customHeight="1" x14ac:dyDescent="0.2">
      <c r="A937" s="2">
        <v>45812</v>
      </c>
      <c r="B937" s="3">
        <v>2762.1898999999999</v>
      </c>
      <c r="C937" s="3">
        <v>137002</v>
      </c>
      <c r="D937" s="4">
        <f t="shared" si="43"/>
        <v>-3.5885993581115843E-3</v>
      </c>
      <c r="E937" s="4">
        <f t="shared" si="44"/>
        <v>-3.9628823516053126E-3</v>
      </c>
      <c r="F937" s="3">
        <f t="shared" si="42"/>
        <v>2025</v>
      </c>
    </row>
    <row r="938" spans="1:6" ht="15" customHeight="1" x14ac:dyDescent="0.2">
      <c r="A938" s="2">
        <v>45813</v>
      </c>
      <c r="B938" s="3">
        <v>2733.3798999999999</v>
      </c>
      <c r="C938" s="3">
        <v>136236</v>
      </c>
      <c r="D938" s="4">
        <f t="shared" si="43"/>
        <v>-1.0484905106979685E-2</v>
      </c>
      <c r="E938" s="4">
        <f t="shared" si="44"/>
        <v>-5.606848291316322E-3</v>
      </c>
      <c r="F938" s="3">
        <f t="shared" si="42"/>
        <v>2025</v>
      </c>
    </row>
    <row r="939" spans="1:6" ht="15" customHeight="1" x14ac:dyDescent="0.2">
      <c r="A939" s="2">
        <v>45814</v>
      </c>
      <c r="B939" s="3">
        <v>2716.6100999999999</v>
      </c>
      <c r="C939" s="3">
        <v>136102</v>
      </c>
      <c r="D939" s="4">
        <f t="shared" si="43"/>
        <v>-6.1540857603532119E-3</v>
      </c>
      <c r="E939" s="4">
        <f t="shared" si="44"/>
        <v>-9.8407134379891034E-4</v>
      </c>
      <c r="F939" s="3">
        <f t="shared" si="42"/>
        <v>2025</v>
      </c>
    </row>
    <row r="940" spans="1:6" ht="15" customHeight="1" x14ac:dyDescent="0.2">
      <c r="A940" s="2">
        <v>45817</v>
      </c>
      <c r="B940" s="3">
        <v>2701.8301000000001</v>
      </c>
      <c r="C940" s="3">
        <v>135699</v>
      </c>
      <c r="D940" s="4">
        <f t="shared" si="43"/>
        <v>-5.455458069602008E-3</v>
      </c>
      <c r="E940" s="4">
        <f t="shared" si="44"/>
        <v>-2.9654070096847124E-3</v>
      </c>
      <c r="F940" s="3">
        <f t="shared" si="42"/>
        <v>2025</v>
      </c>
    </row>
    <row r="941" spans="1:6" ht="15" customHeight="1" x14ac:dyDescent="0.2">
      <c r="A941" s="2">
        <v>45818</v>
      </c>
      <c r="B941" s="3">
        <v>2711.76</v>
      </c>
      <c r="C941" s="3">
        <v>136436</v>
      </c>
      <c r="D941" s="4">
        <f t="shared" si="43"/>
        <v>3.6685123745762147E-3</v>
      </c>
      <c r="E941" s="4">
        <f t="shared" si="44"/>
        <v>5.4164425879222019E-3</v>
      </c>
      <c r="F941" s="3">
        <f t="shared" si="42"/>
        <v>2025</v>
      </c>
    </row>
    <row r="942" spans="1:6" ht="15" customHeight="1" x14ac:dyDescent="0.2">
      <c r="A942" s="2">
        <v>45819</v>
      </c>
      <c r="B942" s="3">
        <v>2727.46</v>
      </c>
      <c r="C942" s="3">
        <v>137128</v>
      </c>
      <c r="D942" s="4">
        <f t="shared" si="43"/>
        <v>5.7729025860403316E-3</v>
      </c>
      <c r="E942" s="4">
        <f t="shared" si="44"/>
        <v>5.0591559999204677E-3</v>
      </c>
      <c r="F942" s="3">
        <f t="shared" si="42"/>
        <v>2025</v>
      </c>
    </row>
    <row r="943" spans="1:6" ht="15" customHeight="1" x14ac:dyDescent="0.2">
      <c r="A943" s="2">
        <v>45820</v>
      </c>
      <c r="B943" s="3">
        <v>2732.1100999999999</v>
      </c>
      <c r="C943" s="3">
        <v>137800</v>
      </c>
      <c r="D943" s="4">
        <f t="shared" si="43"/>
        <v>1.7034678699234555E-3</v>
      </c>
      <c r="E943" s="4">
        <f t="shared" si="44"/>
        <v>4.8885623748023185E-3</v>
      </c>
      <c r="F943" s="3">
        <f t="shared" si="42"/>
        <v>2025</v>
      </c>
    </row>
    <row r="944" spans="1:6" ht="15" customHeight="1" x14ac:dyDescent="0.2">
      <c r="A944" s="2">
        <v>45821</v>
      </c>
      <c r="B944" s="3">
        <v>2710.79</v>
      </c>
      <c r="C944" s="3">
        <v>137213</v>
      </c>
      <c r="D944" s="4">
        <f t="shared" si="43"/>
        <v>-7.8341357178228072E-3</v>
      </c>
      <c r="E944" s="4">
        <f t="shared" si="44"/>
        <v>-4.2688955898893396E-3</v>
      </c>
      <c r="F944" s="3">
        <f t="shared" si="42"/>
        <v>2025</v>
      </c>
    </row>
    <row r="945" spans="1:6" ht="15" customHeight="1" x14ac:dyDescent="0.2">
      <c r="A945" s="2">
        <v>45824</v>
      </c>
      <c r="B945" s="3">
        <v>2766.8899000000001</v>
      </c>
      <c r="C945" s="3">
        <v>139256</v>
      </c>
      <c r="D945" s="4">
        <f t="shared" si="43"/>
        <v>2.048380430132558E-2</v>
      </c>
      <c r="E945" s="4">
        <f t="shared" si="44"/>
        <v>1.477950286073916E-2</v>
      </c>
      <c r="F945" s="3">
        <f t="shared" si="42"/>
        <v>2025</v>
      </c>
    </row>
    <row r="946" spans="1:6" ht="15" customHeight="1" x14ac:dyDescent="0.2">
      <c r="A946" s="2">
        <v>45825</v>
      </c>
      <c r="B946" s="3">
        <v>2768.1599000000001</v>
      </c>
      <c r="C946" s="3">
        <v>138840</v>
      </c>
      <c r="D946" s="4">
        <f t="shared" si="43"/>
        <v>4.5889380156493838E-4</v>
      </c>
      <c r="E946" s="4">
        <f t="shared" si="44"/>
        <v>-2.9917748568225582E-3</v>
      </c>
      <c r="F946" s="3">
        <f t="shared" si="42"/>
        <v>2025</v>
      </c>
    </row>
    <row r="947" spans="1:6" ht="15" customHeight="1" x14ac:dyDescent="0.2">
      <c r="A947" s="2">
        <v>45826</v>
      </c>
      <c r="B947" s="3">
        <v>2775.4099000000001</v>
      </c>
      <c r="C947" s="3">
        <v>138717</v>
      </c>
      <c r="D947" s="4">
        <f t="shared" si="43"/>
        <v>2.6156445738139342E-3</v>
      </c>
      <c r="E947" s="4">
        <f t="shared" si="44"/>
        <v>-8.8630449278335284E-4</v>
      </c>
      <c r="F947" s="3">
        <f t="shared" si="42"/>
        <v>2025</v>
      </c>
    </row>
    <row r="948" spans="1:6" ht="15" customHeight="1" x14ac:dyDescent="0.2">
      <c r="A948" s="2">
        <v>45828</v>
      </c>
      <c r="B948" s="3">
        <v>2739.4398999999999</v>
      </c>
      <c r="C948" s="3">
        <v>137116</v>
      </c>
      <c r="D948" s="4">
        <f t="shared" si="43"/>
        <v>-1.3044964556034346E-2</v>
      </c>
      <c r="E948" s="4">
        <f t="shared" si="44"/>
        <v>-1.1608603605417879E-2</v>
      </c>
      <c r="F948" s="3">
        <f t="shared" si="42"/>
        <v>2025</v>
      </c>
    </row>
    <row r="949" spans="1:6" ht="15" customHeight="1" x14ac:dyDescent="0.2">
      <c r="A949" s="2">
        <v>45831</v>
      </c>
      <c r="B949" s="3">
        <v>2734.27</v>
      </c>
      <c r="C949" s="3">
        <v>136551</v>
      </c>
      <c r="D949" s="4">
        <f t="shared" si="43"/>
        <v>-1.88899361923121E-3</v>
      </c>
      <c r="E949" s="4">
        <f t="shared" si="44"/>
        <v>-4.1291116776962242E-3</v>
      </c>
      <c r="F949" s="3">
        <f t="shared" si="42"/>
        <v>2025</v>
      </c>
    </row>
    <row r="950" spans="1:6" ht="15" customHeight="1" x14ac:dyDescent="0.2">
      <c r="A950" s="2">
        <v>45832</v>
      </c>
      <c r="B950" s="3">
        <v>2768.54</v>
      </c>
      <c r="C950" s="3">
        <v>137165</v>
      </c>
      <c r="D950" s="4">
        <f t="shared" si="43"/>
        <v>1.2455615607145398E-2</v>
      </c>
      <c r="E950" s="4">
        <f t="shared" si="44"/>
        <v>4.486409489219979E-3</v>
      </c>
      <c r="F950" s="3">
        <f t="shared" si="42"/>
        <v>2025</v>
      </c>
    </row>
    <row r="951" spans="1:6" ht="15" customHeight="1" x14ac:dyDescent="0.2">
      <c r="A951" s="2">
        <v>45833</v>
      </c>
      <c r="B951" s="3">
        <v>2745.5700999999999</v>
      </c>
      <c r="C951" s="3">
        <v>135767</v>
      </c>
      <c r="D951" s="4">
        <f t="shared" si="43"/>
        <v>-8.3313653329959245E-3</v>
      </c>
      <c r="E951" s="4">
        <f t="shared" si="44"/>
        <v>-1.024439953093223E-2</v>
      </c>
      <c r="F951" s="3">
        <f t="shared" si="42"/>
        <v>2025</v>
      </c>
    </row>
    <row r="952" spans="1:6" ht="15" customHeight="1" x14ac:dyDescent="0.2">
      <c r="A952" s="2">
        <v>45834</v>
      </c>
      <c r="B952" s="3">
        <v>2775.96</v>
      </c>
      <c r="C952" s="3">
        <v>137114</v>
      </c>
      <c r="D952" s="4">
        <f t="shared" si="43"/>
        <v>1.1007893218149364E-2</v>
      </c>
      <c r="E952" s="4">
        <f t="shared" si="44"/>
        <v>9.8725154232333044E-3</v>
      </c>
      <c r="F952" s="3">
        <f t="shared" si="42"/>
        <v>2025</v>
      </c>
    </row>
    <row r="953" spans="1:6" ht="15" customHeight="1" x14ac:dyDescent="0.2">
      <c r="A953" s="2">
        <v>45835</v>
      </c>
      <c r="B953" s="3">
        <v>2766.46</v>
      </c>
      <c r="C953" s="3">
        <v>136866</v>
      </c>
      <c r="D953" s="4">
        <f t="shared" si="43"/>
        <v>-3.4281087696743841E-3</v>
      </c>
      <c r="E953" s="4">
        <f t="shared" si="44"/>
        <v>-1.8103516149526658E-3</v>
      </c>
      <c r="F953" s="3">
        <f t="shared" si="42"/>
        <v>2025</v>
      </c>
    </row>
    <row r="954" spans="1:6" ht="15" customHeight="1" x14ac:dyDescent="0.2">
      <c r="A954" s="2">
        <v>45838</v>
      </c>
      <c r="B954" s="3">
        <v>2820.8</v>
      </c>
      <c r="C954" s="3">
        <v>138855</v>
      </c>
      <c r="D954" s="4">
        <f t="shared" si="43"/>
        <v>1.9452008112300967E-2</v>
      </c>
      <c r="E954" s="4">
        <f t="shared" si="44"/>
        <v>1.4427878203027652E-2</v>
      </c>
      <c r="F954" s="3">
        <f t="shared" si="42"/>
        <v>2025</v>
      </c>
    </row>
    <row r="955" spans="1:6" ht="15" customHeight="1" x14ac:dyDescent="0.2">
      <c r="A955" s="2">
        <v>45839</v>
      </c>
      <c r="B955" s="3">
        <v>2826.3600999999999</v>
      </c>
      <c r="C955" s="3">
        <v>139549</v>
      </c>
      <c r="D955" s="4">
        <f t="shared" si="43"/>
        <v>1.9691674038646296E-3</v>
      </c>
      <c r="E955" s="4">
        <f t="shared" si="44"/>
        <v>4.9855708790098596E-3</v>
      </c>
      <c r="F955" s="3">
        <f t="shared" si="42"/>
        <v>2025</v>
      </c>
    </row>
    <row r="956" spans="1:6" ht="15" customHeight="1" x14ac:dyDescent="0.2">
      <c r="A956" s="2">
        <v>45840</v>
      </c>
      <c r="B956" s="3">
        <v>2783.0801000000001</v>
      </c>
      <c r="C956" s="3">
        <v>139051</v>
      </c>
      <c r="D956" s="4">
        <f t="shared" si="43"/>
        <v>-1.543143604572365E-2</v>
      </c>
      <c r="E956" s="4">
        <f t="shared" si="44"/>
        <v>-3.5750217545030402E-3</v>
      </c>
      <c r="F956" s="3">
        <f t="shared" si="42"/>
        <v>2025</v>
      </c>
    </row>
    <row r="957" spans="1:6" ht="15" customHeight="1" x14ac:dyDescent="0.2">
      <c r="A957" s="2">
        <v>45841</v>
      </c>
      <c r="B957" s="3">
        <v>2831.3200999999999</v>
      </c>
      <c r="C957" s="3">
        <v>140928</v>
      </c>
      <c r="D957" s="4">
        <f t="shared" si="43"/>
        <v>1.7184805304987207E-2</v>
      </c>
      <c r="E957" s="4">
        <f t="shared" si="44"/>
        <v>1.3408349348369071E-2</v>
      </c>
      <c r="F957" s="3">
        <f t="shared" si="42"/>
        <v>2025</v>
      </c>
    </row>
    <row r="958" spans="1:6" ht="15" customHeight="1" x14ac:dyDescent="0.2">
      <c r="A958" s="2">
        <v>45842</v>
      </c>
      <c r="B958" s="3">
        <v>2841.8899000000001</v>
      </c>
      <c r="C958" s="3">
        <v>141264</v>
      </c>
      <c r="D958" s="4">
        <f t="shared" si="43"/>
        <v>3.7262192761704153E-3</v>
      </c>
      <c r="E958" s="4">
        <f t="shared" si="44"/>
        <v>2.3813584990666514E-3</v>
      </c>
      <c r="F958" s="3">
        <f t="shared" si="42"/>
        <v>2025</v>
      </c>
    </row>
    <row r="959" spans="1:6" ht="15" customHeight="1" x14ac:dyDescent="0.2">
      <c r="A959" s="2">
        <v>45845</v>
      </c>
      <c r="B959" s="3">
        <v>2811.0700999999999</v>
      </c>
      <c r="C959" s="3">
        <v>139490</v>
      </c>
      <c r="D959" s="4">
        <f t="shared" si="43"/>
        <v>-1.090405924273828E-2</v>
      </c>
      <c r="E959" s="4">
        <f t="shared" si="44"/>
        <v>-1.2637566055082773E-2</v>
      </c>
      <c r="F959" s="3">
        <f t="shared" si="42"/>
        <v>2025</v>
      </c>
    </row>
    <row r="960" spans="1:6" ht="15" customHeight="1" x14ac:dyDescent="0.2">
      <c r="A960" s="2">
        <v>45846</v>
      </c>
      <c r="B960" s="3">
        <v>2796.4398999999999</v>
      </c>
      <c r="C960" s="3">
        <v>139303</v>
      </c>
      <c r="D960" s="4">
        <f t="shared" si="43"/>
        <v>-5.218085459113184E-3</v>
      </c>
      <c r="E960" s="4">
        <f t="shared" si="44"/>
        <v>-1.3414972975935146E-3</v>
      </c>
      <c r="F960" s="3">
        <f t="shared" si="42"/>
        <v>2025</v>
      </c>
    </row>
    <row r="961" spans="1:6" ht="15" customHeight="1" x14ac:dyDescent="0.2">
      <c r="A961" s="2">
        <v>45847</v>
      </c>
      <c r="B961" s="3">
        <v>2756.24</v>
      </c>
      <c r="C961" s="3">
        <v>137481</v>
      </c>
      <c r="D961" s="4">
        <f t="shared" si="43"/>
        <v>-1.4479711810392579E-2</v>
      </c>
      <c r="E961" s="4">
        <f t="shared" si="44"/>
        <v>-1.316569106609318E-2</v>
      </c>
      <c r="F961" s="3">
        <f t="shared" si="42"/>
        <v>2025</v>
      </c>
    </row>
    <row r="962" spans="1:6" ht="15" customHeight="1" x14ac:dyDescent="0.2">
      <c r="A962" s="2">
        <v>45848</v>
      </c>
      <c r="B962" s="3">
        <v>2728.48</v>
      </c>
      <c r="C962" s="3">
        <v>136743</v>
      </c>
      <c r="D962" s="4">
        <f t="shared" si="43"/>
        <v>-1.012275450605647E-2</v>
      </c>
      <c r="E962" s="4">
        <f t="shared" si="44"/>
        <v>-5.3824740483495214E-3</v>
      </c>
      <c r="F962" s="3">
        <f t="shared" ref="F962:F1025" si="45">YEAR(A962)</f>
        <v>2025</v>
      </c>
    </row>
    <row r="963" spans="1:6" ht="15" customHeight="1" x14ac:dyDescent="0.2">
      <c r="A963" s="2">
        <v>45849</v>
      </c>
      <c r="B963" s="3">
        <v>2689.0801000000001</v>
      </c>
      <c r="C963" s="3">
        <v>136187</v>
      </c>
      <c r="D963" s="4">
        <f t="shared" ref="D963:D1026" si="46">LN(B963/B962)</f>
        <v>-1.4545512714105651E-2</v>
      </c>
      <c r="E963" s="4">
        <f t="shared" ref="E963:E1026" si="47">LN(C963/C962)</f>
        <v>-4.0743104029118925E-3</v>
      </c>
      <c r="F963" s="3">
        <f t="shared" si="45"/>
        <v>2025</v>
      </c>
    </row>
    <row r="964" spans="1:6" ht="15" customHeight="1" x14ac:dyDescent="0.2">
      <c r="A964" s="2">
        <v>45852</v>
      </c>
      <c r="B964" s="3">
        <v>2668.3798999999999</v>
      </c>
      <c r="C964" s="3">
        <v>135299</v>
      </c>
      <c r="D964" s="4">
        <f t="shared" si="46"/>
        <v>-7.7276556473159395E-3</v>
      </c>
      <c r="E964" s="4">
        <f t="shared" si="47"/>
        <v>-6.5417971227676661E-3</v>
      </c>
      <c r="F964" s="3">
        <f t="shared" si="45"/>
        <v>2025</v>
      </c>
    </row>
    <row r="965" spans="1:6" ht="15" customHeight="1" x14ac:dyDescent="0.2">
      <c r="A965" s="2">
        <v>45853</v>
      </c>
      <c r="B965" s="3">
        <v>2689.27</v>
      </c>
      <c r="C965" s="3">
        <v>135250</v>
      </c>
      <c r="D965" s="4">
        <f t="shared" si="46"/>
        <v>7.7982720990335264E-3</v>
      </c>
      <c r="E965" s="4">
        <f t="shared" si="47"/>
        <v>-3.6222643983724768E-4</v>
      </c>
      <c r="F965" s="3">
        <f t="shared" si="45"/>
        <v>2025</v>
      </c>
    </row>
    <row r="966" spans="1:6" ht="15" customHeight="1" x14ac:dyDescent="0.2">
      <c r="A966" s="2">
        <v>45854</v>
      </c>
      <c r="B966" s="3">
        <v>2686.6698999999999</v>
      </c>
      <c r="C966" s="3">
        <v>135511</v>
      </c>
      <c r="D966" s="4">
        <f t="shared" si="46"/>
        <v>-9.6730999643078052E-4</v>
      </c>
      <c r="E966" s="4">
        <f t="shared" si="47"/>
        <v>1.9279001099889968E-3</v>
      </c>
      <c r="F966" s="3">
        <f t="shared" si="45"/>
        <v>2025</v>
      </c>
    </row>
    <row r="967" spans="1:6" ht="15" customHeight="1" x14ac:dyDescent="0.2">
      <c r="A967" s="2">
        <v>45855</v>
      </c>
      <c r="B967" s="3">
        <v>2689.6799000000001</v>
      </c>
      <c r="C967" s="3">
        <v>135565</v>
      </c>
      <c r="D967" s="4">
        <f t="shared" si="46"/>
        <v>1.1197189269520564E-3</v>
      </c>
      <c r="E967" s="4">
        <f t="shared" si="47"/>
        <v>3.9841225866030157E-4</v>
      </c>
      <c r="F967" s="3">
        <f t="shared" si="45"/>
        <v>2025</v>
      </c>
    </row>
    <row r="968" spans="1:6" ht="15" customHeight="1" x14ac:dyDescent="0.2">
      <c r="A968" s="2">
        <v>45856</v>
      </c>
      <c r="B968" s="3">
        <v>2615.5500000000002</v>
      </c>
      <c r="C968" s="3">
        <v>133382</v>
      </c>
      <c r="D968" s="4">
        <f t="shared" si="46"/>
        <v>-2.7947789801125052E-2</v>
      </c>
      <c r="E968" s="4">
        <f t="shared" si="47"/>
        <v>-1.623403825166329E-2</v>
      </c>
      <c r="F968" s="3">
        <f t="shared" si="45"/>
        <v>2025</v>
      </c>
    </row>
    <row r="969" spans="1:6" ht="15" customHeight="1" x14ac:dyDescent="0.2">
      <c r="A969" s="2">
        <v>45859</v>
      </c>
      <c r="B969" s="3">
        <v>2623.8798999999999</v>
      </c>
      <c r="C969" s="3">
        <v>134167</v>
      </c>
      <c r="D969" s="4">
        <f t="shared" si="46"/>
        <v>3.1796997678238625E-3</v>
      </c>
      <c r="E969" s="4">
        <f t="shared" si="47"/>
        <v>5.8681008158948771E-3</v>
      </c>
      <c r="F969" s="3">
        <f t="shared" si="45"/>
        <v>2025</v>
      </c>
    </row>
    <row r="970" spans="1:6" ht="15" customHeight="1" x14ac:dyDescent="0.2">
      <c r="A970" s="2">
        <v>45860</v>
      </c>
      <c r="B970" s="3">
        <v>2607.3400999999999</v>
      </c>
      <c r="C970" s="3">
        <v>134036</v>
      </c>
      <c r="D970" s="4">
        <f t="shared" si="46"/>
        <v>-6.323517311271276E-3</v>
      </c>
      <c r="E970" s="4">
        <f t="shared" si="47"/>
        <v>-9.7687207389582104E-4</v>
      </c>
      <c r="F970" s="3">
        <f t="shared" si="45"/>
        <v>2025</v>
      </c>
    </row>
    <row r="971" spans="1:6" ht="15" customHeight="1" x14ac:dyDescent="0.2">
      <c r="A971" s="2">
        <v>45861</v>
      </c>
      <c r="B971" s="3">
        <v>2645.8301000000001</v>
      </c>
      <c r="C971" s="3">
        <v>135368</v>
      </c>
      <c r="D971" s="4">
        <f t="shared" si="46"/>
        <v>1.4654270596681491E-2</v>
      </c>
      <c r="E971" s="4">
        <f t="shared" si="47"/>
        <v>9.8885751807496237E-3</v>
      </c>
      <c r="F971" s="3">
        <f t="shared" si="45"/>
        <v>2025</v>
      </c>
    </row>
    <row r="972" spans="1:6" ht="15" customHeight="1" x14ac:dyDescent="0.2">
      <c r="A972" s="2">
        <v>45862</v>
      </c>
      <c r="B972" s="3">
        <v>2614.23</v>
      </c>
      <c r="C972" s="3">
        <v>133808</v>
      </c>
      <c r="D972" s="4">
        <f t="shared" si="46"/>
        <v>-1.2015254413150201E-2</v>
      </c>
      <c r="E972" s="4">
        <f t="shared" si="47"/>
        <v>-1.1591059127155513E-2</v>
      </c>
      <c r="F972" s="3">
        <f t="shared" si="45"/>
        <v>2025</v>
      </c>
    </row>
    <row r="973" spans="1:6" ht="15" customHeight="1" x14ac:dyDescent="0.2">
      <c r="A973" s="2">
        <v>45863</v>
      </c>
      <c r="B973" s="3">
        <v>2614.04</v>
      </c>
      <c r="C973" s="3">
        <v>133524</v>
      </c>
      <c r="D973" s="4">
        <f t="shared" si="46"/>
        <v>-7.2681785785244304E-5</v>
      </c>
      <c r="E973" s="4">
        <f t="shared" si="47"/>
        <v>-2.1246996756061906E-3</v>
      </c>
      <c r="F973" s="3">
        <f t="shared" si="45"/>
        <v>2025</v>
      </c>
    </row>
    <row r="974" spans="1:6" ht="15" customHeight="1" x14ac:dyDescent="0.2">
      <c r="A974" s="2">
        <v>45866</v>
      </c>
      <c r="B974" s="3">
        <v>2577.1599000000001</v>
      </c>
      <c r="C974" s="3">
        <v>132129</v>
      </c>
      <c r="D974" s="4">
        <f t="shared" si="46"/>
        <v>-1.4208938664436257E-2</v>
      </c>
      <c r="E974" s="4">
        <f t="shared" si="47"/>
        <v>-1.0502518870021092E-2</v>
      </c>
      <c r="F974" s="3">
        <f t="shared" si="45"/>
        <v>2025</v>
      </c>
    </row>
    <row r="975" spans="1:6" ht="15" customHeight="1" x14ac:dyDescent="0.2">
      <c r="A975" s="2">
        <v>45867</v>
      </c>
      <c r="B975" s="3">
        <v>2587.0700999999999</v>
      </c>
      <c r="C975" s="3">
        <v>132726</v>
      </c>
      <c r="D975" s="4">
        <f t="shared" si="46"/>
        <v>3.8380212210158142E-3</v>
      </c>
      <c r="E975" s="4">
        <f t="shared" si="47"/>
        <v>4.5081347233979566E-3</v>
      </c>
      <c r="F975" s="3">
        <f t="shared" si="45"/>
        <v>2025</v>
      </c>
    </row>
    <row r="976" spans="1:6" ht="15" customHeight="1" x14ac:dyDescent="0.2">
      <c r="A976" s="2">
        <v>45868</v>
      </c>
      <c r="B976" s="3">
        <v>2622.5</v>
      </c>
      <c r="C976" s="3">
        <v>133990</v>
      </c>
      <c r="D976" s="4">
        <f t="shared" si="46"/>
        <v>1.3602061427961476E-2</v>
      </c>
      <c r="E976" s="4">
        <f t="shared" si="47"/>
        <v>9.4783174835761045E-3</v>
      </c>
      <c r="F976" s="3">
        <f t="shared" si="45"/>
        <v>2025</v>
      </c>
    </row>
    <row r="977" spans="1:6" ht="15" customHeight="1" x14ac:dyDescent="0.2">
      <c r="A977" s="2">
        <v>45869</v>
      </c>
      <c r="B977" s="3">
        <v>2597.3899000000001</v>
      </c>
      <c r="C977" s="3">
        <v>133071</v>
      </c>
      <c r="D977" s="4">
        <f t="shared" si="46"/>
        <v>-9.621005105911044E-3</v>
      </c>
      <c r="E977" s="4">
        <f t="shared" si="47"/>
        <v>-6.882349931289211E-3</v>
      </c>
      <c r="F977" s="3">
        <f t="shared" si="45"/>
        <v>2025</v>
      </c>
    </row>
    <row r="978" spans="1:6" ht="15" customHeight="1" x14ac:dyDescent="0.2">
      <c r="A978" s="2">
        <v>45870</v>
      </c>
      <c r="B978" s="3">
        <v>2592.75</v>
      </c>
      <c r="C978" s="3">
        <v>132437</v>
      </c>
      <c r="D978" s="4">
        <f t="shared" si="46"/>
        <v>-1.7879676946975561E-3</v>
      </c>
      <c r="E978" s="4">
        <f t="shared" si="47"/>
        <v>-4.7757597135748711E-3</v>
      </c>
      <c r="F978" s="3">
        <f t="shared" si="45"/>
        <v>2025</v>
      </c>
    </row>
    <row r="979" spans="1:6" ht="15" customHeight="1" x14ac:dyDescent="0.2">
      <c r="A979" s="2">
        <v>45873</v>
      </c>
      <c r="B979" s="3">
        <v>2614.1599000000001</v>
      </c>
      <c r="C979" s="3">
        <v>132971</v>
      </c>
      <c r="D979" s="4">
        <f t="shared" si="46"/>
        <v>8.2236954632175056E-3</v>
      </c>
      <c r="E979" s="4">
        <f t="shared" si="47"/>
        <v>4.0239986780274449E-3</v>
      </c>
      <c r="F979" s="3">
        <f t="shared" si="45"/>
        <v>2025</v>
      </c>
    </row>
    <row r="980" spans="1:6" ht="15" customHeight="1" x14ac:dyDescent="0.2">
      <c r="A980" s="2">
        <v>45874</v>
      </c>
      <c r="B980" s="3">
        <v>2615.4499999999998</v>
      </c>
      <c r="C980" s="3">
        <v>133151</v>
      </c>
      <c r="D980" s="4">
        <f t="shared" si="46"/>
        <v>4.9338289120576001E-4</v>
      </c>
      <c r="E980" s="4">
        <f t="shared" si="47"/>
        <v>1.3527632247580187E-3</v>
      </c>
      <c r="F980" s="3">
        <f t="shared" si="45"/>
        <v>2025</v>
      </c>
    </row>
    <row r="981" spans="1:6" ht="15" customHeight="1" x14ac:dyDescent="0.2">
      <c r="A981" s="2">
        <v>45875</v>
      </c>
      <c r="B981" s="3">
        <v>2668.27</v>
      </c>
      <c r="C981" s="3">
        <v>134538</v>
      </c>
      <c r="D981" s="4">
        <f t="shared" si="46"/>
        <v>1.9994155491233578E-2</v>
      </c>
      <c r="E981" s="4">
        <f t="shared" si="47"/>
        <v>1.0362864461010604E-2</v>
      </c>
      <c r="F981" s="3">
        <f t="shared" si="45"/>
        <v>2025</v>
      </c>
    </row>
    <row r="982" spans="1:6" ht="15" customHeight="1" x14ac:dyDescent="0.2">
      <c r="A982" s="2">
        <v>45876</v>
      </c>
      <c r="B982" s="3">
        <v>2692.25</v>
      </c>
      <c r="C982" s="3">
        <v>136528</v>
      </c>
      <c r="D982" s="4">
        <f t="shared" si="46"/>
        <v>8.9469528934899359E-3</v>
      </c>
      <c r="E982" s="4">
        <f t="shared" si="47"/>
        <v>1.4683034774780354E-2</v>
      </c>
      <c r="F982" s="3">
        <f t="shared" si="45"/>
        <v>2025</v>
      </c>
    </row>
    <row r="983" spans="1:6" ht="15" customHeight="1" x14ac:dyDescent="0.2">
      <c r="A983" s="2">
        <v>45877</v>
      </c>
      <c r="B983" s="3">
        <v>2683.6799000000001</v>
      </c>
      <c r="C983" s="3">
        <v>135913</v>
      </c>
      <c r="D983" s="4">
        <f t="shared" si="46"/>
        <v>-3.1883255248128057E-3</v>
      </c>
      <c r="E983" s="4">
        <f t="shared" si="47"/>
        <v>-4.5147466396407154E-3</v>
      </c>
      <c r="F983" s="3">
        <f t="shared" si="45"/>
        <v>2025</v>
      </c>
    </row>
    <row r="984" spans="1:6" ht="15" customHeight="1" x14ac:dyDescent="0.2">
      <c r="A984" s="2">
        <v>45880</v>
      </c>
      <c r="B984" s="3">
        <v>2671.3899000000001</v>
      </c>
      <c r="C984" s="3">
        <v>135623</v>
      </c>
      <c r="D984" s="4">
        <f t="shared" si="46"/>
        <v>-4.5900509374189784E-3</v>
      </c>
      <c r="E984" s="4">
        <f t="shared" si="47"/>
        <v>-2.1359975123744438E-3</v>
      </c>
      <c r="F984" s="3">
        <f t="shared" si="45"/>
        <v>2025</v>
      </c>
    </row>
    <row r="985" spans="1:6" ht="15" customHeight="1" x14ac:dyDescent="0.2">
      <c r="A985" s="2">
        <v>45881</v>
      </c>
      <c r="B985" s="3">
        <v>2696.6100999999999</v>
      </c>
      <c r="C985" s="3">
        <v>137914</v>
      </c>
      <c r="D985" s="4">
        <f t="shared" si="46"/>
        <v>9.3965669034438929E-3</v>
      </c>
      <c r="E985" s="4">
        <f t="shared" si="47"/>
        <v>1.6751324846586885E-2</v>
      </c>
      <c r="F985" s="3">
        <f t="shared" si="45"/>
        <v>2025</v>
      </c>
    </row>
    <row r="986" spans="1:6" ht="15" customHeight="1" x14ac:dyDescent="0.2">
      <c r="A986" s="2">
        <v>45882</v>
      </c>
      <c r="B986" s="3">
        <v>2672.8200999999999</v>
      </c>
      <c r="C986" s="3">
        <v>136687</v>
      </c>
      <c r="D986" s="4">
        <f t="shared" si="46"/>
        <v>-8.8613334324003507E-3</v>
      </c>
      <c r="E986" s="4">
        <f t="shared" si="47"/>
        <v>-8.9366620374711544E-3</v>
      </c>
      <c r="F986" s="3">
        <f t="shared" si="45"/>
        <v>2025</v>
      </c>
    </row>
    <row r="987" spans="1:6" ht="15" customHeight="1" x14ac:dyDescent="0.2">
      <c r="A987" s="2">
        <v>45883</v>
      </c>
      <c r="B987" s="3">
        <v>2676.8101000000001</v>
      </c>
      <c r="C987" s="3">
        <v>136356</v>
      </c>
      <c r="D987" s="4">
        <f t="shared" si="46"/>
        <v>1.4916921696236872E-3</v>
      </c>
      <c r="E987" s="4">
        <f t="shared" si="47"/>
        <v>-2.4245277274571593E-3</v>
      </c>
      <c r="F987" s="3">
        <f t="shared" si="45"/>
        <v>2025</v>
      </c>
    </row>
    <row r="988" spans="1:6" ht="15" customHeight="1" x14ac:dyDescent="0.2">
      <c r="A988" s="2">
        <v>45884</v>
      </c>
      <c r="B988" s="3">
        <v>2693.1498999999999</v>
      </c>
      <c r="C988" s="3">
        <v>136341</v>
      </c>
      <c r="D988" s="4">
        <f t="shared" si="46"/>
        <v>6.0856507046134177E-3</v>
      </c>
      <c r="E988" s="4">
        <f t="shared" si="47"/>
        <v>-1.1001221146639011E-4</v>
      </c>
      <c r="F988" s="3">
        <f t="shared" si="45"/>
        <v>2025</v>
      </c>
    </row>
    <row r="989" spans="1:6" ht="15" customHeight="1" x14ac:dyDescent="0.2">
      <c r="A989" s="2">
        <v>45887</v>
      </c>
      <c r="B989" s="3">
        <v>2716.48</v>
      </c>
      <c r="C989" s="3">
        <v>137322</v>
      </c>
      <c r="D989" s="4">
        <f t="shared" si="46"/>
        <v>8.6254494575637268E-3</v>
      </c>
      <c r="E989" s="4">
        <f t="shared" si="47"/>
        <v>7.1694324918510442E-3</v>
      </c>
      <c r="F989" s="3">
        <f t="shared" si="45"/>
        <v>2025</v>
      </c>
    </row>
    <row r="990" spans="1:6" ht="15" customHeight="1" x14ac:dyDescent="0.2">
      <c r="A990" s="2">
        <v>45888</v>
      </c>
      <c r="B990" s="3">
        <v>2644.2</v>
      </c>
      <c r="C990" s="3">
        <v>134432</v>
      </c>
      <c r="D990" s="4">
        <f t="shared" si="46"/>
        <v>-2.6968362473606757E-2</v>
      </c>
      <c r="E990" s="4">
        <f t="shared" si="47"/>
        <v>-2.1270038017285425E-2</v>
      </c>
      <c r="F990" s="3">
        <f t="shared" si="45"/>
        <v>2025</v>
      </c>
    </row>
    <row r="991" spans="1:6" ht="15" customHeight="1" x14ac:dyDescent="0.2">
      <c r="A991" s="2">
        <v>45889</v>
      </c>
      <c r="B991" s="3">
        <v>2646.5900999999999</v>
      </c>
      <c r="C991" s="3">
        <v>134666</v>
      </c>
      <c r="D991" s="4">
        <f t="shared" si="46"/>
        <v>9.0349460757744606E-4</v>
      </c>
      <c r="E991" s="4">
        <f t="shared" si="47"/>
        <v>1.739143798765551E-3</v>
      </c>
      <c r="F991" s="3">
        <f t="shared" si="45"/>
        <v>2025</v>
      </c>
    </row>
    <row r="992" spans="1:6" ht="15" customHeight="1" x14ac:dyDescent="0.2">
      <c r="A992" s="2">
        <v>45890</v>
      </c>
      <c r="B992" s="3">
        <v>2635.5601000000001</v>
      </c>
      <c r="C992" s="3">
        <v>134511</v>
      </c>
      <c r="D992" s="4">
        <f t="shared" si="46"/>
        <v>-4.1763356263126647E-3</v>
      </c>
      <c r="E992" s="4">
        <f t="shared" si="47"/>
        <v>-1.1516587013869009E-3</v>
      </c>
      <c r="F992" s="3">
        <f t="shared" si="45"/>
        <v>2025</v>
      </c>
    </row>
    <row r="993" spans="1:6" ht="15" customHeight="1" x14ac:dyDescent="0.2">
      <c r="A993" s="2">
        <v>45891</v>
      </c>
      <c r="B993" s="3">
        <v>2709.55</v>
      </c>
      <c r="C993" s="3">
        <v>137968</v>
      </c>
      <c r="D993" s="4">
        <f t="shared" si="46"/>
        <v>2.768684836786571E-2</v>
      </c>
      <c r="E993" s="4">
        <f t="shared" si="47"/>
        <v>2.5375794125618325E-2</v>
      </c>
      <c r="F993" s="3">
        <f t="shared" si="45"/>
        <v>2025</v>
      </c>
    </row>
    <row r="994" spans="1:6" ht="15" customHeight="1" x14ac:dyDescent="0.2">
      <c r="A994" s="2">
        <v>45894</v>
      </c>
      <c r="B994" s="3">
        <v>2704.1399000000001</v>
      </c>
      <c r="C994" s="3">
        <v>138025</v>
      </c>
      <c r="D994" s="4">
        <f t="shared" si="46"/>
        <v>-1.9986744349641521E-3</v>
      </c>
      <c r="E994" s="4">
        <f t="shared" si="47"/>
        <v>4.1305396013961606E-4</v>
      </c>
      <c r="F994" s="3">
        <f t="shared" si="45"/>
        <v>2025</v>
      </c>
    </row>
    <row r="995" spans="1:6" ht="15" customHeight="1" x14ac:dyDescent="0.2">
      <c r="A995" s="2">
        <v>45895</v>
      </c>
      <c r="B995" s="3">
        <v>2702.3600999999999</v>
      </c>
      <c r="C995" s="3">
        <v>137771</v>
      </c>
      <c r="D995" s="4">
        <f t="shared" si="46"/>
        <v>-6.5839269926669939E-4</v>
      </c>
      <c r="E995" s="4">
        <f t="shared" si="47"/>
        <v>-1.841941665674481E-3</v>
      </c>
      <c r="F995" s="3">
        <f t="shared" si="45"/>
        <v>2025</v>
      </c>
    </row>
    <row r="996" spans="1:6" ht="15" customHeight="1" x14ac:dyDescent="0.2">
      <c r="A996" s="2">
        <v>45896</v>
      </c>
      <c r="B996" s="3">
        <v>2740.4299000000001</v>
      </c>
      <c r="C996" s="3">
        <v>139206</v>
      </c>
      <c r="D996" s="4">
        <f t="shared" si="46"/>
        <v>1.3989303594264996E-2</v>
      </c>
      <c r="E996" s="4">
        <f t="shared" si="47"/>
        <v>1.0361963915234503E-2</v>
      </c>
      <c r="F996" s="3">
        <f t="shared" si="45"/>
        <v>2025</v>
      </c>
    </row>
    <row r="997" spans="1:6" ht="15" customHeight="1" x14ac:dyDescent="0.2">
      <c r="A997" s="2">
        <v>45897</v>
      </c>
      <c r="B997" s="3">
        <v>2793.1799000000001</v>
      </c>
      <c r="C997" s="3">
        <v>141049</v>
      </c>
      <c r="D997" s="4">
        <f t="shared" si="46"/>
        <v>1.9065890013283675E-2</v>
      </c>
      <c r="E997" s="4">
        <f t="shared" si="47"/>
        <v>1.3152497318696129E-2</v>
      </c>
      <c r="F997" s="3">
        <f t="shared" si="45"/>
        <v>2025</v>
      </c>
    </row>
    <row r="998" spans="1:6" ht="15" customHeight="1" x14ac:dyDescent="0.2">
      <c r="A998" s="2">
        <v>45898</v>
      </c>
      <c r="B998" s="3">
        <v>2792.0700999999999</v>
      </c>
      <c r="C998" s="3">
        <v>141422</v>
      </c>
      <c r="D998" s="4">
        <f t="shared" si="46"/>
        <v>-3.9740388151148528E-4</v>
      </c>
      <c r="E998" s="4">
        <f t="shared" si="47"/>
        <v>2.6409806089782262E-3</v>
      </c>
      <c r="F998" s="3">
        <f t="shared" si="45"/>
        <v>2025</v>
      </c>
    </row>
    <row r="999" spans="1:6" ht="15" customHeight="1" x14ac:dyDescent="0.2">
      <c r="A999" s="2">
        <v>45901</v>
      </c>
      <c r="B999" s="3">
        <v>2789.5700999999999</v>
      </c>
      <c r="C999" s="3">
        <v>141283</v>
      </c>
      <c r="D999" s="4">
        <f t="shared" si="46"/>
        <v>-8.9579409549771412E-4</v>
      </c>
      <c r="E999" s="4">
        <f t="shared" si="47"/>
        <v>-9.8335728905380956E-4</v>
      </c>
      <c r="F999" s="3">
        <f t="shared" si="45"/>
        <v>2025</v>
      </c>
    </row>
    <row r="1000" spans="1:6" ht="15" customHeight="1" x14ac:dyDescent="0.2">
      <c r="A1000" s="2">
        <v>45902</v>
      </c>
      <c r="B1000" s="3">
        <v>2755.51</v>
      </c>
      <c r="C1000" s="3">
        <v>140335</v>
      </c>
      <c r="D1000" s="4">
        <f t="shared" si="46"/>
        <v>-1.2284954499304801E-2</v>
      </c>
      <c r="E1000" s="4">
        <f t="shared" si="47"/>
        <v>-6.7325496299813188E-3</v>
      </c>
      <c r="F1000" s="3">
        <f t="shared" si="45"/>
        <v>2025</v>
      </c>
    </row>
    <row r="1001" spans="1:6" ht="15" customHeight="1" x14ac:dyDescent="0.2">
      <c r="A1001" s="2">
        <v>45903</v>
      </c>
      <c r="B1001" s="3">
        <v>2757.5601000000001</v>
      </c>
      <c r="C1001" s="3">
        <v>139864</v>
      </c>
      <c r="D1001" s="4">
        <f t="shared" si="46"/>
        <v>7.437235722783501E-4</v>
      </c>
      <c r="E1001" s="4">
        <f t="shared" si="47"/>
        <v>-3.3618995329596697E-3</v>
      </c>
      <c r="F1001" s="3">
        <f t="shared" si="45"/>
        <v>2025</v>
      </c>
    </row>
    <row r="1002" spans="1:6" ht="15" customHeight="1" x14ac:dyDescent="0.2">
      <c r="A1002" s="2">
        <v>45904</v>
      </c>
      <c r="B1002" s="3">
        <v>2786.0700999999999</v>
      </c>
      <c r="C1002" s="3">
        <v>140993</v>
      </c>
      <c r="D1002" s="4">
        <f t="shared" si="46"/>
        <v>1.028576955069152E-2</v>
      </c>
      <c r="E1002" s="4">
        <f t="shared" si="47"/>
        <v>8.0397218603763532E-3</v>
      </c>
      <c r="F1002" s="3">
        <f t="shared" si="45"/>
        <v>2025</v>
      </c>
    </row>
    <row r="1003" spans="1:6" ht="15" customHeight="1" x14ac:dyDescent="0.2">
      <c r="A1003" s="2">
        <v>45905</v>
      </c>
      <c r="B1003" s="3">
        <v>2835.29</v>
      </c>
      <c r="C1003" s="3">
        <v>142640</v>
      </c>
      <c r="D1003" s="4">
        <f t="shared" si="46"/>
        <v>1.7512188154162976E-2</v>
      </c>
      <c r="E1003" s="4">
        <f t="shared" si="47"/>
        <v>1.1613729799160741E-2</v>
      </c>
      <c r="F1003" s="3">
        <f t="shared" si="45"/>
        <v>2025</v>
      </c>
    </row>
    <row r="1004" spans="1:6" ht="15" customHeight="1" x14ac:dyDescent="0.2">
      <c r="A1004" s="2">
        <v>45908</v>
      </c>
      <c r="B1004" s="3">
        <v>2798.03</v>
      </c>
      <c r="C1004" s="3">
        <v>141792</v>
      </c>
      <c r="D1004" s="4">
        <f t="shared" si="46"/>
        <v>-1.3228626587070547E-2</v>
      </c>
      <c r="E1004" s="4">
        <f t="shared" si="47"/>
        <v>-5.962778537805977E-3</v>
      </c>
      <c r="F1004" s="3">
        <f t="shared" si="45"/>
        <v>2025</v>
      </c>
    </row>
    <row r="1005" spans="1:6" ht="15" customHeight="1" x14ac:dyDescent="0.2">
      <c r="A1005" s="2">
        <v>45909</v>
      </c>
      <c r="B1005" s="3">
        <v>2792.79</v>
      </c>
      <c r="C1005" s="3">
        <v>141618</v>
      </c>
      <c r="D1005" s="4">
        <f t="shared" si="46"/>
        <v>-1.8745019636980061E-3</v>
      </c>
      <c r="E1005" s="4">
        <f t="shared" si="47"/>
        <v>-1.2279031922820362E-3</v>
      </c>
      <c r="F1005" s="3">
        <f t="shared" si="45"/>
        <v>2025</v>
      </c>
    </row>
    <row r="1006" spans="1:6" ht="15" customHeight="1" x14ac:dyDescent="0.2">
      <c r="A1006" s="2">
        <v>45910</v>
      </c>
      <c r="B1006" s="3">
        <v>2807.1100999999999</v>
      </c>
      <c r="C1006" s="3">
        <v>142349</v>
      </c>
      <c r="D1006" s="4">
        <f t="shared" si="46"/>
        <v>5.1144238143173305E-3</v>
      </c>
      <c r="E1006" s="4">
        <f t="shared" si="47"/>
        <v>5.1484969360426954E-3</v>
      </c>
      <c r="F1006" s="3">
        <f t="shared" si="45"/>
        <v>2025</v>
      </c>
    </row>
    <row r="1007" spans="1:6" ht="15" customHeight="1" x14ac:dyDescent="0.2">
      <c r="A1007" s="2">
        <v>45911</v>
      </c>
      <c r="B1007" s="3">
        <v>2831.3600999999999</v>
      </c>
      <c r="C1007" s="3">
        <v>143151</v>
      </c>
      <c r="D1007" s="4">
        <f t="shared" si="46"/>
        <v>8.6016769296543213E-3</v>
      </c>
      <c r="E1007" s="4">
        <f t="shared" si="47"/>
        <v>5.6182284382417869E-3</v>
      </c>
      <c r="F1007" s="3">
        <f t="shared" si="45"/>
        <v>2025</v>
      </c>
    </row>
    <row r="1008" spans="1:6" ht="15" customHeight="1" x14ac:dyDescent="0.2">
      <c r="A1008" s="2">
        <v>45912</v>
      </c>
      <c r="B1008" s="3">
        <v>2818.1898999999999</v>
      </c>
      <c r="C1008" s="3">
        <v>142272</v>
      </c>
      <c r="D1008" s="4">
        <f t="shared" si="46"/>
        <v>-4.6623974857304649E-3</v>
      </c>
      <c r="E1008" s="4">
        <f t="shared" si="47"/>
        <v>-6.1592988573502209E-3</v>
      </c>
      <c r="F1008" s="3">
        <f t="shared" si="45"/>
        <v>2025</v>
      </c>
    </row>
    <row r="1009" spans="1:6" ht="15" customHeight="1" x14ac:dyDescent="0.2">
      <c r="A1009" s="2">
        <v>45915</v>
      </c>
      <c r="B1009" s="3">
        <v>2840.6698999999999</v>
      </c>
      <c r="C1009" s="3">
        <v>143547</v>
      </c>
      <c r="D1009" s="4">
        <f t="shared" si="46"/>
        <v>7.9451052148260398E-3</v>
      </c>
      <c r="E1009" s="4">
        <f t="shared" si="47"/>
        <v>8.9217893653735589E-3</v>
      </c>
      <c r="F1009" s="3">
        <f t="shared" si="45"/>
        <v>2025</v>
      </c>
    </row>
    <row r="1010" spans="1:6" ht="15" customHeight="1" x14ac:dyDescent="0.2">
      <c r="A1010" s="2">
        <v>45916</v>
      </c>
      <c r="B1010" s="3">
        <v>2858.55</v>
      </c>
      <c r="C1010" s="3">
        <v>144062</v>
      </c>
      <c r="D1010" s="4">
        <f t="shared" si="46"/>
        <v>6.274598620932605E-3</v>
      </c>
      <c r="E1010" s="4">
        <f t="shared" si="47"/>
        <v>3.5812547620045201E-3</v>
      </c>
      <c r="F1010" s="3">
        <f t="shared" si="45"/>
        <v>2025</v>
      </c>
    </row>
    <row r="1011" spans="1:6" ht="15" customHeight="1" x14ac:dyDescent="0.2">
      <c r="A1011" s="2">
        <v>45917</v>
      </c>
      <c r="B1011" s="3">
        <v>2897.96</v>
      </c>
      <c r="C1011" s="3">
        <v>145594</v>
      </c>
      <c r="D1011" s="4">
        <f t="shared" si="46"/>
        <v>1.3692537920377596E-2</v>
      </c>
      <c r="E1011" s="4">
        <f t="shared" si="47"/>
        <v>1.0578163653161774E-2</v>
      </c>
      <c r="F1011" s="3">
        <f t="shared" si="45"/>
        <v>2025</v>
      </c>
    </row>
    <row r="1012" spans="1:6" ht="15" customHeight="1" x14ac:dyDescent="0.2">
      <c r="A1012" s="2">
        <v>45918</v>
      </c>
      <c r="B1012" s="3">
        <v>2896.1599000000001</v>
      </c>
      <c r="C1012" s="3">
        <v>145499</v>
      </c>
      <c r="D1012" s="4">
        <f t="shared" si="46"/>
        <v>-6.2135409310922504E-4</v>
      </c>
      <c r="E1012" s="4">
        <f t="shared" si="47"/>
        <v>-6.527123865758635E-4</v>
      </c>
      <c r="F1012" s="3">
        <f t="shared" si="45"/>
        <v>2025</v>
      </c>
    </row>
    <row r="1013" spans="1:6" ht="15" customHeight="1" x14ac:dyDescent="0.2">
      <c r="A1013" s="2">
        <v>45919</v>
      </c>
      <c r="B1013" s="3">
        <v>2889.1399000000001</v>
      </c>
      <c r="C1013" s="3">
        <v>145865</v>
      </c>
      <c r="D1013" s="4">
        <f t="shared" si="46"/>
        <v>-2.4268417154086055E-3</v>
      </c>
      <c r="E1013" s="4">
        <f t="shared" si="47"/>
        <v>2.5123226789089724E-3</v>
      </c>
      <c r="F1013" s="3">
        <f t="shared" si="45"/>
        <v>2025</v>
      </c>
    </row>
    <row r="1014" spans="1:6" ht="15" customHeight="1" x14ac:dyDescent="0.2">
      <c r="A1014" s="2">
        <v>45922</v>
      </c>
      <c r="B1014" s="3">
        <v>2851.29</v>
      </c>
      <c r="C1014" s="3">
        <v>145109</v>
      </c>
      <c r="D1014" s="4">
        <f t="shared" si="46"/>
        <v>-1.3187321919483526E-2</v>
      </c>
      <c r="E1014" s="4">
        <f t="shared" si="47"/>
        <v>-5.1963522591713784E-3</v>
      </c>
      <c r="F1014" s="3">
        <f t="shared" si="45"/>
        <v>2025</v>
      </c>
    </row>
    <row r="1015" spans="1:6" ht="15" customHeight="1" x14ac:dyDescent="0.2">
      <c r="A1015" s="2">
        <v>45923</v>
      </c>
      <c r="B1015" s="3">
        <v>2869.8899000000001</v>
      </c>
      <c r="C1015" s="3">
        <v>146425</v>
      </c>
      <c r="D1015" s="4">
        <f t="shared" si="46"/>
        <v>6.5021432136033288E-3</v>
      </c>
      <c r="E1015" s="4">
        <f t="shared" si="47"/>
        <v>9.0281678204130727E-3</v>
      </c>
      <c r="F1015" s="3">
        <f t="shared" si="45"/>
        <v>2025</v>
      </c>
    </row>
    <row r="1016" spans="1:6" ht="15" customHeight="1" x14ac:dyDescent="0.2">
      <c r="A1016" s="2">
        <v>45924</v>
      </c>
      <c r="B1016" s="3">
        <v>2861.3701000000001</v>
      </c>
      <c r="C1016" s="3">
        <v>146492</v>
      </c>
      <c r="D1016" s="4">
        <f t="shared" si="46"/>
        <v>-2.9731006011850785E-3</v>
      </c>
      <c r="E1016" s="4">
        <f t="shared" si="47"/>
        <v>4.5746748169926297E-4</v>
      </c>
      <c r="F1016" s="3">
        <f t="shared" si="45"/>
        <v>2025</v>
      </c>
    </row>
    <row r="1017" spans="1:6" ht="15" customHeight="1" x14ac:dyDescent="0.2">
      <c r="A1017" s="2">
        <v>45925</v>
      </c>
      <c r="B1017" s="3">
        <v>2823.55</v>
      </c>
      <c r="C1017" s="3">
        <v>145306</v>
      </c>
      <c r="D1017" s="4">
        <f t="shared" si="46"/>
        <v>-1.330560757339468E-2</v>
      </c>
      <c r="E1017" s="4">
        <f t="shared" si="47"/>
        <v>-8.1289558591347531E-3</v>
      </c>
      <c r="F1017" s="3">
        <f t="shared" si="45"/>
        <v>2025</v>
      </c>
    </row>
    <row r="1018" spans="1:6" ht="15" customHeight="1" x14ac:dyDescent="0.2">
      <c r="A1018" s="2">
        <v>45926</v>
      </c>
      <c r="B1018" s="3">
        <v>2845.53</v>
      </c>
      <c r="C1018" s="3">
        <v>145447</v>
      </c>
      <c r="D1018" s="4">
        <f t="shared" si="46"/>
        <v>7.7543834762799826E-3</v>
      </c>
      <c r="E1018" s="4">
        <f t="shared" si="47"/>
        <v>9.6989548553711856E-4</v>
      </c>
      <c r="F1018" s="3">
        <f t="shared" si="45"/>
        <v>2025</v>
      </c>
    </row>
    <row r="1019" spans="1:6" ht="15" customHeight="1" x14ac:dyDescent="0.2">
      <c r="A1019" s="2">
        <v>45929</v>
      </c>
      <c r="B1019" s="3">
        <v>2868.05</v>
      </c>
      <c r="C1019" s="3">
        <v>146337</v>
      </c>
      <c r="D1019" s="4">
        <f t="shared" si="46"/>
        <v>7.8830143691138686E-3</v>
      </c>
      <c r="E1019" s="4">
        <f t="shared" si="47"/>
        <v>6.1004219568020351E-3</v>
      </c>
      <c r="F1019" s="3">
        <f t="shared" si="45"/>
        <v>2025</v>
      </c>
    </row>
    <row r="1020" spans="1:6" ht="15" customHeight="1" x14ac:dyDescent="0.2">
      <c r="A1020" s="2">
        <v>45930</v>
      </c>
      <c r="B1020" s="3">
        <v>2863.8301000000001</v>
      </c>
      <c r="C1020" s="3">
        <v>146237</v>
      </c>
      <c r="D1020" s="4">
        <f t="shared" si="46"/>
        <v>-1.4724316241068785E-3</v>
      </c>
      <c r="E1020" s="4">
        <f t="shared" si="47"/>
        <v>-6.8358776852422303E-4</v>
      </c>
      <c r="F1020" s="3">
        <f t="shared" si="45"/>
        <v>2025</v>
      </c>
    </row>
    <row r="1021" spans="1:6" ht="15" customHeight="1" x14ac:dyDescent="0.2">
      <c r="A1021" s="2">
        <v>45931</v>
      </c>
      <c r="B1021" s="3">
        <v>2831.52</v>
      </c>
      <c r="C1021" s="3">
        <v>145517</v>
      </c>
      <c r="D1021" s="4">
        <f t="shared" si="46"/>
        <v>-1.1346254772306585E-2</v>
      </c>
      <c r="E1021" s="4">
        <f t="shared" si="47"/>
        <v>-4.935674997790354E-3</v>
      </c>
      <c r="F1021" s="3">
        <f t="shared" si="45"/>
        <v>2025</v>
      </c>
    </row>
    <row r="1022" spans="1:6" ht="15" customHeight="1" x14ac:dyDescent="0.2">
      <c r="A1022" s="2">
        <v>45932</v>
      </c>
      <c r="B1022" s="3">
        <v>2788.6001000000001</v>
      </c>
      <c r="C1022" s="3">
        <v>143950</v>
      </c>
      <c r="D1022" s="4">
        <f t="shared" si="46"/>
        <v>-1.5273956301666508E-2</v>
      </c>
      <c r="E1022" s="4">
        <f t="shared" si="47"/>
        <v>-1.0826901216250307E-2</v>
      </c>
      <c r="F1022" s="3">
        <f t="shared" si="45"/>
        <v>2025</v>
      </c>
    </row>
    <row r="1023" spans="1:6" ht="15" customHeight="1" x14ac:dyDescent="0.2">
      <c r="A1023" s="2">
        <v>45933</v>
      </c>
      <c r="B1023" s="3">
        <v>2794</v>
      </c>
      <c r="C1023" s="3">
        <v>144201</v>
      </c>
      <c r="D1023" s="4">
        <f t="shared" si="46"/>
        <v>1.9345471956987875E-3</v>
      </c>
      <c r="E1023" s="4">
        <f t="shared" si="47"/>
        <v>1.7421425813781979E-3</v>
      </c>
      <c r="F1023" s="3">
        <f t="shared" si="45"/>
        <v>2025</v>
      </c>
    </row>
    <row r="1024" spans="1:6" ht="15" customHeight="1" x14ac:dyDescent="0.2">
      <c r="A1024" s="2">
        <v>45936</v>
      </c>
      <c r="B1024" s="3">
        <v>2765.6498999999999</v>
      </c>
      <c r="C1024" s="3">
        <v>143608</v>
      </c>
      <c r="D1024" s="4">
        <f t="shared" si="46"/>
        <v>-1.0198608271312642E-2</v>
      </c>
      <c r="E1024" s="4">
        <f t="shared" si="47"/>
        <v>-4.1207942707940613E-3</v>
      </c>
      <c r="F1024" s="3">
        <f t="shared" si="45"/>
        <v>2025</v>
      </c>
    </row>
    <row r="1025" spans="1:6" ht="15" customHeight="1" x14ac:dyDescent="0.2">
      <c r="A1025" s="2">
        <v>45937</v>
      </c>
      <c r="B1025" s="3">
        <v>2705.8200999999999</v>
      </c>
      <c r="C1025" s="3">
        <v>141356</v>
      </c>
      <c r="D1025" s="4">
        <f t="shared" si="46"/>
        <v>-2.1870606916971829E-2</v>
      </c>
      <c r="E1025" s="4">
        <f t="shared" si="47"/>
        <v>-1.580583430550405E-2</v>
      </c>
      <c r="F1025" s="3">
        <f t="shared" si="45"/>
        <v>2025</v>
      </c>
    </row>
    <row r="1026" spans="1:6" ht="15" customHeight="1" x14ac:dyDescent="0.2">
      <c r="A1026" s="2">
        <v>45938</v>
      </c>
      <c r="B1026" s="3">
        <v>2729.53</v>
      </c>
      <c r="C1026" s="3">
        <v>142145</v>
      </c>
      <c r="D1026" s="4">
        <f t="shared" si="46"/>
        <v>8.7243875567859178E-3</v>
      </c>
      <c r="E1026" s="4">
        <f t="shared" si="47"/>
        <v>5.5661323032665019E-3</v>
      </c>
      <c r="F1026" s="3">
        <f t="shared" ref="F1026:F1089" si="48">YEAR(A1026)</f>
        <v>2025</v>
      </c>
    </row>
    <row r="1027" spans="1:6" ht="15" customHeight="1" x14ac:dyDescent="0.2">
      <c r="A1027" s="2">
        <v>45939</v>
      </c>
      <c r="B1027" s="3">
        <v>2728.1001000000001</v>
      </c>
      <c r="C1027" s="3">
        <v>141708</v>
      </c>
      <c r="D1027" s="4">
        <f t="shared" ref="D1027:D1090" si="49">LN(B1027/B1026)</f>
        <v>-5.2400034686049578E-4</v>
      </c>
      <c r="E1027" s="4">
        <f t="shared" ref="E1027:E1090" si="50">LN(C1027/C1026)</f>
        <v>-3.079060959386678E-3</v>
      </c>
      <c r="F1027" s="3">
        <f t="shared" si="48"/>
        <v>2025</v>
      </c>
    </row>
    <row r="1028" spans="1:6" ht="15" customHeight="1" x14ac:dyDescent="0.2">
      <c r="A1028" s="2">
        <v>45940</v>
      </c>
      <c r="B1028" s="3">
        <v>2705.04</v>
      </c>
      <c r="C1028" s="3">
        <v>140680</v>
      </c>
      <c r="D1028" s="4">
        <f t="shared" si="49"/>
        <v>-8.4887332366152049E-3</v>
      </c>
      <c r="E1028" s="4">
        <f t="shared" si="50"/>
        <v>-7.2807948013631479E-3</v>
      </c>
      <c r="F1028" s="3">
        <f t="shared" si="48"/>
        <v>2025</v>
      </c>
    </row>
    <row r="1029" spans="1:6" ht="15" customHeight="1" x14ac:dyDescent="0.2">
      <c r="A1029" s="2">
        <v>45943</v>
      </c>
      <c r="B1029" s="3">
        <v>2718.46</v>
      </c>
      <c r="C1029" s="3">
        <v>141783</v>
      </c>
      <c r="D1029" s="4">
        <f t="shared" si="49"/>
        <v>4.94884387910117E-3</v>
      </c>
      <c r="E1029" s="4">
        <f t="shared" si="50"/>
        <v>7.8099121401836022E-3</v>
      </c>
      <c r="F1029" s="3">
        <f t="shared" si="48"/>
        <v>2025</v>
      </c>
    </row>
    <row r="1030" spans="1:6" ht="15" customHeight="1" x14ac:dyDescent="0.2">
      <c r="A1030" s="2">
        <v>45944</v>
      </c>
      <c r="B1030" s="3">
        <v>2714.25</v>
      </c>
      <c r="C1030" s="3">
        <v>141683</v>
      </c>
      <c r="D1030" s="4">
        <f t="shared" si="49"/>
        <v>-1.5498713690726173E-3</v>
      </c>
      <c r="E1030" s="4">
        <f t="shared" si="50"/>
        <v>-7.0555201786718085E-4</v>
      </c>
      <c r="F1030" s="3">
        <f t="shared" si="48"/>
        <v>2025</v>
      </c>
    </row>
    <row r="1031" spans="1:6" ht="15" customHeight="1" x14ac:dyDescent="0.2">
      <c r="A1031" s="2">
        <v>45945</v>
      </c>
      <c r="B1031" s="3">
        <v>2736.71</v>
      </c>
      <c r="C1031" s="3">
        <v>142604</v>
      </c>
      <c r="D1031" s="4">
        <f t="shared" si="49"/>
        <v>8.2407968893963238E-3</v>
      </c>
      <c r="E1031" s="4">
        <f t="shared" si="50"/>
        <v>6.4793903495732842E-3</v>
      </c>
      <c r="F1031" s="3">
        <f t="shared" si="48"/>
        <v>2025</v>
      </c>
    </row>
    <row r="1032" spans="1:6" ht="15" customHeight="1" x14ac:dyDescent="0.2">
      <c r="A1032" s="2">
        <v>45946</v>
      </c>
      <c r="B1032" s="3">
        <v>2731.1599000000001</v>
      </c>
      <c r="C1032" s="3">
        <v>142200</v>
      </c>
      <c r="D1032" s="4">
        <f t="shared" si="49"/>
        <v>-2.030078259944407E-3</v>
      </c>
      <c r="E1032" s="4">
        <f t="shared" si="50"/>
        <v>-2.8370407085309395E-3</v>
      </c>
      <c r="F1032" s="3">
        <f t="shared" si="48"/>
        <v>2025</v>
      </c>
    </row>
    <row r="1033" spans="1:6" ht="15" customHeight="1" x14ac:dyDescent="0.2">
      <c r="A1033" s="2">
        <v>45947</v>
      </c>
      <c r="B1033" s="3">
        <v>2752.3200999999999</v>
      </c>
      <c r="C1033" s="3">
        <v>143399</v>
      </c>
      <c r="D1033" s="4">
        <f t="shared" si="49"/>
        <v>7.7178379546851798E-3</v>
      </c>
      <c r="E1033" s="4">
        <f t="shared" si="50"/>
        <v>8.396437271367168E-3</v>
      </c>
      <c r="F1033" s="3">
        <f t="shared" si="48"/>
        <v>2025</v>
      </c>
    </row>
    <row r="1034" spans="1:6" ht="15" customHeight="1" x14ac:dyDescent="0.2">
      <c r="A1034" s="2">
        <v>45950</v>
      </c>
      <c r="B1034" s="3">
        <v>2773.1498999999999</v>
      </c>
      <c r="C1034" s="3">
        <v>144509</v>
      </c>
      <c r="D1034" s="4">
        <f t="shared" si="49"/>
        <v>7.5395934366559291E-3</v>
      </c>
      <c r="E1034" s="4">
        <f t="shared" si="50"/>
        <v>7.710834709451911E-3</v>
      </c>
      <c r="F1034" s="3">
        <f t="shared" si="48"/>
        <v>2025</v>
      </c>
    </row>
    <row r="1035" spans="1:6" ht="15" customHeight="1" x14ac:dyDescent="0.2">
      <c r="A1035" s="2">
        <v>45951</v>
      </c>
      <c r="B1035" s="3">
        <v>2764.72</v>
      </c>
      <c r="C1035" s="3">
        <v>144085</v>
      </c>
      <c r="D1035" s="4">
        <f t="shared" si="49"/>
        <v>-3.0444581268337522E-3</v>
      </c>
      <c r="E1035" s="4">
        <f t="shared" si="50"/>
        <v>-2.9383861415826188E-3</v>
      </c>
      <c r="F1035" s="3">
        <f t="shared" si="48"/>
        <v>2025</v>
      </c>
    </row>
    <row r="1036" spans="1:6" ht="15" customHeight="1" x14ac:dyDescent="0.2">
      <c r="A1036" s="2">
        <v>45952</v>
      </c>
      <c r="B1036" s="3">
        <v>2773.1698999999999</v>
      </c>
      <c r="C1036" s="3">
        <v>144873</v>
      </c>
      <c r="D1036" s="4">
        <f t="shared" si="49"/>
        <v>3.0516701163047256E-3</v>
      </c>
      <c r="E1036" s="4">
        <f t="shared" si="50"/>
        <v>5.4540933519348191E-3</v>
      </c>
      <c r="F1036" s="3">
        <f t="shared" si="48"/>
        <v>2025</v>
      </c>
    </row>
    <row r="1037" spans="1:6" ht="15" customHeight="1" x14ac:dyDescent="0.2">
      <c r="A1037" s="2">
        <v>45953</v>
      </c>
      <c r="B1037" s="3">
        <v>2793.9099000000001</v>
      </c>
      <c r="C1037" s="3">
        <v>145721</v>
      </c>
      <c r="D1037" s="4">
        <f t="shared" si="49"/>
        <v>7.4509785011281655E-3</v>
      </c>
      <c r="E1037" s="4">
        <f t="shared" si="50"/>
        <v>5.836338032486013E-3</v>
      </c>
      <c r="F1037" s="3">
        <f t="shared" si="48"/>
        <v>2025</v>
      </c>
    </row>
    <row r="1038" spans="1:6" ht="15" customHeight="1" x14ac:dyDescent="0.2">
      <c r="A1038" s="2">
        <v>45954</v>
      </c>
      <c r="B1038" s="3">
        <v>2806.23</v>
      </c>
      <c r="C1038" s="3">
        <v>146172</v>
      </c>
      <c r="D1038" s="4">
        <f t="shared" si="49"/>
        <v>4.3999328930391501E-3</v>
      </c>
      <c r="E1038" s="4">
        <f t="shared" si="50"/>
        <v>3.090175913024558E-3</v>
      </c>
      <c r="F1038" s="3">
        <f t="shared" si="48"/>
        <v>2025</v>
      </c>
    </row>
    <row r="1039" spans="1:6" ht="15" customHeight="1" x14ac:dyDescent="0.2">
      <c r="A1039" s="2">
        <v>45957</v>
      </c>
      <c r="B1039" s="3">
        <v>2831.3400999999999</v>
      </c>
      <c r="C1039" s="3">
        <v>146969</v>
      </c>
      <c r="D1039" s="4">
        <f t="shared" si="49"/>
        <v>8.9081876081564849E-3</v>
      </c>
      <c r="E1039" s="4">
        <f t="shared" si="50"/>
        <v>5.437669679940583E-3</v>
      </c>
      <c r="F1039" s="3">
        <f t="shared" si="48"/>
        <v>2025</v>
      </c>
    </row>
    <row r="1040" spans="1:6" ht="15" customHeight="1" x14ac:dyDescent="0.2">
      <c r="A1040" s="2">
        <v>45958</v>
      </c>
      <c r="B1040" s="3">
        <v>2837.48</v>
      </c>
      <c r="C1040" s="3">
        <v>147429</v>
      </c>
      <c r="D1040" s="4">
        <f t="shared" si="49"/>
        <v>2.1662011821188616E-3</v>
      </c>
      <c r="E1040" s="4">
        <f t="shared" si="50"/>
        <v>3.1250237729508112E-3</v>
      </c>
      <c r="F1040" s="3">
        <f t="shared" si="48"/>
        <v>2025</v>
      </c>
    </row>
    <row r="1041" spans="1:6" ht="15" customHeight="1" x14ac:dyDescent="0.2">
      <c r="A1041" s="2">
        <v>45959</v>
      </c>
      <c r="B1041" s="3">
        <v>2847.23</v>
      </c>
      <c r="C1041" s="3">
        <v>148633</v>
      </c>
      <c r="D1041" s="4">
        <f t="shared" si="49"/>
        <v>3.4302575014080461E-3</v>
      </c>
      <c r="E1041" s="4">
        <f t="shared" si="50"/>
        <v>8.1334763487889133E-3</v>
      </c>
      <c r="F1041" s="3">
        <f t="shared" si="48"/>
        <v>2025</v>
      </c>
    </row>
    <row r="1042" spans="1:6" ht="15" customHeight="1" x14ac:dyDescent="0.2">
      <c r="A1042" s="2">
        <v>45960</v>
      </c>
      <c r="B1042" s="3">
        <v>2857.3200999999999</v>
      </c>
      <c r="C1042" s="3">
        <v>148780</v>
      </c>
      <c r="D1042" s="4">
        <f t="shared" si="49"/>
        <v>3.5375657486477574E-3</v>
      </c>
      <c r="E1042" s="4">
        <f t="shared" si="50"/>
        <v>9.8852445569267951E-4</v>
      </c>
      <c r="F1042" s="3">
        <f t="shared" si="48"/>
        <v>2025</v>
      </c>
    </row>
    <row r="1043" spans="1:6" ht="15" customHeight="1" x14ac:dyDescent="0.2">
      <c r="A1043" s="2">
        <v>45961</v>
      </c>
      <c r="B1043" s="3">
        <v>2873.1201000000001</v>
      </c>
      <c r="C1043" s="3">
        <v>149540</v>
      </c>
      <c r="D1043" s="4">
        <f t="shared" si="49"/>
        <v>5.5144245422318805E-3</v>
      </c>
      <c r="E1043" s="4">
        <f t="shared" si="50"/>
        <v>5.0952108085741826E-3</v>
      </c>
      <c r="F1043" s="3">
        <f t="shared" si="48"/>
        <v>2025</v>
      </c>
    </row>
    <row r="1044" spans="1:6" ht="15" customHeight="1" x14ac:dyDescent="0.2">
      <c r="A1044" s="2">
        <v>45964</v>
      </c>
      <c r="B1044" s="3">
        <v>2885.1799000000001</v>
      </c>
      <c r="C1044" s="3">
        <v>150454</v>
      </c>
      <c r="D1044" s="4">
        <f t="shared" si="49"/>
        <v>4.1886729181904248E-3</v>
      </c>
      <c r="E1044" s="4">
        <f t="shared" si="50"/>
        <v>6.0934740568079522E-3</v>
      </c>
      <c r="F1044" s="3">
        <f t="shared" si="48"/>
        <v>2025</v>
      </c>
    </row>
    <row r="1045" spans="1:6" ht="15" customHeight="1" x14ac:dyDescent="0.2">
      <c r="A1045" s="2">
        <v>45965</v>
      </c>
      <c r="B1045" s="3">
        <v>2895.29</v>
      </c>
      <c r="C1045" s="3">
        <v>150704</v>
      </c>
      <c r="D1045" s="4">
        <f t="shared" si="49"/>
        <v>3.4980236845702059E-3</v>
      </c>
      <c r="E1045" s="4">
        <f t="shared" si="50"/>
        <v>1.6602584518837942E-3</v>
      </c>
      <c r="F1045" s="3">
        <f t="shared" si="48"/>
        <v>2025</v>
      </c>
    </row>
    <row r="1046" spans="1:6" ht="15" customHeight="1" x14ac:dyDescent="0.2">
      <c r="A1046" s="2">
        <v>45966</v>
      </c>
      <c r="B1046" s="3">
        <v>2954.8400999999999</v>
      </c>
      <c r="C1046" s="3">
        <v>153294</v>
      </c>
      <c r="D1046" s="4">
        <f t="shared" si="49"/>
        <v>2.0359258999265981E-2</v>
      </c>
      <c r="E1046" s="4">
        <f t="shared" si="50"/>
        <v>1.7039998088110148E-2</v>
      </c>
      <c r="F1046" s="3">
        <f t="shared" si="48"/>
        <v>2025</v>
      </c>
    </row>
    <row r="1047" spans="1:6" ht="15" customHeight="1" x14ac:dyDescent="0.2">
      <c r="A1047" s="2">
        <v>45967</v>
      </c>
      <c r="B1047" s="3">
        <v>2949.53</v>
      </c>
      <c r="C1047" s="3">
        <v>153339</v>
      </c>
      <c r="D1047" s="4">
        <f t="shared" si="49"/>
        <v>-1.7987020941182675E-3</v>
      </c>
      <c r="E1047" s="4">
        <f t="shared" si="50"/>
        <v>2.9351048532322868E-4</v>
      </c>
      <c r="F1047" s="3">
        <f t="shared" si="48"/>
        <v>2025</v>
      </c>
    </row>
    <row r="1048" spans="1:6" ht="15" customHeight="1" x14ac:dyDescent="0.2">
      <c r="A1048" s="2">
        <v>45968</v>
      </c>
      <c r="B1048" s="3">
        <v>2957.5700999999999</v>
      </c>
      <c r="C1048" s="3">
        <v>154064</v>
      </c>
      <c r="D1048" s="4">
        <f t="shared" si="49"/>
        <v>2.7221834161740292E-3</v>
      </c>
      <c r="E1048" s="4">
        <f t="shared" si="50"/>
        <v>4.7169438440333913E-3</v>
      </c>
      <c r="F1048" s="3">
        <f t="shared" si="48"/>
        <v>2025</v>
      </c>
    </row>
    <row r="1049" spans="1:6" ht="15" customHeight="1" x14ac:dyDescent="0.2">
      <c r="A1049" s="2">
        <v>45971</v>
      </c>
      <c r="B1049" s="3">
        <v>2986.8798999999999</v>
      </c>
      <c r="C1049" s="3">
        <v>155257</v>
      </c>
      <c r="D1049" s="4">
        <f t="shared" si="49"/>
        <v>9.8613118186060816E-3</v>
      </c>
      <c r="E1049" s="4">
        <f t="shared" si="50"/>
        <v>7.7137078660288721E-3</v>
      </c>
      <c r="F1049" s="3">
        <f t="shared" si="48"/>
        <v>2025</v>
      </c>
    </row>
    <row r="1050" spans="1:6" ht="15" customHeight="1" x14ac:dyDescent="0.2">
      <c r="A1050" s="2">
        <v>45972</v>
      </c>
      <c r="B1050" s="3">
        <v>3046.3501000000001</v>
      </c>
      <c r="C1050" s="3">
        <v>157749</v>
      </c>
      <c r="D1050" s="4">
        <f t="shared" si="49"/>
        <v>1.9714854631752775E-2</v>
      </c>
      <c r="E1050" s="4">
        <f t="shared" si="50"/>
        <v>1.5923353893057563E-2</v>
      </c>
      <c r="F1050" s="3">
        <f t="shared" si="48"/>
        <v>2025</v>
      </c>
    </row>
    <row r="1051" spans="1:6" ht="15" customHeight="1" x14ac:dyDescent="0.2">
      <c r="A1051" s="2">
        <v>45973</v>
      </c>
      <c r="B1051" s="3">
        <v>3053.3501000000001</v>
      </c>
      <c r="C1051" s="3">
        <v>157633</v>
      </c>
      <c r="D1051" s="4">
        <f t="shared" si="49"/>
        <v>2.295195777967979E-3</v>
      </c>
      <c r="E1051" s="4">
        <f t="shared" si="50"/>
        <v>-7.3561588949862917E-4</v>
      </c>
      <c r="F1051" s="3">
        <f t="shared" si="48"/>
        <v>2025</v>
      </c>
    </row>
    <row r="1052" spans="1:6" ht="15" customHeight="1" x14ac:dyDescent="0.2">
      <c r="A1052" s="2">
        <v>45974</v>
      </c>
      <c r="B1052" s="3">
        <v>3052.8200999999999</v>
      </c>
      <c r="C1052" s="3">
        <v>157162</v>
      </c>
      <c r="D1052" s="4">
        <f t="shared" si="49"/>
        <v>-1.7359489957588596E-4</v>
      </c>
      <c r="E1052" s="4">
        <f t="shared" si="50"/>
        <v>-2.9924258737813302E-3</v>
      </c>
      <c r="F1052" s="3">
        <f t="shared" si="48"/>
        <v>2025</v>
      </c>
    </row>
    <row r="1053" spans="1:6" ht="15" customHeight="1" x14ac:dyDescent="0.2">
      <c r="A1053" s="2">
        <v>45975</v>
      </c>
      <c r="B1053" s="3">
        <v>3073.74</v>
      </c>
      <c r="C1053" s="3">
        <v>157739</v>
      </c>
      <c r="D1053" s="4">
        <f t="shared" si="49"/>
        <v>6.8292748182986083E-3</v>
      </c>
      <c r="E1053" s="4">
        <f t="shared" si="50"/>
        <v>3.6646479099267464E-3</v>
      </c>
      <c r="F1053" s="3">
        <f t="shared" si="48"/>
        <v>2025</v>
      </c>
    </row>
    <row r="1054" spans="1:6" ht="15" customHeight="1" x14ac:dyDescent="0.2">
      <c r="A1054" s="2">
        <v>45978</v>
      </c>
      <c r="B1054" s="3">
        <v>3052.6599000000001</v>
      </c>
      <c r="C1054" s="3">
        <v>156993</v>
      </c>
      <c r="D1054" s="4">
        <f t="shared" si="49"/>
        <v>-6.8817522648013715E-3</v>
      </c>
      <c r="E1054" s="4">
        <f t="shared" si="50"/>
        <v>-4.7405500365991478E-3</v>
      </c>
      <c r="F1054" s="3">
        <f t="shared" si="48"/>
        <v>2025</v>
      </c>
    </row>
    <row r="1055" spans="1:6" ht="15" customHeight="1" x14ac:dyDescent="0.2">
      <c r="A1055" s="2">
        <v>45979</v>
      </c>
      <c r="B1055" s="3">
        <v>3049.45</v>
      </c>
      <c r="C1055" s="3">
        <v>156522</v>
      </c>
      <c r="D1055" s="4">
        <f t="shared" si="49"/>
        <v>-1.0520624337066306E-3</v>
      </c>
      <c r="E1055" s="4">
        <f t="shared" si="50"/>
        <v>-3.0046431867328249E-3</v>
      </c>
      <c r="F1055" s="3">
        <f t="shared" si="48"/>
        <v>2025</v>
      </c>
    </row>
    <row r="1056" spans="1:6" ht="15" customHeight="1" x14ac:dyDescent="0.2">
      <c r="A1056" s="2">
        <v>45980</v>
      </c>
      <c r="B1056" s="3">
        <v>3010.1399000000001</v>
      </c>
      <c r="C1056" s="3">
        <v>155381</v>
      </c>
      <c r="D1056" s="4">
        <f t="shared" si="49"/>
        <v>-1.2974690403430331E-2</v>
      </c>
      <c r="E1056" s="4">
        <f t="shared" si="50"/>
        <v>-7.3164098440368364E-3</v>
      </c>
      <c r="F1056" s="3">
        <f t="shared" si="48"/>
        <v>2025</v>
      </c>
    </row>
    <row r="1057" spans="1:6" ht="15" customHeight="1" x14ac:dyDescent="0.2">
      <c r="A1057" s="2">
        <v>45982</v>
      </c>
      <c r="B1057" s="3">
        <v>2999.79</v>
      </c>
      <c r="C1057" s="3">
        <v>154770</v>
      </c>
      <c r="D1057" s="4">
        <f t="shared" si="49"/>
        <v>-3.4442698680170205E-3</v>
      </c>
      <c r="E1057" s="4">
        <f t="shared" si="50"/>
        <v>-3.940021411624358E-3</v>
      </c>
      <c r="F1057" s="3">
        <f t="shared" si="48"/>
        <v>2025</v>
      </c>
    </row>
    <row r="1058" spans="1:6" ht="15" customHeight="1" x14ac:dyDescent="0.2">
      <c r="A1058" s="2">
        <v>45985</v>
      </c>
      <c r="B1058" s="3">
        <v>3022.8</v>
      </c>
      <c r="C1058" s="3">
        <v>155278</v>
      </c>
      <c r="D1058" s="4">
        <f t="shared" si="49"/>
        <v>7.6412679464325749E-3</v>
      </c>
      <c r="E1058" s="4">
        <f t="shared" si="50"/>
        <v>3.2769148943550433E-3</v>
      </c>
      <c r="F1058" s="3">
        <f t="shared" si="48"/>
        <v>2025</v>
      </c>
    </row>
    <row r="1059" spans="1:6" ht="15" customHeight="1" x14ac:dyDescent="0.2">
      <c r="A1059" s="2">
        <v>45986</v>
      </c>
      <c r="B1059" s="3">
        <v>3039.5801000000001</v>
      </c>
      <c r="C1059" s="3">
        <v>155910</v>
      </c>
      <c r="D1059" s="4">
        <f t="shared" si="49"/>
        <v>5.5358267135662441E-3</v>
      </c>
      <c r="E1059" s="4">
        <f t="shared" si="50"/>
        <v>4.061858869436886E-3</v>
      </c>
      <c r="F1059" s="3">
        <f t="shared" si="48"/>
        <v>2025</v>
      </c>
    </row>
    <row r="1060" spans="1:6" ht="15" customHeight="1" x14ac:dyDescent="0.2">
      <c r="A1060" s="2">
        <v>45987</v>
      </c>
      <c r="B1060" s="3">
        <v>3101.0601000000001</v>
      </c>
      <c r="C1060" s="3">
        <v>158555</v>
      </c>
      <c r="D1060" s="4">
        <f t="shared" si="49"/>
        <v>2.0024639897400377E-2</v>
      </c>
      <c r="E1060" s="4">
        <f t="shared" si="50"/>
        <v>1.682261859177861E-2</v>
      </c>
      <c r="F1060" s="3">
        <f t="shared" si="48"/>
        <v>2025</v>
      </c>
    </row>
    <row r="1061" spans="1:6" ht="15" customHeight="1" x14ac:dyDescent="0.2">
      <c r="A1061" s="2">
        <v>45988</v>
      </c>
      <c r="B1061" s="3">
        <v>3105.1498999999999</v>
      </c>
      <c r="C1061" s="3">
        <v>158360</v>
      </c>
      <c r="D1061" s="4">
        <f t="shared" si="49"/>
        <v>1.3179704173767088E-3</v>
      </c>
      <c r="E1061" s="4">
        <f t="shared" si="50"/>
        <v>-1.2306140423089997E-3</v>
      </c>
      <c r="F1061" s="3">
        <f t="shared" si="48"/>
        <v>2025</v>
      </c>
    </row>
    <row r="1062" spans="1:6" ht="15" customHeight="1" x14ac:dyDescent="0.2">
      <c r="A1062" s="2">
        <v>45989</v>
      </c>
      <c r="B1062" s="3">
        <v>3133.4198999999999</v>
      </c>
      <c r="C1062" s="3">
        <v>159072</v>
      </c>
      <c r="D1062" s="4">
        <f t="shared" si="49"/>
        <v>9.06303669301484E-3</v>
      </c>
      <c r="E1062" s="4">
        <f t="shared" si="50"/>
        <v>4.4860076743322898E-3</v>
      </c>
      <c r="F1062" s="3">
        <f t="shared" si="48"/>
        <v>2025</v>
      </c>
    </row>
    <row r="1063" spans="1:6" ht="15" customHeight="1" x14ac:dyDescent="0.2">
      <c r="A1063" s="2">
        <v>45992</v>
      </c>
      <c r="B1063" s="3">
        <v>3110.25</v>
      </c>
      <c r="C1063" s="3">
        <v>158611</v>
      </c>
      <c r="D1063" s="4">
        <f t="shared" si="49"/>
        <v>-7.4219190733228269E-3</v>
      </c>
      <c r="E1063" s="4">
        <f t="shared" si="50"/>
        <v>-2.9022662439556171E-3</v>
      </c>
      <c r="F1063" s="3">
        <f t="shared" si="48"/>
        <v>2025</v>
      </c>
    </row>
    <row r="1064" spans="1:6" ht="15" customHeight="1" x14ac:dyDescent="0.2">
      <c r="A1064" s="2">
        <v>45993</v>
      </c>
      <c r="B1064" s="3">
        <v>3162.99</v>
      </c>
      <c r="C1064" s="3">
        <v>161092</v>
      </c>
      <c r="D1064" s="4">
        <f t="shared" si="49"/>
        <v>1.6814673950565372E-2</v>
      </c>
      <c r="E1064" s="4">
        <f t="shared" si="50"/>
        <v>1.5520966684448561E-2</v>
      </c>
      <c r="F1064" s="3">
        <f t="shared" si="48"/>
        <v>2025</v>
      </c>
    </row>
    <row r="1065" spans="1:6" ht="15" customHeight="1" x14ac:dyDescent="0.2">
      <c r="A1065" s="2">
        <v>45994</v>
      </c>
      <c r="B1065" s="3">
        <v>3148.79</v>
      </c>
      <c r="C1065" s="3">
        <v>161755</v>
      </c>
      <c r="D1065" s="4">
        <f t="shared" si="49"/>
        <v>-4.4995307052825232E-3</v>
      </c>
      <c r="E1065" s="4">
        <f t="shared" si="50"/>
        <v>4.1072144515737494E-3</v>
      </c>
      <c r="F1065" s="3">
        <f t="shared" si="48"/>
        <v>2025</v>
      </c>
    </row>
    <row r="1066" spans="1:6" ht="15" customHeight="1" x14ac:dyDescent="0.2">
      <c r="A1066" s="2">
        <v>45995</v>
      </c>
      <c r="B1066" s="3">
        <v>3198.3899000000001</v>
      </c>
      <c r="C1066" s="3">
        <v>164456</v>
      </c>
      <c r="D1066" s="4">
        <f t="shared" si="49"/>
        <v>1.5629274872351911E-2</v>
      </c>
      <c r="E1066" s="4">
        <f t="shared" si="50"/>
        <v>1.6560212419042871E-2</v>
      </c>
      <c r="F1066" s="3">
        <f t="shared" si="48"/>
        <v>2025</v>
      </c>
    </row>
    <row r="1067" spans="1:6" ht="15" customHeight="1" x14ac:dyDescent="0.2">
      <c r="A1067" s="2">
        <v>45996</v>
      </c>
      <c r="B1067" s="3">
        <v>3022.0700999999999</v>
      </c>
      <c r="C1067" s="3">
        <v>157369</v>
      </c>
      <c r="D1067" s="4">
        <f t="shared" si="49"/>
        <v>-5.6705466790015945E-2</v>
      </c>
      <c r="E1067" s="4">
        <f t="shared" si="50"/>
        <v>-4.404969108208158E-2</v>
      </c>
      <c r="F1067" s="3">
        <f t="shared" si="48"/>
        <v>2025</v>
      </c>
    </row>
    <row r="1068" spans="1:6" ht="15" customHeight="1" x14ac:dyDescent="0.2">
      <c r="A1068" s="2">
        <v>45999</v>
      </c>
      <c r="B1068" s="3">
        <v>3051.8701000000001</v>
      </c>
      <c r="C1068" s="3">
        <v>158187</v>
      </c>
      <c r="D1068" s="4">
        <f t="shared" si="49"/>
        <v>9.8124901220704823E-3</v>
      </c>
      <c r="E1068" s="4">
        <f t="shared" si="50"/>
        <v>5.1845113530515959E-3</v>
      </c>
      <c r="F1068" s="3">
        <f t="shared" si="48"/>
        <v>2025</v>
      </c>
    </row>
    <row r="1069" spans="1:6" ht="15" customHeight="1" x14ac:dyDescent="0.2">
      <c r="A1069" s="2">
        <v>46000</v>
      </c>
      <c r="B1069" s="3">
        <v>3031.5</v>
      </c>
      <c r="C1069" s="3">
        <v>157981</v>
      </c>
      <c r="D1069" s="4">
        <f t="shared" si="49"/>
        <v>-6.6970037325043636E-3</v>
      </c>
      <c r="E1069" s="4">
        <f t="shared" si="50"/>
        <v>-1.3031048629235497E-3</v>
      </c>
      <c r="F1069" s="3">
        <f t="shared" si="48"/>
        <v>2025</v>
      </c>
    </row>
    <row r="1070" spans="1:6" ht="15" customHeight="1" x14ac:dyDescent="0.2">
      <c r="A1070" s="2">
        <v>46001</v>
      </c>
      <c r="B1070" s="3">
        <v>3047.8101000000001</v>
      </c>
      <c r="C1070" s="3">
        <v>159075</v>
      </c>
      <c r="D1070" s="4">
        <f t="shared" si="49"/>
        <v>5.3657862042233639E-3</v>
      </c>
      <c r="E1070" s="4">
        <f t="shared" si="50"/>
        <v>6.901016487437418E-3</v>
      </c>
      <c r="F1070" s="3">
        <f t="shared" si="48"/>
        <v>2025</v>
      </c>
    </row>
    <row r="1071" spans="1:6" ht="15" customHeight="1" x14ac:dyDescent="0.2">
      <c r="A1071" s="2">
        <v>46002</v>
      </c>
      <c r="B1071" s="3">
        <v>3060.6898999999999</v>
      </c>
      <c r="C1071" s="3">
        <v>159189</v>
      </c>
      <c r="D1071" s="4">
        <f t="shared" si="49"/>
        <v>4.2170153350310595E-3</v>
      </c>
      <c r="E1071" s="4">
        <f t="shared" si="50"/>
        <v>7.1638642683735524E-4</v>
      </c>
      <c r="F1071" s="3">
        <f t="shared" si="48"/>
        <v>2025</v>
      </c>
    </row>
    <row r="1072" spans="1:6" ht="15" customHeight="1" x14ac:dyDescent="0.2">
      <c r="A1072" s="2">
        <v>46003</v>
      </c>
      <c r="B1072" s="3">
        <v>3090.55</v>
      </c>
      <c r="C1072" s="3">
        <v>160766</v>
      </c>
      <c r="D1072" s="4">
        <f t="shared" si="49"/>
        <v>9.7087205292908617E-3</v>
      </c>
      <c r="E1072" s="4">
        <f t="shared" si="50"/>
        <v>9.8577160559257006E-3</v>
      </c>
      <c r="F1072" s="3">
        <f t="shared" si="48"/>
        <v>2025</v>
      </c>
    </row>
    <row r="1073" spans="1:6" ht="15" customHeight="1" x14ac:dyDescent="0.2">
      <c r="A1073" s="2">
        <v>46006</v>
      </c>
      <c r="B1073" s="3">
        <v>3119.3200999999999</v>
      </c>
      <c r="C1073" s="3">
        <v>162482</v>
      </c>
      <c r="D1073" s="4">
        <f t="shared" si="49"/>
        <v>9.2659928092437092E-3</v>
      </c>
      <c r="E1073" s="4">
        <f t="shared" si="50"/>
        <v>1.0617334802039698E-2</v>
      </c>
      <c r="F1073" s="3">
        <f t="shared" si="48"/>
        <v>2025</v>
      </c>
    </row>
    <row r="1074" spans="1:6" ht="15" customHeight="1" x14ac:dyDescent="0.2">
      <c r="A1074" s="2">
        <v>46007</v>
      </c>
      <c r="B1074" s="3">
        <v>3024.0601000000001</v>
      </c>
      <c r="C1074" s="3">
        <v>158578</v>
      </c>
      <c r="D1074" s="4">
        <f t="shared" si="49"/>
        <v>-3.1014728949018609E-2</v>
      </c>
      <c r="E1074" s="4">
        <f t="shared" si="50"/>
        <v>-2.4320640569823537E-2</v>
      </c>
      <c r="F1074" s="3">
        <f t="shared" si="48"/>
        <v>2025</v>
      </c>
    </row>
    <row r="1075" spans="1:6" ht="15" customHeight="1" x14ac:dyDescent="0.2">
      <c r="A1075" s="2">
        <v>46008</v>
      </c>
      <c r="B1075" s="3">
        <v>2972.96</v>
      </c>
      <c r="C1075" s="3">
        <v>157327</v>
      </c>
      <c r="D1075" s="4">
        <f t="shared" si="49"/>
        <v>-1.7042242956111439E-2</v>
      </c>
      <c r="E1075" s="4">
        <f t="shared" si="50"/>
        <v>-7.9201439639011995E-3</v>
      </c>
      <c r="F1075" s="3">
        <f t="shared" si="48"/>
        <v>2025</v>
      </c>
    </row>
    <row r="1076" spans="1:6" ht="15" customHeight="1" x14ac:dyDescent="0.2">
      <c r="A1076" s="2">
        <v>46009</v>
      </c>
      <c r="B1076" s="3">
        <v>2977.0700999999999</v>
      </c>
      <c r="C1076" s="3">
        <v>157923</v>
      </c>
      <c r="D1076" s="4">
        <f t="shared" si="49"/>
        <v>1.381539449263924E-3</v>
      </c>
      <c r="E1076" s="4">
        <f t="shared" si="50"/>
        <v>3.7811305952837721E-3</v>
      </c>
      <c r="F1076" s="3">
        <f t="shared" si="48"/>
        <v>2025</v>
      </c>
    </row>
    <row r="1077" spans="1:6" ht="15" customHeight="1" x14ac:dyDescent="0.2">
      <c r="A1077" s="2">
        <v>46010</v>
      </c>
      <c r="B1077" s="3">
        <v>2982.5900999999999</v>
      </c>
      <c r="C1077" s="3">
        <v>158473</v>
      </c>
      <c r="D1077" s="4">
        <f t="shared" si="49"/>
        <v>1.8524551378050781E-3</v>
      </c>
      <c r="E1077" s="4">
        <f t="shared" si="50"/>
        <v>3.4766593382642478E-3</v>
      </c>
      <c r="F1077" s="3">
        <f t="shared" si="48"/>
        <v>2025</v>
      </c>
    </row>
    <row r="1078" spans="1:6" ht="15" customHeight="1" x14ac:dyDescent="0.2">
      <c r="A1078" s="2">
        <v>46013</v>
      </c>
      <c r="B1078" s="3">
        <v>2957.3701000000001</v>
      </c>
      <c r="C1078" s="3">
        <v>158142</v>
      </c>
      <c r="D1078" s="4">
        <f t="shared" si="49"/>
        <v>-8.4916904151957004E-3</v>
      </c>
      <c r="E1078" s="4">
        <f t="shared" si="50"/>
        <v>-2.090868219047623E-3</v>
      </c>
      <c r="F1078" s="3">
        <f t="shared" si="48"/>
        <v>2025</v>
      </c>
    </row>
    <row r="1079" spans="1:6" ht="15" customHeight="1" x14ac:dyDescent="0.2">
      <c r="A1079" s="2">
        <v>46014</v>
      </c>
      <c r="B1079" s="3">
        <v>3012.47</v>
      </c>
      <c r="C1079" s="3">
        <v>160456</v>
      </c>
      <c r="D1079" s="4">
        <f t="shared" si="49"/>
        <v>1.8459946586782093E-2</v>
      </c>
      <c r="E1079" s="4">
        <f t="shared" si="50"/>
        <v>1.4526398099311243E-2</v>
      </c>
      <c r="F1079" s="3">
        <f t="shared" si="48"/>
        <v>2025</v>
      </c>
    </row>
    <row r="1080" spans="1:6" ht="15" customHeight="1" x14ac:dyDescent="0.2">
      <c r="A1080" s="2">
        <v>46017</v>
      </c>
      <c r="B1080" s="3">
        <v>3030.04</v>
      </c>
      <c r="C1080" s="3">
        <v>160897</v>
      </c>
      <c r="D1080" s="4">
        <f t="shared" si="49"/>
        <v>5.8154804933102013E-3</v>
      </c>
      <c r="E1080" s="4">
        <f t="shared" si="50"/>
        <v>2.7446470195760103E-3</v>
      </c>
      <c r="F1080" s="3">
        <f t="shared" si="48"/>
        <v>2025</v>
      </c>
    </row>
    <row r="1081" spans="1:6" ht="15" customHeight="1" x14ac:dyDescent="0.2">
      <c r="A1081" s="2">
        <v>46020</v>
      </c>
      <c r="B1081" s="3">
        <v>3023.4299000000001</v>
      </c>
      <c r="C1081" s="3">
        <v>160490</v>
      </c>
      <c r="D1081" s="4">
        <f t="shared" si="49"/>
        <v>-2.183905342358192E-3</v>
      </c>
      <c r="E1081" s="4">
        <f t="shared" si="50"/>
        <v>-2.5327733702570038E-3</v>
      </c>
      <c r="F1081" s="3">
        <f t="shared" si="48"/>
        <v>2025</v>
      </c>
    </row>
    <row r="1082" spans="1:6" ht="15" customHeight="1" x14ac:dyDescent="0.2">
      <c r="A1082" s="2">
        <v>46021</v>
      </c>
      <c r="B1082" s="3">
        <v>3043.2</v>
      </c>
      <c r="C1082" s="3">
        <v>161125</v>
      </c>
      <c r="D1082" s="4">
        <f t="shared" si="49"/>
        <v>6.5176779570191327E-3</v>
      </c>
      <c r="E1082" s="4">
        <f t="shared" si="50"/>
        <v>3.9488259262867326E-3</v>
      </c>
      <c r="F1082" s="3">
        <f t="shared" si="48"/>
        <v>2025</v>
      </c>
    </row>
    <row r="1083" spans="1:6" ht="15" customHeight="1" x14ac:dyDescent="0.2">
      <c r="A1083" s="2">
        <v>46024</v>
      </c>
      <c r="B1083" s="3">
        <v>3029.3899000000001</v>
      </c>
      <c r="C1083" s="3">
        <v>160539</v>
      </c>
      <c r="D1083" s="4">
        <f t="shared" si="49"/>
        <v>-4.5483472572339471E-3</v>
      </c>
      <c r="E1083" s="4">
        <f t="shared" si="50"/>
        <v>-3.6435575525227432E-3</v>
      </c>
      <c r="F1083" s="3">
        <f t="shared" si="48"/>
        <v>2026</v>
      </c>
    </row>
    <row r="1084" spans="1:6" ht="15" customHeight="1" x14ac:dyDescent="0.2">
      <c r="A1084" s="2">
        <v>46027</v>
      </c>
      <c r="B1084" s="3">
        <v>3073</v>
      </c>
      <c r="C1084" s="3">
        <v>161870</v>
      </c>
      <c r="D1084" s="4">
        <f t="shared" si="49"/>
        <v>1.4293037036647463E-2</v>
      </c>
      <c r="E1084" s="4">
        <f t="shared" si="50"/>
        <v>8.2566402390405035E-3</v>
      </c>
      <c r="F1084" s="3">
        <f t="shared" si="48"/>
        <v>2026</v>
      </c>
    </row>
    <row r="1085" spans="1:6" ht="15" customHeight="1" x14ac:dyDescent="0.2">
      <c r="A1085" s="2">
        <v>46028</v>
      </c>
      <c r="B1085" s="3">
        <v>3119.1298999999999</v>
      </c>
      <c r="C1085" s="3">
        <v>163664</v>
      </c>
      <c r="D1085" s="4">
        <f t="shared" si="49"/>
        <v>1.4899801574157361E-2</v>
      </c>
      <c r="E1085" s="4">
        <f t="shared" si="50"/>
        <v>1.1022001768782493E-2</v>
      </c>
      <c r="F1085" s="3">
        <f t="shared" si="48"/>
        <v>2026</v>
      </c>
    </row>
    <row r="1086" spans="1:6" ht="15" customHeight="1" x14ac:dyDescent="0.2">
      <c r="A1086" s="2">
        <v>46029</v>
      </c>
      <c r="B1086" s="3">
        <v>3079.4198999999999</v>
      </c>
      <c r="C1086" s="3">
        <v>161975</v>
      </c>
      <c r="D1086" s="4">
        <f t="shared" si="49"/>
        <v>-1.281284963185382E-2</v>
      </c>
      <c r="E1086" s="4">
        <f t="shared" si="50"/>
        <v>-1.0373543378630586E-2</v>
      </c>
      <c r="F1086" s="3">
        <f t="shared" si="48"/>
        <v>2026</v>
      </c>
    </row>
    <row r="1087" spans="1:6" ht="15" customHeight="1" x14ac:dyDescent="0.2">
      <c r="A1087" s="2">
        <v>46030</v>
      </c>
      <c r="B1087" s="3">
        <v>3091.04</v>
      </c>
      <c r="C1087" s="3">
        <v>162936</v>
      </c>
      <c r="D1087" s="4">
        <f t="shared" si="49"/>
        <v>3.7663687714558441E-3</v>
      </c>
      <c r="E1087" s="4">
        <f t="shared" si="50"/>
        <v>5.915483331434713E-3</v>
      </c>
      <c r="F1087" s="3">
        <f t="shared" si="48"/>
        <v>2026</v>
      </c>
    </row>
    <row r="1088" spans="1:6" ht="15" customHeight="1" x14ac:dyDescent="0.2">
      <c r="A1088" s="2">
        <v>46031</v>
      </c>
      <c r="B1088" s="3">
        <v>3103.8200999999999</v>
      </c>
      <c r="C1088" s="3">
        <v>163370</v>
      </c>
      <c r="D1088" s="4">
        <f t="shared" si="49"/>
        <v>4.1260393050392653E-3</v>
      </c>
      <c r="E1088" s="4">
        <f t="shared" si="50"/>
        <v>2.6600813709616667E-3</v>
      </c>
      <c r="F1088" s="3">
        <f t="shared" si="48"/>
        <v>2026</v>
      </c>
    </row>
    <row r="1089" spans="1:6" ht="15" customHeight="1" x14ac:dyDescent="0.2">
      <c r="A1089" s="2">
        <v>46034</v>
      </c>
      <c r="B1089" s="3">
        <v>3110.79</v>
      </c>
      <c r="C1089" s="3">
        <v>163150</v>
      </c>
      <c r="D1089" s="4">
        <f t="shared" si="49"/>
        <v>2.2430700591631069E-3</v>
      </c>
      <c r="E1089" s="4">
        <f t="shared" si="50"/>
        <v>-1.3475439990876148E-3</v>
      </c>
      <c r="F1089" s="3">
        <f t="shared" si="48"/>
        <v>2026</v>
      </c>
    </row>
    <row r="1090" spans="1:6" ht="15" customHeight="1" x14ac:dyDescent="0.2">
      <c r="A1090" s="2">
        <v>46035</v>
      </c>
      <c r="B1090" s="3">
        <v>3065.98</v>
      </c>
      <c r="C1090" s="3">
        <v>161973</v>
      </c>
      <c r="D1090" s="4">
        <f t="shared" si="49"/>
        <v>-1.4509455955170839E-2</v>
      </c>
      <c r="E1090" s="4">
        <f t="shared" si="50"/>
        <v>-7.2403683640444938E-3</v>
      </c>
      <c r="F1090" s="3">
        <f t="shared" ref="F1090:F1153" si="51">YEAR(A1090)</f>
        <v>2026</v>
      </c>
    </row>
    <row r="1091" spans="1:6" ht="15" customHeight="1" x14ac:dyDescent="0.2">
      <c r="A1091" s="2">
        <v>46036</v>
      </c>
      <c r="B1091" s="3">
        <v>3113.74</v>
      </c>
      <c r="C1091" s="3">
        <v>165146</v>
      </c>
      <c r="D1091" s="4">
        <f t="shared" ref="D1091:D1154" si="52">LN(B1091/B1090)</f>
        <v>1.5457318756335695E-2</v>
      </c>
      <c r="E1091" s="4">
        <f t="shared" ref="E1091:E1154" si="53">LN(C1091/C1090)</f>
        <v>1.9400276462503047E-2</v>
      </c>
      <c r="F1091" s="3">
        <f t="shared" si="51"/>
        <v>2026</v>
      </c>
    </row>
    <row r="1092" spans="1:6" ht="15" customHeight="1" x14ac:dyDescent="0.2">
      <c r="A1092" s="2">
        <v>46037</v>
      </c>
      <c r="B1092" s="3">
        <v>3138.5900999999999</v>
      </c>
      <c r="C1092" s="3">
        <v>165568</v>
      </c>
      <c r="D1092" s="4">
        <f t="shared" si="52"/>
        <v>7.9491103174288511E-3</v>
      </c>
      <c r="E1092" s="4">
        <f t="shared" si="53"/>
        <v>2.5520554257758591E-3</v>
      </c>
      <c r="F1092" s="3">
        <f t="shared" si="51"/>
        <v>2026</v>
      </c>
    </row>
    <row r="1093" spans="1:6" ht="15" customHeight="1" x14ac:dyDescent="0.2">
      <c r="A1093" s="2">
        <v>46038</v>
      </c>
      <c r="B1093" s="3">
        <v>3126.6698999999999</v>
      </c>
      <c r="C1093" s="3">
        <v>164800</v>
      </c>
      <c r="D1093" s="4">
        <f t="shared" si="52"/>
        <v>-3.8051778802755212E-3</v>
      </c>
      <c r="E1093" s="4">
        <f t="shared" si="53"/>
        <v>-4.6493690881925891E-3</v>
      </c>
      <c r="F1093" s="3">
        <f t="shared" si="51"/>
        <v>2026</v>
      </c>
    </row>
    <row r="1094" spans="1:6" ht="15" customHeight="1" x14ac:dyDescent="0.2">
      <c r="A1094" s="2">
        <v>46041</v>
      </c>
      <c r="B1094" s="3">
        <v>3115.8200999999999</v>
      </c>
      <c r="C1094" s="3">
        <v>164849</v>
      </c>
      <c r="D1094" s="4">
        <f t="shared" si="52"/>
        <v>-3.4761163975242271E-3</v>
      </c>
      <c r="E1094" s="4">
        <f t="shared" si="53"/>
        <v>2.9728590325400425E-4</v>
      </c>
      <c r="F1094" s="3">
        <f t="shared" si="51"/>
        <v>2026</v>
      </c>
    </row>
    <row r="1095" spans="1:6" ht="15" customHeight="1" x14ac:dyDescent="0.2">
      <c r="A1095" s="2">
        <v>46042</v>
      </c>
      <c r="B1095" s="3">
        <v>3132.79</v>
      </c>
      <c r="C1095" s="3">
        <v>166277</v>
      </c>
      <c r="D1095" s="4">
        <f t="shared" si="52"/>
        <v>5.4315892491699777E-3</v>
      </c>
      <c r="E1095" s="4">
        <f t="shared" si="53"/>
        <v>8.6251689859467504E-3</v>
      </c>
      <c r="F1095" s="3">
        <f t="shared" si="51"/>
        <v>2026</v>
      </c>
    </row>
    <row r="1096" spans="1:6" ht="15" customHeight="1" x14ac:dyDescent="0.2">
      <c r="A1096" s="2">
        <v>46043</v>
      </c>
      <c r="B1096" s="3">
        <v>3244.53</v>
      </c>
      <c r="C1096" s="3">
        <v>171817</v>
      </c>
      <c r="D1096" s="4">
        <f t="shared" si="52"/>
        <v>3.5046520137078409E-2</v>
      </c>
      <c r="E1096" s="4">
        <f t="shared" si="53"/>
        <v>3.2774884560211708E-2</v>
      </c>
      <c r="F1096" s="3">
        <f t="shared" si="51"/>
        <v>2026</v>
      </c>
    </row>
    <row r="1097" spans="1:6" ht="15" customHeight="1" x14ac:dyDescent="0.2">
      <c r="A1097" s="2">
        <v>46044</v>
      </c>
      <c r="B1097" s="3">
        <v>3319.78</v>
      </c>
      <c r="C1097" s="3">
        <v>175589</v>
      </c>
      <c r="D1097" s="4">
        <f t="shared" si="52"/>
        <v>2.2928014219178356E-2</v>
      </c>
      <c r="E1097" s="4">
        <f t="shared" si="53"/>
        <v>2.1716079945097163E-2</v>
      </c>
      <c r="F1097" s="3">
        <f t="shared" si="51"/>
        <v>2026</v>
      </c>
    </row>
    <row r="1098" spans="1:6" ht="15" customHeight="1" x14ac:dyDescent="0.2">
      <c r="A1098" s="2">
        <v>46045</v>
      </c>
      <c r="B1098" s="3">
        <v>3372.4398999999999</v>
      </c>
      <c r="C1098" s="3">
        <v>178859</v>
      </c>
      <c r="D1098" s="4">
        <f t="shared" si="52"/>
        <v>1.5737972660597017E-2</v>
      </c>
      <c r="E1098" s="4">
        <f t="shared" si="53"/>
        <v>1.8451749067524337E-2</v>
      </c>
      <c r="F1098" s="3">
        <f t="shared" si="51"/>
        <v>2026</v>
      </c>
    </row>
    <row r="1099" spans="1:6" ht="15" customHeight="1" x14ac:dyDescent="0.2">
      <c r="A1099" s="2">
        <v>46048</v>
      </c>
      <c r="B1099" s="3">
        <v>3376.4099000000001</v>
      </c>
      <c r="C1099" s="3">
        <v>178721</v>
      </c>
      <c r="D1099" s="4">
        <f t="shared" si="52"/>
        <v>1.176496907049795E-3</v>
      </c>
      <c r="E1099" s="4">
        <f t="shared" si="53"/>
        <v>-7.7185528749511094E-4</v>
      </c>
      <c r="F1099" s="3">
        <f t="shared" si="51"/>
        <v>2026</v>
      </c>
    </row>
    <row r="1100" spans="1:6" ht="15" customHeight="1" x14ac:dyDescent="0.2">
      <c r="A1100" s="2">
        <v>46049</v>
      </c>
      <c r="B1100" s="3">
        <v>3437.46</v>
      </c>
      <c r="C1100" s="3">
        <v>181919</v>
      </c>
      <c r="D1100" s="4">
        <f t="shared" si="52"/>
        <v>1.7919841321173344E-2</v>
      </c>
      <c r="E1100" s="4">
        <f t="shared" si="53"/>
        <v>1.7735602415484001E-2</v>
      </c>
      <c r="F1100" s="3">
        <f t="shared" si="51"/>
        <v>2026</v>
      </c>
    </row>
    <row r="1101" spans="1:6" ht="15" customHeight="1" x14ac:dyDescent="0.2">
      <c r="A1101" s="2">
        <v>46050</v>
      </c>
      <c r="B1101" s="3">
        <v>3478.8998999999999</v>
      </c>
      <c r="C1101" s="3">
        <v>184691</v>
      </c>
      <c r="D1101" s="4">
        <f t="shared" si="52"/>
        <v>1.1983296558699508E-2</v>
      </c>
      <c r="E1101" s="4">
        <f t="shared" si="53"/>
        <v>1.5122625286082807E-2</v>
      </c>
      <c r="F1101" s="3">
        <f t="shared" si="51"/>
        <v>2026</v>
      </c>
    </row>
    <row r="1102" spans="1:6" ht="15" customHeight="1" x14ac:dyDescent="0.2">
      <c r="A1102" s="2">
        <v>46051</v>
      </c>
      <c r="B1102" s="3">
        <v>3445.6399000000001</v>
      </c>
      <c r="C1102" s="3">
        <v>183134</v>
      </c>
      <c r="D1102" s="4">
        <f t="shared" si="52"/>
        <v>-9.6064884432643452E-3</v>
      </c>
      <c r="E1102" s="4">
        <f t="shared" si="53"/>
        <v>-8.4660330301281686E-3</v>
      </c>
      <c r="F1102" s="3">
        <f t="shared" si="51"/>
        <v>2026</v>
      </c>
    </row>
    <row r="1103" spans="1:6" ht="15" customHeight="1" x14ac:dyDescent="0.2">
      <c r="A1103" s="2">
        <v>46052</v>
      </c>
      <c r="B1103" s="3">
        <v>3414.74</v>
      </c>
      <c r="C1103" s="3">
        <v>181364</v>
      </c>
      <c r="D1103" s="4">
        <f t="shared" si="52"/>
        <v>-9.0082792522791656E-3</v>
      </c>
      <c r="E1103" s="4">
        <f t="shared" si="53"/>
        <v>-9.7120637852340531E-3</v>
      </c>
      <c r="F1103" s="3">
        <f t="shared" si="51"/>
        <v>2026</v>
      </c>
    </row>
    <row r="1104" spans="1:6" ht="15" customHeight="1" x14ac:dyDescent="0.2">
      <c r="A1104" s="2">
        <v>46055</v>
      </c>
      <c r="B1104" s="3">
        <v>3454.79</v>
      </c>
      <c r="C1104" s="3">
        <v>182793</v>
      </c>
      <c r="D1104" s="4">
        <f t="shared" si="52"/>
        <v>1.1660318471736464E-2</v>
      </c>
      <c r="E1104" s="4">
        <f t="shared" si="53"/>
        <v>7.8483035341009571E-3</v>
      </c>
      <c r="F1104" s="3">
        <f t="shared" si="51"/>
        <v>2026</v>
      </c>
    </row>
    <row r="1105" spans="1:6" ht="15" customHeight="1" x14ac:dyDescent="0.2">
      <c r="A1105" s="2">
        <v>46056</v>
      </c>
      <c r="B1105" s="3">
        <v>3494.4299000000001</v>
      </c>
      <c r="C1105" s="3">
        <v>185674</v>
      </c>
      <c r="D1105" s="4">
        <f t="shared" si="52"/>
        <v>1.1408569743163297E-2</v>
      </c>
      <c r="E1105" s="4">
        <f t="shared" si="53"/>
        <v>1.5638082715962554E-2</v>
      </c>
      <c r="F1105" s="3">
        <f t="shared" si="51"/>
        <v>2026</v>
      </c>
    </row>
    <row r="1106" spans="1:6" ht="15" customHeight="1" x14ac:dyDescent="0.2">
      <c r="A1106" s="2">
        <v>46057</v>
      </c>
      <c r="B1106" s="3">
        <v>3389.21</v>
      </c>
      <c r="C1106" s="3">
        <v>181708</v>
      </c>
      <c r="D1106" s="4">
        <f t="shared" si="52"/>
        <v>-3.0573387752785029E-2</v>
      </c>
      <c r="E1106" s="4">
        <f t="shared" si="53"/>
        <v>-2.1591444734681664E-2</v>
      </c>
      <c r="F1106" s="3">
        <f t="shared" si="51"/>
        <v>2026</v>
      </c>
    </row>
    <row r="1107" spans="1:6" ht="15" customHeight="1" x14ac:dyDescent="0.2">
      <c r="A1107" s="2">
        <v>46058</v>
      </c>
      <c r="B1107" s="3">
        <v>3421.3501000000001</v>
      </c>
      <c r="C1107" s="3">
        <v>182127</v>
      </c>
      <c r="D1107" s="4">
        <f t="shared" si="52"/>
        <v>9.4383833701350752E-3</v>
      </c>
      <c r="E1107" s="4">
        <f t="shared" si="53"/>
        <v>2.3032428723481209E-3</v>
      </c>
      <c r="F1107" s="3">
        <f t="shared" si="51"/>
        <v>2026</v>
      </c>
    </row>
    <row r="1108" spans="1:6" ht="15" customHeight="1" x14ac:dyDescent="0.2">
      <c r="A1108" s="2">
        <v>46059</v>
      </c>
      <c r="B1108" s="3">
        <v>3463.3798999999999</v>
      </c>
      <c r="C1108" s="3">
        <v>182950</v>
      </c>
      <c r="D1108" s="4">
        <f t="shared" si="52"/>
        <v>1.2209722716667797E-2</v>
      </c>
      <c r="E1108" s="4">
        <f t="shared" si="53"/>
        <v>4.5086455413714558E-3</v>
      </c>
      <c r="F1108" s="3">
        <f t="shared" si="51"/>
        <v>2026</v>
      </c>
    </row>
    <row r="1109" spans="1:6" ht="15" customHeight="1" x14ac:dyDescent="0.2">
      <c r="A1109" s="2">
        <v>46062</v>
      </c>
      <c r="B1109" s="3">
        <v>3522.21</v>
      </c>
      <c r="C1109" s="3">
        <v>186241</v>
      </c>
      <c r="D1109" s="4">
        <f t="shared" si="52"/>
        <v>1.6843671536025208E-2</v>
      </c>
      <c r="E1109" s="4">
        <f t="shared" si="53"/>
        <v>1.7828642479249562E-2</v>
      </c>
      <c r="F1109" s="3">
        <f t="shared" si="51"/>
        <v>2026</v>
      </c>
    </row>
    <row r="1110" spans="1:6" ht="15" customHeight="1" x14ac:dyDescent="0.2">
      <c r="A1110" s="2">
        <v>46063</v>
      </c>
      <c r="B1110" s="3">
        <v>3515.8</v>
      </c>
      <c r="C1110" s="3">
        <v>185929</v>
      </c>
      <c r="D1110" s="4">
        <f t="shared" si="52"/>
        <v>-1.8215381257956033E-3</v>
      </c>
      <c r="E1110" s="4">
        <f t="shared" si="53"/>
        <v>-1.676653535160545E-3</v>
      </c>
      <c r="F1110" s="3">
        <f t="shared" si="51"/>
        <v>2026</v>
      </c>
    </row>
    <row r="1111" spans="1:6" ht="15" customHeight="1" x14ac:dyDescent="0.2">
      <c r="A1111" s="2">
        <v>46064</v>
      </c>
      <c r="B1111" s="3">
        <v>3554.72</v>
      </c>
      <c r="C1111" s="3">
        <v>189699</v>
      </c>
      <c r="D1111" s="4">
        <f t="shared" si="52"/>
        <v>1.100920246302671E-2</v>
      </c>
      <c r="E1111" s="4">
        <f t="shared" si="53"/>
        <v>2.0073725036483168E-2</v>
      </c>
      <c r="F1111" s="3">
        <f t="shared" si="51"/>
        <v>2026</v>
      </c>
    </row>
    <row r="1112" spans="1:6" ht="15" customHeight="1" x14ac:dyDescent="0.2">
      <c r="A1112" s="2">
        <v>46065</v>
      </c>
      <c r="B1112" s="3">
        <v>3537.2</v>
      </c>
      <c r="C1112" s="3">
        <v>187766</v>
      </c>
      <c r="D1112" s="4">
        <f t="shared" si="52"/>
        <v>-4.9408441272374331E-3</v>
      </c>
      <c r="E1112" s="4">
        <f t="shared" si="53"/>
        <v>-1.0242098725479569E-2</v>
      </c>
      <c r="F1112" s="3">
        <f t="shared" si="51"/>
        <v>2026</v>
      </c>
    </row>
    <row r="1113" spans="1:6" ht="15" customHeight="1" x14ac:dyDescent="0.2">
      <c r="A1113" s="2">
        <v>46066</v>
      </c>
      <c r="B1113" s="3">
        <v>3513.23</v>
      </c>
      <c r="C1113" s="3">
        <v>186464</v>
      </c>
      <c r="D1113" s="4">
        <f t="shared" si="52"/>
        <v>-6.799611471576714E-3</v>
      </c>
      <c r="E1113" s="4">
        <f t="shared" si="53"/>
        <v>-6.9583157596447183E-3</v>
      </c>
      <c r="F1113" s="3">
        <f t="shared" si="51"/>
        <v>2026</v>
      </c>
    </row>
    <row r="1114" spans="1:6" ht="15" customHeight="1" x14ac:dyDescent="0.2">
      <c r="A1114" s="2">
        <v>46071</v>
      </c>
      <c r="B1114" s="3">
        <v>3522.0801000000001</v>
      </c>
      <c r="C1114" s="3">
        <v>186016</v>
      </c>
      <c r="D1114" s="4">
        <f t="shared" si="52"/>
        <v>2.5159103273311853E-3</v>
      </c>
      <c r="E1114" s="4">
        <f t="shared" si="53"/>
        <v>-2.4054994417236223E-3</v>
      </c>
      <c r="F1114" s="3">
        <f t="shared" si="51"/>
        <v>2026</v>
      </c>
    </row>
    <row r="1115" spans="1:6" ht="15" customHeight="1" x14ac:dyDescent="0.2">
      <c r="A1115" s="2">
        <v>46072</v>
      </c>
      <c r="B1115" s="3">
        <v>3561.79</v>
      </c>
      <c r="C1115" s="3">
        <v>188534</v>
      </c>
      <c r="D1115" s="4">
        <f t="shared" si="52"/>
        <v>1.1211474911423082E-2</v>
      </c>
      <c r="E1115" s="4">
        <f t="shared" si="53"/>
        <v>1.3445670456953917E-2</v>
      </c>
      <c r="F1115" s="3">
        <f t="shared" si="51"/>
        <v>2026</v>
      </c>
    </row>
    <row r="1116" spans="1:6" ht="15" customHeight="1" x14ac:dyDescent="0.2">
      <c r="A1116" s="2">
        <v>46073</v>
      </c>
      <c r="B1116" s="3">
        <v>3601.53</v>
      </c>
      <c r="C1116" s="3">
        <v>190534</v>
      </c>
      <c r="D1116" s="4">
        <f t="shared" si="52"/>
        <v>1.109552768852441E-2</v>
      </c>
      <c r="E1116" s="4">
        <f t="shared" si="53"/>
        <v>1.0552294355902355E-2</v>
      </c>
      <c r="F1116" s="3">
        <f t="shared" si="51"/>
        <v>2026</v>
      </c>
    </row>
    <row r="1117" spans="1:6" ht="15" customHeight="1" x14ac:dyDescent="0.2">
      <c r="A1117" s="2">
        <v>46076</v>
      </c>
      <c r="B1117" s="3">
        <v>3552.6698999999999</v>
      </c>
      <c r="C1117" s="3">
        <v>188853</v>
      </c>
      <c r="D1117" s="4">
        <f t="shared" si="52"/>
        <v>-1.3659349854610078E-2</v>
      </c>
      <c r="E1117" s="4">
        <f t="shared" si="53"/>
        <v>-8.861721675994803E-3</v>
      </c>
      <c r="F1117" s="3">
        <f t="shared" si="51"/>
        <v>2026</v>
      </c>
    </row>
    <row r="1118" spans="1:6" ht="15" customHeight="1" x14ac:dyDescent="0.2">
      <c r="A1118" s="2">
        <v>46077</v>
      </c>
      <c r="B1118" s="3">
        <v>3612.23</v>
      </c>
      <c r="C1118" s="3">
        <v>191490</v>
      </c>
      <c r="D1118" s="4">
        <f t="shared" si="52"/>
        <v>1.6625904840377573E-2</v>
      </c>
      <c r="E1118" s="4">
        <f t="shared" si="53"/>
        <v>1.3866653280274307E-2</v>
      </c>
      <c r="F1118" s="3">
        <f t="shared" si="51"/>
        <v>2026</v>
      </c>
    </row>
    <row r="1119" spans="1:6" ht="15" customHeight="1" x14ac:dyDescent="0.2">
      <c r="A1119" s="2">
        <v>46078</v>
      </c>
      <c r="B1119" s="3">
        <v>3576.77</v>
      </c>
      <c r="C1119" s="3">
        <v>191247</v>
      </c>
      <c r="D1119" s="4">
        <f t="shared" si="52"/>
        <v>-9.8651516438251884E-3</v>
      </c>
      <c r="E1119" s="4">
        <f t="shared" si="53"/>
        <v>-1.2698016269710613E-3</v>
      </c>
      <c r="F1119" s="3">
        <f t="shared" si="51"/>
        <v>2026</v>
      </c>
    </row>
    <row r="1120" spans="1:6" ht="15" customHeight="1" x14ac:dyDescent="0.2">
      <c r="A1120" s="2">
        <v>46079</v>
      </c>
      <c r="B1120" s="3">
        <v>3574.24</v>
      </c>
      <c r="C1120" s="3">
        <v>191005</v>
      </c>
      <c r="D1120" s="4">
        <f t="shared" si="52"/>
        <v>-7.0759238361063821E-4</v>
      </c>
      <c r="E1120" s="4">
        <f t="shared" si="53"/>
        <v>-1.2661805946415547E-3</v>
      </c>
      <c r="F1120" s="3">
        <f t="shared" si="51"/>
        <v>2026</v>
      </c>
    </row>
    <row r="1121" spans="1:6" ht="15" customHeight="1" x14ac:dyDescent="0.2">
      <c r="A1121" s="2">
        <v>46080</v>
      </c>
      <c r="B1121" s="3">
        <v>3527.23</v>
      </c>
      <c r="C1121" s="3">
        <v>188787</v>
      </c>
      <c r="D1121" s="4">
        <f t="shared" si="52"/>
        <v>-1.323970577804898E-2</v>
      </c>
      <c r="E1121" s="4">
        <f t="shared" si="53"/>
        <v>-1.1680210305944518E-2</v>
      </c>
      <c r="F1121" s="3">
        <f t="shared" si="51"/>
        <v>2026</v>
      </c>
    </row>
    <row r="1122" spans="1:6" ht="15" customHeight="1" x14ac:dyDescent="0.2">
      <c r="A1122" s="2">
        <v>46083</v>
      </c>
      <c r="B1122" s="3">
        <v>3526.6001000000001</v>
      </c>
      <c r="C1122" s="3">
        <v>189307</v>
      </c>
      <c r="D1122" s="4">
        <f t="shared" si="52"/>
        <v>-1.7859800781831606E-4</v>
      </c>
      <c r="E1122" s="4">
        <f t="shared" si="53"/>
        <v>2.7506404643340716E-3</v>
      </c>
      <c r="F1122" s="3">
        <f t="shared" si="51"/>
        <v>2026</v>
      </c>
    </row>
    <row r="1123" spans="1:6" ht="15" customHeight="1" x14ac:dyDescent="0.2">
      <c r="A1123" s="2">
        <v>46084</v>
      </c>
      <c r="B1123" s="3">
        <v>3402.6001000000001</v>
      </c>
      <c r="C1123" s="3">
        <v>183105</v>
      </c>
      <c r="D1123" s="4">
        <f t="shared" si="52"/>
        <v>-3.5794387692418793E-2</v>
      </c>
      <c r="E1123" s="4">
        <f t="shared" si="53"/>
        <v>-3.3310277082979824E-2</v>
      </c>
      <c r="F1123" s="3">
        <f t="shared" si="51"/>
        <v>2026</v>
      </c>
    </row>
    <row r="1124" spans="1:6" ht="15" customHeight="1" x14ac:dyDescent="0.2">
      <c r="A1124" s="2">
        <v>46085</v>
      </c>
      <c r="B1124" s="3">
        <v>3470.5700999999999</v>
      </c>
      <c r="C1124" s="3">
        <v>185366</v>
      </c>
      <c r="D1124" s="4">
        <f t="shared" si="52"/>
        <v>1.9778999756931551E-2</v>
      </c>
      <c r="E1124" s="4">
        <f t="shared" si="53"/>
        <v>1.2272490253614616E-2</v>
      </c>
      <c r="F1124" s="3">
        <f t="shared" si="51"/>
        <v>2026</v>
      </c>
    </row>
    <row r="1125" spans="1:6" ht="15" customHeight="1" x14ac:dyDescent="0.2">
      <c r="A1125" s="2">
        <v>46086</v>
      </c>
      <c r="B1125" s="3">
        <v>3369.28</v>
      </c>
      <c r="C1125" s="3">
        <v>180464</v>
      </c>
      <c r="D1125" s="4">
        <f t="shared" si="52"/>
        <v>-2.9619802725864397E-2</v>
      </c>
      <c r="E1125" s="4">
        <f t="shared" si="53"/>
        <v>-2.6800937145926171E-2</v>
      </c>
      <c r="F1125" s="3">
        <f t="shared" si="51"/>
        <v>2026</v>
      </c>
    </row>
    <row r="1126" spans="1:6" ht="15" customHeight="1" x14ac:dyDescent="0.2">
      <c r="A1126" s="2">
        <v>46087</v>
      </c>
      <c r="B1126" s="3">
        <v>3331.8101000000001</v>
      </c>
      <c r="C1126" s="3">
        <v>179365</v>
      </c>
      <c r="D1126" s="4">
        <f t="shared" si="52"/>
        <v>-1.118334180293127E-2</v>
      </c>
      <c r="E1126" s="4">
        <f t="shared" si="53"/>
        <v>-6.1084760666357055E-3</v>
      </c>
      <c r="F1126" s="3">
        <f t="shared" si="51"/>
        <v>2026</v>
      </c>
    </row>
    <row r="1127" spans="1:6" ht="15" customHeight="1" x14ac:dyDescent="0.2">
      <c r="A1127" s="2">
        <v>46090</v>
      </c>
      <c r="B1127" s="3">
        <v>3348.45</v>
      </c>
      <c r="C1127" s="3">
        <v>180915</v>
      </c>
      <c r="D1127" s="4">
        <f t="shared" si="52"/>
        <v>4.9818223140263105E-3</v>
      </c>
      <c r="E1127" s="4">
        <f t="shared" si="53"/>
        <v>8.6044718723907263E-3</v>
      </c>
      <c r="F1127" s="3">
        <f t="shared" si="51"/>
        <v>2026</v>
      </c>
    </row>
    <row r="1128" spans="1:6" ht="15" customHeight="1" x14ac:dyDescent="0.2">
      <c r="A1128" s="2">
        <v>46091</v>
      </c>
      <c r="B1128" s="3">
        <v>3418.24</v>
      </c>
      <c r="C1128" s="3">
        <v>183447</v>
      </c>
      <c r="D1128" s="4">
        <f t="shared" si="52"/>
        <v>2.0628246531861117E-2</v>
      </c>
      <c r="E1128" s="4">
        <f t="shared" si="53"/>
        <v>1.389848973449679E-2</v>
      </c>
      <c r="F1128" s="3">
        <f t="shared" si="51"/>
        <v>2026</v>
      </c>
    </row>
    <row r="1129" spans="1:6" ht="15" customHeight="1" x14ac:dyDescent="0.2">
      <c r="A1129" s="2">
        <v>46092</v>
      </c>
      <c r="B1129" s="3">
        <v>3405.4198999999999</v>
      </c>
      <c r="C1129" s="3">
        <v>183969</v>
      </c>
      <c r="D1129" s="4">
        <f t="shared" si="52"/>
        <v>-3.7575480818120783E-3</v>
      </c>
      <c r="E1129" s="4">
        <f t="shared" si="53"/>
        <v>2.8414677162470199E-3</v>
      </c>
      <c r="F1129" s="3">
        <f t="shared" si="51"/>
        <v>2026</v>
      </c>
    </row>
    <row r="1130" spans="1:6" ht="15" customHeight="1" x14ac:dyDescent="0.2">
      <c r="A1130" s="2">
        <v>46093</v>
      </c>
      <c r="B1130" s="3">
        <v>3279.0700999999999</v>
      </c>
      <c r="C1130" s="3">
        <v>179284</v>
      </c>
      <c r="D1130" s="4">
        <f t="shared" si="52"/>
        <v>-3.7808374544361194E-2</v>
      </c>
      <c r="E1130" s="4">
        <f t="shared" si="53"/>
        <v>-2.579612444219051E-2</v>
      </c>
      <c r="F1130" s="3">
        <f t="shared" si="51"/>
        <v>2026</v>
      </c>
    </row>
    <row r="1131" spans="1:6" ht="15" customHeight="1" x14ac:dyDescent="0.2">
      <c r="A1131" s="2">
        <v>46094</v>
      </c>
      <c r="B1131" s="3">
        <v>3247.6298999999999</v>
      </c>
      <c r="C1131" s="3">
        <v>177653</v>
      </c>
      <c r="D1131" s="4">
        <f t="shared" si="52"/>
        <v>-9.6344073404015969E-3</v>
      </c>
      <c r="E1131" s="4">
        <f t="shared" si="53"/>
        <v>-9.1389312497889025E-3</v>
      </c>
      <c r="F1131" s="3">
        <f t="shared" si="51"/>
        <v>2026</v>
      </c>
    </row>
    <row r="1132" spans="1:6" ht="15" customHeight="1" x14ac:dyDescent="0.2">
      <c r="A1132" s="2">
        <v>46097</v>
      </c>
      <c r="B1132" s="3">
        <v>3287.0601000000001</v>
      </c>
      <c r="C1132" s="3">
        <v>179875</v>
      </c>
      <c r="D1132" s="4">
        <f t="shared" si="52"/>
        <v>1.2068109901970974E-2</v>
      </c>
      <c r="E1132" s="4">
        <f t="shared" si="53"/>
        <v>1.2429955745451733E-2</v>
      </c>
      <c r="F1132" s="3">
        <f t="shared" si="51"/>
        <v>2026</v>
      </c>
    </row>
    <row r="1133" spans="1:6" ht="15" customHeight="1" x14ac:dyDescent="0.2">
      <c r="A1133" s="2">
        <v>46098</v>
      </c>
      <c r="B1133" s="3">
        <v>3296.6698999999999</v>
      </c>
      <c r="C1133" s="3">
        <v>180410</v>
      </c>
      <c r="D1133" s="4">
        <f t="shared" si="52"/>
        <v>2.919259090095504E-3</v>
      </c>
      <c r="E1133" s="4">
        <f t="shared" si="53"/>
        <v>2.9698732571798066E-3</v>
      </c>
      <c r="F1133" s="3">
        <f t="shared" si="51"/>
        <v>2026</v>
      </c>
    </row>
    <row r="1134" spans="1:6" ht="15" customHeight="1" x14ac:dyDescent="0.2">
      <c r="A1134" s="2">
        <v>46099</v>
      </c>
      <c r="B1134" s="3">
        <v>3255.97</v>
      </c>
      <c r="C1134" s="3">
        <v>179640</v>
      </c>
      <c r="D1134" s="4">
        <f t="shared" si="52"/>
        <v>-1.2422603416072424E-2</v>
      </c>
      <c r="E1134" s="4">
        <f t="shared" si="53"/>
        <v>-4.2771902451743914E-3</v>
      </c>
      <c r="F1134" s="3">
        <f t="shared" si="51"/>
        <v>2026</v>
      </c>
    </row>
    <row r="1135" spans="1:6" ht="15" customHeight="1" x14ac:dyDescent="0.2">
      <c r="A1135" s="2">
        <v>46100</v>
      </c>
      <c r="B1135" s="3">
        <v>3265.74</v>
      </c>
      <c r="C1135" s="3">
        <v>180271</v>
      </c>
      <c r="D1135" s="4">
        <f t="shared" si="52"/>
        <v>2.9961489574662089E-3</v>
      </c>
      <c r="E1135" s="4">
        <f t="shared" si="53"/>
        <v>3.5064260137266513E-3</v>
      </c>
      <c r="F1135" s="3">
        <f t="shared" si="51"/>
        <v>2026</v>
      </c>
    </row>
    <row r="1136" spans="1:6" ht="15" customHeight="1" x14ac:dyDescent="0.2">
      <c r="A1136" s="2">
        <v>46101</v>
      </c>
      <c r="B1136" s="3">
        <v>3172.74</v>
      </c>
      <c r="C1136" s="3">
        <v>176219</v>
      </c>
      <c r="D1136" s="4">
        <f t="shared" si="52"/>
        <v>-2.8890815432816377E-2</v>
      </c>
      <c r="E1136" s="4">
        <f t="shared" si="53"/>
        <v>-2.2733734535557337E-2</v>
      </c>
      <c r="F1136" s="3">
        <f t="shared" si="51"/>
        <v>2026</v>
      </c>
    </row>
    <row r="1137" spans="1:6" ht="15" customHeight="1" x14ac:dyDescent="0.2">
      <c r="A1137" s="2">
        <v>46104</v>
      </c>
      <c r="B1137" s="3">
        <v>3321.48</v>
      </c>
      <c r="C1137" s="3">
        <v>181932</v>
      </c>
      <c r="D1137" s="4">
        <f t="shared" si="52"/>
        <v>4.5814898865862833E-2</v>
      </c>
      <c r="E1137" s="4">
        <f t="shared" si="53"/>
        <v>3.1905451189738386E-2</v>
      </c>
      <c r="F1137" s="3">
        <f t="shared" si="51"/>
        <v>2026</v>
      </c>
    </row>
    <row r="1138" spans="1:6" ht="15" customHeight="1" x14ac:dyDescent="0.2">
      <c r="A1138" s="2">
        <v>46105</v>
      </c>
      <c r="B1138" s="3">
        <v>3320.78</v>
      </c>
      <c r="C1138" s="3">
        <v>182509</v>
      </c>
      <c r="D1138" s="4">
        <f t="shared" si="52"/>
        <v>-2.1077163573585716E-4</v>
      </c>
      <c r="E1138" s="4">
        <f t="shared" si="53"/>
        <v>3.1664959876464699E-3</v>
      </c>
      <c r="F1138" s="3">
        <f t="shared" si="51"/>
        <v>2026</v>
      </c>
    </row>
    <row r="1139" spans="1:6" ht="15" customHeight="1" x14ac:dyDescent="0.2">
      <c r="A1139" s="2">
        <v>46106</v>
      </c>
      <c r="B1139" s="3">
        <v>3388.8899000000001</v>
      </c>
      <c r="C1139" s="3">
        <v>185424</v>
      </c>
      <c r="D1139" s="4">
        <f t="shared" si="52"/>
        <v>2.0302709544347656E-2</v>
      </c>
      <c r="E1139" s="4">
        <f t="shared" si="53"/>
        <v>1.5845607716943915E-2</v>
      </c>
      <c r="F1139" s="3">
        <f t="shared" si="51"/>
        <v>2026</v>
      </c>
    </row>
    <row r="1140" spans="1:6" ht="15" customHeight="1" x14ac:dyDescent="0.2">
      <c r="A1140" s="2">
        <v>46107</v>
      </c>
      <c r="B1140" s="3">
        <v>3326.6599000000001</v>
      </c>
      <c r="C1140" s="3">
        <v>182733</v>
      </c>
      <c r="D1140" s="4">
        <f t="shared" si="52"/>
        <v>-1.8533637052699808E-2</v>
      </c>
      <c r="E1140" s="4">
        <f t="shared" si="53"/>
        <v>-1.4619023544892614E-2</v>
      </c>
      <c r="F1140" s="3">
        <f t="shared" si="51"/>
        <v>2026</v>
      </c>
    </row>
    <row r="1141" spans="1:6" ht="15" customHeight="1" x14ac:dyDescent="0.2">
      <c r="A1141" s="2">
        <v>46108</v>
      </c>
      <c r="B1141" s="3">
        <v>3277.1001000000001</v>
      </c>
      <c r="C1141" s="3">
        <v>181557</v>
      </c>
      <c r="D1141" s="4">
        <f t="shared" si="52"/>
        <v>-1.5009852103597916E-2</v>
      </c>
      <c r="E1141" s="4">
        <f t="shared" si="53"/>
        <v>-6.4564170587095189E-3</v>
      </c>
      <c r="F1141" s="3">
        <f t="shared" si="51"/>
        <v>2026</v>
      </c>
    </row>
    <row r="1142" spans="1:6" ht="15" customHeight="1" x14ac:dyDescent="0.2">
      <c r="A1142" s="2">
        <v>46111</v>
      </c>
      <c r="B1142" s="3">
        <v>3281.02</v>
      </c>
      <c r="C1142" s="3">
        <v>182514</v>
      </c>
      <c r="D1142" s="4">
        <f t="shared" si="52"/>
        <v>1.1954341814555023E-3</v>
      </c>
      <c r="E1142" s="4">
        <f t="shared" si="53"/>
        <v>5.2572284206400472E-3</v>
      </c>
      <c r="F1142" s="3">
        <f t="shared" si="51"/>
        <v>2026</v>
      </c>
    </row>
    <row r="1143" spans="1:6" ht="15" customHeight="1" x14ac:dyDescent="0.2">
      <c r="A1143" s="2">
        <v>46112</v>
      </c>
      <c r="B1143" s="3">
        <v>3413.3701000000001</v>
      </c>
      <c r="C1143" s="3">
        <v>187462</v>
      </c>
      <c r="D1143" s="4">
        <f t="shared" si="52"/>
        <v>3.9545752706699432E-2</v>
      </c>
      <c r="E1143" s="4">
        <f t="shared" si="53"/>
        <v>2.6749275795061686E-2</v>
      </c>
      <c r="F1143" s="3">
        <f t="shared" si="51"/>
        <v>2026</v>
      </c>
    </row>
    <row r="1144" spans="1:6" ht="15" customHeight="1" x14ac:dyDescent="0.2">
      <c r="A1144" s="2">
        <v>46113</v>
      </c>
      <c r="B1144" s="3">
        <v>3441.1298999999999</v>
      </c>
      <c r="C1144" s="3">
        <v>187953</v>
      </c>
      <c r="D1144" s="4">
        <f t="shared" si="52"/>
        <v>8.0997743870698385E-3</v>
      </c>
      <c r="E1144" s="4">
        <f t="shared" si="53"/>
        <v>2.6157733706051872E-3</v>
      </c>
      <c r="F1144" s="3">
        <f t="shared" si="51"/>
        <v>2026</v>
      </c>
    </row>
    <row r="1145" spans="1:6" ht="15" customHeight="1" x14ac:dyDescent="0.2">
      <c r="A1145" s="2">
        <v>46114</v>
      </c>
      <c r="B1145" s="3">
        <v>3425.8899000000001</v>
      </c>
      <c r="C1145" s="3">
        <v>188052</v>
      </c>
      <c r="D1145" s="4">
        <f t="shared" si="52"/>
        <v>-4.4386139736003385E-3</v>
      </c>
      <c r="E1145" s="4">
        <f t="shared" si="53"/>
        <v>5.2658875433937312E-4</v>
      </c>
      <c r="F1145" s="3">
        <f t="shared" si="51"/>
        <v>2026</v>
      </c>
    </row>
    <row r="1146" spans="1:6" ht="15" customHeight="1" x14ac:dyDescent="0.2">
      <c r="A1146" s="2">
        <v>46118</v>
      </c>
      <c r="B1146" s="3">
        <v>3415.3301000000001</v>
      </c>
      <c r="C1146" s="3">
        <v>188162</v>
      </c>
      <c r="D1146" s="4">
        <f t="shared" si="52"/>
        <v>-3.0871126455434554E-3</v>
      </c>
      <c r="E1146" s="4">
        <f t="shared" si="53"/>
        <v>5.8477357639339516E-4</v>
      </c>
      <c r="F1146" s="3">
        <f t="shared" si="51"/>
        <v>2026</v>
      </c>
    </row>
    <row r="1147" spans="1:6" ht="15" customHeight="1" x14ac:dyDescent="0.2">
      <c r="A1147" s="2">
        <v>46119</v>
      </c>
      <c r="B1147" s="3">
        <v>3409.47</v>
      </c>
      <c r="C1147" s="3">
        <v>188259</v>
      </c>
      <c r="D1147" s="4">
        <f t="shared" si="52"/>
        <v>-1.7172961418083096E-3</v>
      </c>
      <c r="E1147" s="4">
        <f t="shared" si="53"/>
        <v>5.1538039666785716E-4</v>
      </c>
      <c r="F1147" s="3">
        <f t="shared" si="51"/>
        <v>2026</v>
      </c>
    </row>
    <row r="1148" spans="1:6" ht="15" customHeight="1" x14ac:dyDescent="0.2">
      <c r="A1148" s="2">
        <v>46120</v>
      </c>
      <c r="B1148" s="3">
        <v>3512.29</v>
      </c>
      <c r="C1148" s="3">
        <v>192201</v>
      </c>
      <c r="D1148" s="4">
        <f t="shared" si="52"/>
        <v>2.971139239998042E-2</v>
      </c>
      <c r="E1148" s="4">
        <f t="shared" si="53"/>
        <v>2.0723025134148063E-2</v>
      </c>
      <c r="F1148" s="3">
        <f t="shared" si="51"/>
        <v>2026</v>
      </c>
    </row>
    <row r="1149" spans="1:6" ht="15" customHeight="1" x14ac:dyDescent="0.2">
      <c r="A1149" s="2">
        <v>46121</v>
      </c>
      <c r="B1149" s="3">
        <v>3567.1100999999999</v>
      </c>
      <c r="C1149" s="3">
        <v>195129</v>
      </c>
      <c r="D1149" s="4">
        <f t="shared" si="52"/>
        <v>1.5487525778867662E-2</v>
      </c>
      <c r="E1149" s="4">
        <f t="shared" si="53"/>
        <v>1.5119178868884541E-2</v>
      </c>
      <c r="F1149" s="3">
        <f t="shared" si="51"/>
        <v>2026</v>
      </c>
    </row>
    <row r="1150" spans="1:6" ht="15" customHeight="1" x14ac:dyDescent="0.2">
      <c r="A1150" s="2">
        <v>46122</v>
      </c>
      <c r="B1150" s="3">
        <v>3598.55</v>
      </c>
      <c r="C1150" s="3">
        <v>197324</v>
      </c>
      <c r="D1150" s="4">
        <f t="shared" si="52"/>
        <v>8.7752143729493259E-3</v>
      </c>
      <c r="E1150" s="4">
        <f t="shared" si="53"/>
        <v>1.118616949487319E-2</v>
      </c>
      <c r="F1150" s="3">
        <f t="shared" si="51"/>
        <v>2026</v>
      </c>
    </row>
    <row r="1151" spans="1:6" ht="15" customHeight="1" x14ac:dyDescent="0.2">
      <c r="A1151" s="2">
        <v>46125</v>
      </c>
      <c r="B1151" s="3">
        <v>3598.74</v>
      </c>
      <c r="C1151" s="3">
        <v>198001</v>
      </c>
      <c r="D1151" s="4">
        <f t="shared" si="52"/>
        <v>5.2797650238838613E-5</v>
      </c>
      <c r="E1151" s="4">
        <f t="shared" si="53"/>
        <v>3.4250333867857992E-3</v>
      </c>
      <c r="F1151" s="3">
        <f t="shared" si="51"/>
        <v>2026</v>
      </c>
    </row>
    <row r="1152" spans="1:6" ht="15" customHeight="1" x14ac:dyDescent="0.2">
      <c r="A1152" s="2">
        <v>46126</v>
      </c>
      <c r="B1152" s="3">
        <v>3638.3899000000001</v>
      </c>
      <c r="C1152" s="3">
        <v>198657</v>
      </c>
      <c r="D1152" s="4">
        <f t="shared" si="52"/>
        <v>1.0957464426987484E-2</v>
      </c>
      <c r="E1152" s="4">
        <f t="shared" si="53"/>
        <v>3.3076383084621446E-3</v>
      </c>
      <c r="F1152" s="3">
        <f t="shared" si="51"/>
        <v>2026</v>
      </c>
    </row>
    <row r="1153" spans="1:6" ht="15" customHeight="1" x14ac:dyDescent="0.2">
      <c r="A1153" s="2">
        <v>46127</v>
      </c>
      <c r="B1153" s="3">
        <v>3633.8301000000001</v>
      </c>
      <c r="C1153" s="3">
        <v>197738</v>
      </c>
      <c r="D1153" s="4">
        <f t="shared" si="52"/>
        <v>-1.2540326331054604E-3</v>
      </c>
      <c r="E1153" s="4">
        <f t="shared" si="53"/>
        <v>-4.6367973689509139E-3</v>
      </c>
      <c r="F1153" s="3">
        <f t="shared" si="51"/>
        <v>2026</v>
      </c>
    </row>
    <row r="1154" spans="1:6" ht="15" customHeight="1" x14ac:dyDescent="0.2">
      <c r="A1154" s="2">
        <v>46128</v>
      </c>
      <c r="B1154" s="3">
        <v>3589.3</v>
      </c>
      <c r="C1154" s="3">
        <v>196819</v>
      </c>
      <c r="D1154" s="4">
        <f t="shared" si="52"/>
        <v>-1.2330018576142465E-2</v>
      </c>
      <c r="E1154" s="4">
        <f t="shared" si="53"/>
        <v>-4.6583974528840782E-3</v>
      </c>
      <c r="F1154" s="3">
        <f t="shared" ref="F1154:F1217" si="54">YEAR(A1154)</f>
        <v>2026</v>
      </c>
    </row>
    <row r="1155" spans="1:6" ht="15" customHeight="1" x14ac:dyDescent="0.2">
      <c r="A1155" s="2">
        <v>46129</v>
      </c>
      <c r="B1155" s="3">
        <v>3589.3701000000001</v>
      </c>
      <c r="C1155" s="3">
        <v>195734</v>
      </c>
      <c r="D1155" s="4">
        <f t="shared" ref="D1155:D1218" si="55">LN(B1155/B1154)</f>
        <v>1.9530079813118609E-5</v>
      </c>
      <c r="E1155" s="4">
        <f t="shared" ref="E1155:E1218" si="56">LN(C1155/C1154)</f>
        <v>-5.5279300525129423E-3</v>
      </c>
      <c r="F1155" s="3">
        <f t="shared" si="54"/>
        <v>2026</v>
      </c>
    </row>
    <row r="1156" spans="1:6" ht="15" customHeight="1" x14ac:dyDescent="0.2">
      <c r="A1156" s="2">
        <v>46132</v>
      </c>
      <c r="B1156" s="3">
        <v>3584.4198999999999</v>
      </c>
      <c r="C1156" s="3">
        <v>196132</v>
      </c>
      <c r="D1156" s="4">
        <f t="shared" si="55"/>
        <v>-1.3800796470729204E-3</v>
      </c>
      <c r="E1156" s="4">
        <f t="shared" si="56"/>
        <v>2.0313073185864619E-3</v>
      </c>
      <c r="F1156" s="3">
        <f t="shared" si="54"/>
        <v>2026</v>
      </c>
    </row>
    <row r="1157" spans="1:6" ht="15" customHeight="1" x14ac:dyDescent="0.2">
      <c r="A1157" s="2">
        <v>46134</v>
      </c>
      <c r="B1157" s="3">
        <v>3499.5</v>
      </c>
      <c r="C1157" s="3">
        <v>192889</v>
      </c>
      <c r="D1157" s="4">
        <f t="shared" si="55"/>
        <v>-2.3976546700791284E-2</v>
      </c>
      <c r="E1157" s="4">
        <f t="shared" si="56"/>
        <v>-1.667300801875608E-2</v>
      </c>
      <c r="F1157" s="3">
        <f t="shared" si="54"/>
        <v>2026</v>
      </c>
    </row>
    <row r="1158" spans="1:6" ht="15" customHeight="1" x14ac:dyDescent="0.2">
      <c r="A1158" s="2">
        <v>46135</v>
      </c>
      <c r="B1158" s="3">
        <v>3458.52</v>
      </c>
      <c r="C1158" s="3">
        <v>191378</v>
      </c>
      <c r="D1158" s="4">
        <f t="shared" si="55"/>
        <v>-1.1779349251837268E-2</v>
      </c>
      <c r="E1158" s="4">
        <f t="shared" si="56"/>
        <v>-7.8643640370569673E-3</v>
      </c>
      <c r="F1158" s="3">
        <f t="shared" si="54"/>
        <v>2026</v>
      </c>
    </row>
    <row r="1159" spans="1:6" ht="15" customHeight="1" x14ac:dyDescent="0.2">
      <c r="A1159" s="2">
        <v>46136</v>
      </c>
      <c r="B1159" s="3">
        <v>3449.8501000000001</v>
      </c>
      <c r="C1159" s="3">
        <v>190745</v>
      </c>
      <c r="D1159" s="4">
        <f t="shared" si="55"/>
        <v>-2.5099710716611277E-3</v>
      </c>
      <c r="E1159" s="4">
        <f t="shared" si="56"/>
        <v>-3.3130723824923184E-3</v>
      </c>
      <c r="F1159" s="3">
        <f t="shared" si="54"/>
        <v>2026</v>
      </c>
    </row>
    <row r="1160" spans="1:6" ht="15" customHeight="1" x14ac:dyDescent="0.2">
      <c r="A1160" s="2">
        <v>46139</v>
      </c>
      <c r="B1160" s="3">
        <v>3412.3899000000001</v>
      </c>
      <c r="C1160" s="3">
        <v>189579</v>
      </c>
      <c r="D1160" s="4">
        <f t="shared" si="55"/>
        <v>-1.0917884569630158E-2</v>
      </c>
      <c r="E1160" s="4">
        <f t="shared" si="56"/>
        <v>-6.1316333082623159E-3</v>
      </c>
      <c r="F1160" s="3">
        <f t="shared" si="54"/>
        <v>2026</v>
      </c>
    </row>
    <row r="1161" spans="1:6" ht="15" customHeight="1" x14ac:dyDescent="0.2">
      <c r="A1161" s="2">
        <v>46140</v>
      </c>
      <c r="B1161" s="3">
        <v>3388.05</v>
      </c>
      <c r="C1161" s="3">
        <v>188619</v>
      </c>
      <c r="D1161" s="4">
        <f t="shared" si="55"/>
        <v>-7.158361604115232E-3</v>
      </c>
      <c r="E1161" s="4">
        <f t="shared" si="56"/>
        <v>-5.0767167560026756E-3</v>
      </c>
      <c r="F1161" s="3">
        <f t="shared" si="54"/>
        <v>2026</v>
      </c>
    </row>
    <row r="1162" spans="1:6" ht="15" customHeight="1" x14ac:dyDescent="0.2">
      <c r="A1162" s="2">
        <v>46141</v>
      </c>
      <c r="B1162" s="3">
        <v>3297.96</v>
      </c>
      <c r="C1162" s="3">
        <v>184750</v>
      </c>
      <c r="D1162" s="4">
        <f t="shared" si="55"/>
        <v>-2.6950439149123411E-2</v>
      </c>
      <c r="E1162" s="4">
        <f t="shared" si="56"/>
        <v>-2.0725547608651033E-2</v>
      </c>
      <c r="F1162" s="3">
        <f t="shared" si="54"/>
        <v>2026</v>
      </c>
    </row>
    <row r="1163" spans="1:6" ht="15" customHeight="1" x14ac:dyDescent="0.2">
      <c r="A1163" s="2">
        <v>46142</v>
      </c>
      <c r="B1163" s="3">
        <v>3349.1698999999999</v>
      </c>
      <c r="C1163" s="3">
        <v>187318</v>
      </c>
      <c r="D1163" s="4">
        <f t="shared" si="55"/>
        <v>1.540842858583533E-2</v>
      </c>
      <c r="E1163" s="4">
        <f t="shared" si="56"/>
        <v>1.3804147513524724E-2</v>
      </c>
      <c r="F1163" s="3">
        <f t="shared" si="54"/>
        <v>2026</v>
      </c>
    </row>
    <row r="1164" spans="1:6" ht="15" customHeight="1" x14ac:dyDescent="0.2">
      <c r="A1164" s="2">
        <v>46146</v>
      </c>
      <c r="B1164" s="3">
        <v>3322.48</v>
      </c>
      <c r="C1164" s="3">
        <v>185600</v>
      </c>
      <c r="D1164" s="4">
        <f t="shared" si="55"/>
        <v>-8.0010320633614324E-3</v>
      </c>
      <c r="E1164" s="4">
        <f t="shared" si="56"/>
        <v>-9.2138869897355914E-3</v>
      </c>
      <c r="F1164" s="3">
        <f t="shared" si="54"/>
        <v>2026</v>
      </c>
    </row>
    <row r="1165" spans="1:6" ht="15" customHeight="1" x14ac:dyDescent="0.2">
      <c r="A1165" s="2">
        <v>46147</v>
      </c>
      <c r="B1165" s="3">
        <v>3357.0700999999999</v>
      </c>
      <c r="C1165" s="3">
        <v>186754</v>
      </c>
      <c r="D1165" s="4">
        <f t="shared" si="55"/>
        <v>1.03571074959617E-2</v>
      </c>
      <c r="E1165" s="4">
        <f t="shared" si="56"/>
        <v>6.1984224408135032E-3</v>
      </c>
      <c r="F1165" s="3">
        <f t="shared" si="54"/>
        <v>2026</v>
      </c>
    </row>
    <row r="1166" spans="1:6" ht="15" customHeight="1" x14ac:dyDescent="0.2">
      <c r="A1166" s="2">
        <v>46148</v>
      </c>
      <c r="B1166" s="3">
        <v>3391.73</v>
      </c>
      <c r="C1166" s="3">
        <v>187691</v>
      </c>
      <c r="D1166" s="4">
        <f t="shared" si="55"/>
        <v>1.0271516185353989E-2</v>
      </c>
      <c r="E1166" s="4">
        <f t="shared" si="56"/>
        <v>5.0047507954110518E-3</v>
      </c>
      <c r="F1166" s="3">
        <f t="shared" si="54"/>
        <v>2026</v>
      </c>
    </row>
    <row r="1167" spans="1:6" ht="15" customHeight="1" x14ac:dyDescent="0.2">
      <c r="A1167" s="2">
        <v>46149</v>
      </c>
      <c r="B1167" s="3">
        <v>3322.1698999999999</v>
      </c>
      <c r="C1167" s="3">
        <v>183218</v>
      </c>
      <c r="D1167" s="4">
        <f t="shared" si="55"/>
        <v>-2.0721961932357529E-2</v>
      </c>
      <c r="E1167" s="4">
        <f t="shared" si="56"/>
        <v>-2.4120292899722708E-2</v>
      </c>
      <c r="F1167" s="3">
        <f t="shared" si="54"/>
        <v>2026</v>
      </c>
    </row>
    <row r="1168" spans="1:6" ht="15" customHeight="1" x14ac:dyDescent="0.2">
      <c r="A1168" s="2">
        <v>46150</v>
      </c>
      <c r="B1168" s="3">
        <v>3331.99</v>
      </c>
      <c r="C1168" s="3">
        <v>184108</v>
      </c>
      <c r="D1168" s="4">
        <f t="shared" si="55"/>
        <v>2.951569327089966E-3</v>
      </c>
      <c r="E1168" s="4">
        <f t="shared" si="56"/>
        <v>4.8458412505193458E-3</v>
      </c>
      <c r="F1168" s="3">
        <f t="shared" si="54"/>
        <v>2026</v>
      </c>
    </row>
    <row r="1169" spans="1:6" ht="15" customHeight="1" x14ac:dyDescent="0.2">
      <c r="A1169" s="2">
        <v>46153</v>
      </c>
      <c r="B1169" s="3">
        <v>3256.77</v>
      </c>
      <c r="C1169" s="3">
        <v>181909</v>
      </c>
      <c r="D1169" s="4">
        <f t="shared" si="55"/>
        <v>-2.2833816431353439E-2</v>
      </c>
      <c r="E1169" s="4">
        <f t="shared" si="56"/>
        <v>-1.2015979904008506E-2</v>
      </c>
      <c r="F1169" s="3">
        <f t="shared" si="54"/>
        <v>2026</v>
      </c>
    </row>
    <row r="1170" spans="1:6" ht="15" customHeight="1" x14ac:dyDescent="0.2">
      <c r="A1170" s="2">
        <v>46154</v>
      </c>
      <c r="B1170" s="3">
        <v>3229.25</v>
      </c>
      <c r="C1170" s="3">
        <v>180342</v>
      </c>
      <c r="D1170" s="4">
        <f t="shared" si="55"/>
        <v>-8.4859945382711032E-3</v>
      </c>
      <c r="E1170" s="4">
        <f t="shared" si="56"/>
        <v>-8.6515138618223891E-3</v>
      </c>
      <c r="F1170" s="3">
        <f t="shared" si="54"/>
        <v>2026</v>
      </c>
    </row>
    <row r="1171" spans="1:6" ht="15" customHeight="1" x14ac:dyDescent="0.2">
      <c r="A1171" s="2">
        <v>46155</v>
      </c>
      <c r="B1171" s="3">
        <v>3142.6399000000001</v>
      </c>
      <c r="C1171" s="3">
        <v>177098</v>
      </c>
      <c r="D1171" s="4">
        <f t="shared" si="55"/>
        <v>-2.7186732943343825E-2</v>
      </c>
      <c r="E1171" s="4">
        <f t="shared" si="56"/>
        <v>-1.8151796503041141E-2</v>
      </c>
      <c r="F1171" s="3">
        <f t="shared" si="54"/>
        <v>2026</v>
      </c>
    </row>
    <row r="1172" spans="1:6" ht="15" customHeight="1" x14ac:dyDescent="0.2">
      <c r="A1172" s="2">
        <v>46156</v>
      </c>
      <c r="B1172" s="3">
        <v>3175.45</v>
      </c>
      <c r="C1172" s="3">
        <v>178366</v>
      </c>
      <c r="D1172" s="4">
        <f t="shared" si="55"/>
        <v>1.0386175398404226E-2</v>
      </c>
      <c r="E1172" s="4">
        <f t="shared" si="56"/>
        <v>7.1343673527781287E-3</v>
      </c>
      <c r="F1172" s="3">
        <f t="shared" si="54"/>
        <v>2026</v>
      </c>
    </row>
    <row r="1173" spans="1:6" ht="15" customHeight="1" x14ac:dyDescent="0.2">
      <c r="A1173" s="2">
        <v>46157</v>
      </c>
      <c r="B1173" s="3">
        <v>3144.27</v>
      </c>
      <c r="C1173" s="3">
        <v>177284</v>
      </c>
      <c r="D1173" s="4">
        <f t="shared" si="55"/>
        <v>-9.8676058427853933E-3</v>
      </c>
      <c r="E1173" s="4">
        <f t="shared" si="56"/>
        <v>-6.0846525417580389E-3</v>
      </c>
      <c r="F1173" s="3">
        <f t="shared" si="54"/>
        <v>2026</v>
      </c>
    </row>
    <row r="1174" spans="1:6" ht="15" customHeight="1" x14ac:dyDescent="0.2">
      <c r="A1174" s="2">
        <v>46160</v>
      </c>
      <c r="B1174" s="3">
        <v>3134.1298999999999</v>
      </c>
      <c r="C1174" s="3">
        <v>176976</v>
      </c>
      <c r="D1174" s="4">
        <f t="shared" si="55"/>
        <v>-3.2301570394530793E-3</v>
      </c>
      <c r="E1174" s="4">
        <f t="shared" si="56"/>
        <v>-1.7388363213712867E-3</v>
      </c>
      <c r="F1174" s="3">
        <f t="shared" si="54"/>
        <v>2026</v>
      </c>
    </row>
    <row r="1175" spans="1:6" ht="15" customHeight="1" x14ac:dyDescent="0.2">
      <c r="A1175" s="2">
        <v>46161</v>
      </c>
      <c r="B1175" s="3">
        <v>3064.24</v>
      </c>
      <c r="C1175" s="3">
        <v>174279</v>
      </c>
      <c r="D1175" s="4">
        <f t="shared" si="55"/>
        <v>-2.255201391029639E-2</v>
      </c>
      <c r="E1175" s="4">
        <f t="shared" si="56"/>
        <v>-1.5356666820164483E-2</v>
      </c>
      <c r="F1175" s="3">
        <f t="shared" si="54"/>
        <v>2026</v>
      </c>
    </row>
    <row r="1176" spans="1:6" ht="15" customHeight="1" x14ac:dyDescent="0.2">
      <c r="A1176" s="2">
        <v>46162</v>
      </c>
      <c r="B1176" s="3">
        <v>3168.5</v>
      </c>
      <c r="C1176" s="3">
        <v>177356</v>
      </c>
      <c r="D1176" s="4">
        <f t="shared" si="55"/>
        <v>3.3458711988921017E-2</v>
      </c>
      <c r="E1176" s="4">
        <f t="shared" si="56"/>
        <v>1.7501548714450497E-2</v>
      </c>
      <c r="F1176" s="3">
        <f t="shared" si="54"/>
        <v>2026</v>
      </c>
    </row>
    <row r="1177" spans="1:6" ht="15" customHeight="1" x14ac:dyDescent="0.2">
      <c r="A1177" s="2">
        <v>46163</v>
      </c>
      <c r="B1177" s="3">
        <v>3172.77</v>
      </c>
      <c r="C1177" s="3">
        <v>177650</v>
      </c>
      <c r="D1177" s="4">
        <f t="shared" si="55"/>
        <v>1.3467335866069632E-3</v>
      </c>
      <c r="E1177" s="4">
        <f t="shared" si="56"/>
        <v>1.6563104128516277E-3</v>
      </c>
      <c r="F1177" s="3">
        <f t="shared" si="54"/>
        <v>2026</v>
      </c>
    </row>
    <row r="1178" spans="1:6" ht="15" customHeight="1" x14ac:dyDescent="0.2">
      <c r="A1178" s="2">
        <v>46164</v>
      </c>
      <c r="B1178" s="3">
        <v>3131.0801000000001</v>
      </c>
      <c r="C1178" s="3">
        <v>176210</v>
      </c>
      <c r="D1178" s="4">
        <f t="shared" si="55"/>
        <v>-1.3226998470140522E-2</v>
      </c>
      <c r="E1178" s="4">
        <f t="shared" si="56"/>
        <v>-8.1388568863968863E-3</v>
      </c>
      <c r="F1178" s="3">
        <f t="shared" si="54"/>
        <v>2026</v>
      </c>
    </row>
    <row r="1179" spans="1:6" ht="15" customHeight="1" x14ac:dyDescent="0.2">
      <c r="A1179" s="2">
        <v>46167</v>
      </c>
      <c r="B1179" s="3">
        <v>3190.96</v>
      </c>
      <c r="C1179" s="3">
        <v>177816</v>
      </c>
      <c r="D1179" s="4">
        <f t="shared" si="55"/>
        <v>1.8943787064232546E-2</v>
      </c>
      <c r="E1179" s="4">
        <f t="shared" si="56"/>
        <v>9.0728422018261715E-3</v>
      </c>
      <c r="F1179" s="3">
        <f t="shared" si="54"/>
        <v>2026</v>
      </c>
    </row>
    <row r="1180" spans="1:6" ht="15" customHeight="1" x14ac:dyDescent="0.2">
      <c r="A1180" s="2">
        <v>46168</v>
      </c>
      <c r="B1180" s="3">
        <v>3152.73</v>
      </c>
      <c r="C1180" s="3">
        <v>176589</v>
      </c>
      <c r="D1180" s="4">
        <f t="shared" si="55"/>
        <v>-1.2053067796634119E-2</v>
      </c>
      <c r="E1180" s="4">
        <f t="shared" si="56"/>
        <v>-6.9243092082816142E-3</v>
      </c>
      <c r="F1180" s="3">
        <f t="shared" si="54"/>
        <v>2026</v>
      </c>
    </row>
    <row r="1181" spans="1:6" ht="15" customHeight="1" x14ac:dyDescent="0.2">
      <c r="A1181" s="2">
        <v>46169</v>
      </c>
      <c r="B1181" s="3">
        <v>3132.3899000000001</v>
      </c>
      <c r="C1181" s="3">
        <v>175744</v>
      </c>
      <c r="D1181" s="4">
        <f t="shared" si="55"/>
        <v>-6.4724846407565794E-3</v>
      </c>
      <c r="E1181" s="4">
        <f t="shared" si="56"/>
        <v>-4.7966078687328006E-3</v>
      </c>
      <c r="F1181" s="3">
        <f t="shared" si="54"/>
        <v>2026</v>
      </c>
    </row>
    <row r="1182" spans="1:6" ht="15" customHeight="1" x14ac:dyDescent="0.2">
      <c r="A1182" s="2">
        <v>46170</v>
      </c>
      <c r="B1182" s="3">
        <v>3120.5</v>
      </c>
      <c r="C1182" s="3">
        <v>175063</v>
      </c>
      <c r="D1182" s="4">
        <f t="shared" si="55"/>
        <v>-3.8030141327823502E-3</v>
      </c>
      <c r="E1182" s="4">
        <f t="shared" si="56"/>
        <v>-3.8824815663893483E-3</v>
      </c>
      <c r="F1182" s="3">
        <f t="shared" si="54"/>
        <v>2026</v>
      </c>
    </row>
    <row r="1183" spans="1:6" ht="15" customHeight="1" x14ac:dyDescent="0.2">
      <c r="A1183" s="2">
        <v>46171</v>
      </c>
      <c r="B1183" s="3">
        <v>3095.6898999999999</v>
      </c>
      <c r="C1183" s="3">
        <v>173787</v>
      </c>
      <c r="D1183" s="4">
        <f t="shared" si="55"/>
        <v>-7.982456179685897E-3</v>
      </c>
      <c r="E1183" s="4">
        <f t="shared" si="56"/>
        <v>-7.3154977244288362E-3</v>
      </c>
      <c r="F1183" s="3">
        <f t="shared" si="54"/>
        <v>2026</v>
      </c>
    </row>
    <row r="1184" spans="1:6" ht="15" customHeight="1" x14ac:dyDescent="0.2">
      <c r="A1184" s="2">
        <v>46174</v>
      </c>
      <c r="B1184" s="3">
        <v>3064.3701000000001</v>
      </c>
      <c r="C1184" s="3">
        <v>172197</v>
      </c>
      <c r="D1184" s="4">
        <f t="shared" si="55"/>
        <v>-1.0168754811200057E-2</v>
      </c>
      <c r="E1184" s="4">
        <f t="shared" si="56"/>
        <v>-9.1912411755478932E-3</v>
      </c>
      <c r="F1184" s="3">
        <f t="shared" si="54"/>
        <v>2026</v>
      </c>
    </row>
    <row r="1185" spans="1:6" ht="15" customHeight="1" x14ac:dyDescent="0.2">
      <c r="A1185" s="2">
        <v>46175</v>
      </c>
      <c r="B1185" s="3">
        <v>3087.1399000000001</v>
      </c>
      <c r="C1185" s="3">
        <v>174198</v>
      </c>
      <c r="D1185" s="4">
        <f t="shared" si="55"/>
        <v>7.4030291720820693E-3</v>
      </c>
      <c r="E1185" s="4">
        <f t="shared" si="56"/>
        <v>1.1553413057152436E-2</v>
      </c>
      <c r="F1185" s="3">
        <f t="shared" si="54"/>
        <v>2026</v>
      </c>
    </row>
    <row r="1186" spans="1:6" ht="15" customHeight="1" x14ac:dyDescent="0.2">
      <c r="A1186" s="2">
        <v>46176</v>
      </c>
      <c r="B1186" s="3">
        <v>3006.96</v>
      </c>
      <c r="C1186" s="3">
        <v>170331</v>
      </c>
      <c r="D1186" s="4">
        <f t="shared" si="55"/>
        <v>-2.6315461949886834E-2</v>
      </c>
      <c r="E1186" s="4">
        <f t="shared" si="56"/>
        <v>-2.2448980484606716E-2</v>
      </c>
      <c r="F1186" s="3">
        <f t="shared" si="54"/>
        <v>2026</v>
      </c>
    </row>
    <row r="1187" spans="1:6" ht="15" customHeight="1" x14ac:dyDescent="0.2">
      <c r="A1187" s="2">
        <v>46178</v>
      </c>
      <c r="B1187" s="3">
        <v>2994.1100999999999</v>
      </c>
      <c r="C1187" s="3">
        <v>169019</v>
      </c>
      <c r="D1187" s="4">
        <f t="shared" si="55"/>
        <v>-4.2825427548694771E-3</v>
      </c>
      <c r="E1187" s="4">
        <f t="shared" si="56"/>
        <v>-7.7324681723873051E-3</v>
      </c>
      <c r="F1187" s="3">
        <f t="shared" si="54"/>
        <v>2026</v>
      </c>
    </row>
    <row r="1188" spans="1:6" ht="15" customHeight="1" x14ac:dyDescent="0.2">
      <c r="A1188" s="2">
        <v>46181</v>
      </c>
      <c r="B1188" s="3">
        <v>2980.49</v>
      </c>
      <c r="C1188" s="3">
        <v>168669</v>
      </c>
      <c r="D1188" s="4">
        <f t="shared" si="55"/>
        <v>-4.5593423379396182E-3</v>
      </c>
      <c r="E1188" s="4">
        <f t="shared" si="56"/>
        <v>-2.0729201234814414E-3</v>
      </c>
      <c r="F1188" s="3">
        <f t="shared" si="54"/>
        <v>2026</v>
      </c>
    </row>
    <row r="1189" spans="1:6" ht="15" customHeight="1" x14ac:dyDescent="0.2">
      <c r="A1189" s="2">
        <v>46182</v>
      </c>
      <c r="B1189" s="3">
        <v>3007.55</v>
      </c>
      <c r="C1189" s="3">
        <v>169813</v>
      </c>
      <c r="D1189" s="4">
        <f t="shared" si="55"/>
        <v>9.0380773019475367E-3</v>
      </c>
      <c r="E1189" s="4">
        <f t="shared" si="56"/>
        <v>6.7596170904668327E-3</v>
      </c>
      <c r="F1189" s="3">
        <f t="shared" si="54"/>
        <v>2026</v>
      </c>
    </row>
    <row r="1190" spans="1:6" ht="15" customHeight="1" x14ac:dyDescent="0.2">
      <c r="A1190" s="2">
        <v>46183</v>
      </c>
      <c r="B1190" s="3">
        <v>2966.9398999999999</v>
      </c>
      <c r="C1190" s="3">
        <v>168619</v>
      </c>
      <c r="D1190" s="4">
        <f t="shared" si="55"/>
        <v>-1.3594708879876453E-2</v>
      </c>
      <c r="E1190" s="4">
        <f t="shared" si="56"/>
        <v>-7.0560996238878664E-3</v>
      </c>
      <c r="F1190" s="3">
        <f t="shared" si="54"/>
        <v>2026</v>
      </c>
    </row>
    <row r="1191" spans="1:6" ht="15" customHeight="1" x14ac:dyDescent="0.2">
      <c r="A1191" s="2">
        <v>46184</v>
      </c>
      <c r="B1191" s="3">
        <v>3025.8701000000001</v>
      </c>
      <c r="C1191" s="3">
        <v>171497</v>
      </c>
      <c r="D1191" s="4">
        <f t="shared" si="55"/>
        <v>1.9667601534501204E-2</v>
      </c>
      <c r="E1191" s="4">
        <f t="shared" si="56"/>
        <v>1.6924041759284237E-2</v>
      </c>
      <c r="F1191" s="3">
        <f t="shared" si="54"/>
        <v>2026</v>
      </c>
    </row>
    <row r="1192" spans="1:6" ht="15" customHeight="1" x14ac:dyDescent="0.2">
      <c r="A1192" s="2">
        <v>46185</v>
      </c>
      <c r="B1192" s="3">
        <v>3017.6898999999999</v>
      </c>
      <c r="C1192" s="3">
        <v>171133</v>
      </c>
      <c r="D1192" s="4">
        <f t="shared" si="55"/>
        <v>-2.7070815862085796E-3</v>
      </c>
      <c r="E1192" s="4">
        <f t="shared" si="56"/>
        <v>-2.1247417735788059E-3</v>
      </c>
      <c r="F1192" s="3">
        <f t="shared" si="54"/>
        <v>2026</v>
      </c>
    </row>
    <row r="1193" spans="1:6" ht="15" customHeight="1" x14ac:dyDescent="0.2">
      <c r="A1193" s="2">
        <v>46188</v>
      </c>
      <c r="B1193" s="3">
        <v>3008.1799000000001</v>
      </c>
      <c r="C1193" s="3">
        <v>170415</v>
      </c>
      <c r="D1193" s="4">
        <f t="shared" si="55"/>
        <v>-3.1563934207582004E-3</v>
      </c>
      <c r="E1193" s="4">
        <f t="shared" si="56"/>
        <v>-4.2043932780686626E-3</v>
      </c>
      <c r="F1193" s="3">
        <f t="shared" si="54"/>
        <v>2026</v>
      </c>
    </row>
    <row r="1194" spans="1:6" ht="15" customHeight="1" x14ac:dyDescent="0.2">
      <c r="A1194" s="2">
        <v>46189</v>
      </c>
      <c r="B1194" s="3">
        <v>2988.6498999999999</v>
      </c>
      <c r="C1194" s="3">
        <v>169648</v>
      </c>
      <c r="D1194" s="4">
        <f t="shared" si="55"/>
        <v>-6.5134645131989348E-3</v>
      </c>
      <c r="E1194" s="4">
        <f t="shared" si="56"/>
        <v>-4.5109365065350909E-3</v>
      </c>
      <c r="F1194" s="3">
        <f t="shared" si="54"/>
        <v>2026</v>
      </c>
    </row>
    <row r="1195" spans="1:6" ht="15" customHeight="1" x14ac:dyDescent="0.2">
      <c r="A1195" s="2">
        <v>46190</v>
      </c>
      <c r="B1195" s="3">
        <v>2959.79</v>
      </c>
      <c r="C1195" s="3">
        <v>168454</v>
      </c>
      <c r="D1195" s="4">
        <f t="shared" si="55"/>
        <v>-9.7034270936270737E-3</v>
      </c>
      <c r="E1195" s="4">
        <f t="shared" si="56"/>
        <v>-7.0629866941401276E-3</v>
      </c>
      <c r="F1195" s="3">
        <f t="shared" si="54"/>
        <v>2026</v>
      </c>
    </row>
    <row r="1196" spans="1:6" ht="15" customHeight="1" x14ac:dyDescent="0.2">
      <c r="A1196" s="2">
        <v>46191</v>
      </c>
      <c r="B1196" s="3">
        <v>2944.8</v>
      </c>
      <c r="C1196" s="3">
        <v>168278</v>
      </c>
      <c r="D1196" s="4">
        <f t="shared" si="55"/>
        <v>-5.0774167905660037E-3</v>
      </c>
      <c r="E1196" s="4">
        <f t="shared" si="56"/>
        <v>-1.04534179125742E-3</v>
      </c>
      <c r="F1196" s="3">
        <f t="shared" si="54"/>
        <v>2026</v>
      </c>
    </row>
    <row r="1197" spans="1:6" ht="15" customHeight="1" x14ac:dyDescent="0.2">
      <c r="A1197" s="2">
        <v>46192</v>
      </c>
      <c r="B1197" s="3">
        <v>2947.6898999999999</v>
      </c>
      <c r="C1197" s="3">
        <v>168334</v>
      </c>
      <c r="D1197" s="4">
        <f t="shared" si="55"/>
        <v>9.8087575226959013E-4</v>
      </c>
      <c r="E1197" s="4">
        <f t="shared" si="56"/>
        <v>3.3272729740247591E-4</v>
      </c>
      <c r="F1197" s="3">
        <f t="shared" si="54"/>
        <v>2026</v>
      </c>
    </row>
    <row r="1198" spans="1:6" ht="15" customHeight="1" x14ac:dyDescent="0.2">
      <c r="A1198" s="2">
        <v>46195</v>
      </c>
      <c r="B1198" s="3">
        <v>2991.1001000000001</v>
      </c>
      <c r="C1198" s="3">
        <v>170370</v>
      </c>
      <c r="D1198" s="4">
        <f t="shared" si="55"/>
        <v>1.461946732072762E-2</v>
      </c>
      <c r="E1198" s="4">
        <f t="shared" si="56"/>
        <v>1.2022441562003477E-2</v>
      </c>
      <c r="F1198" s="3">
        <f t="shared" si="54"/>
        <v>2026</v>
      </c>
    </row>
    <row r="1199" spans="1:6" ht="15" customHeight="1" x14ac:dyDescent="0.2">
      <c r="A1199" s="2">
        <v>46196</v>
      </c>
      <c r="B1199" s="3">
        <v>3017.3998999999999</v>
      </c>
      <c r="C1199" s="3">
        <v>171259</v>
      </c>
      <c r="D1199" s="4">
        <f t="shared" si="55"/>
        <v>8.7542541270500939E-3</v>
      </c>
      <c r="E1199" s="4">
        <f t="shared" si="56"/>
        <v>5.2044879484571755E-3</v>
      </c>
      <c r="F1199" s="3">
        <f t="shared" si="54"/>
        <v>2026</v>
      </c>
    </row>
    <row r="1200" spans="1:6" ht="15" customHeight="1" x14ac:dyDescent="0.2">
      <c r="A1200" s="2">
        <v>46197</v>
      </c>
      <c r="B1200" s="3">
        <v>3022.74</v>
      </c>
      <c r="C1200" s="3">
        <v>170507</v>
      </c>
      <c r="D1200" s="4">
        <f t="shared" si="55"/>
        <v>1.7682045382226125E-3</v>
      </c>
      <c r="E1200" s="4">
        <f t="shared" si="56"/>
        <v>-4.4006789066243883E-3</v>
      </c>
      <c r="F1200" s="3">
        <f t="shared" si="54"/>
        <v>2026</v>
      </c>
    </row>
    <row r="1201" spans="1:6" ht="15" customHeight="1" x14ac:dyDescent="0.2">
      <c r="A1201" s="2">
        <v>46198</v>
      </c>
      <c r="B1201" s="3">
        <v>3040.9198999999999</v>
      </c>
      <c r="C1201" s="3">
        <v>171990</v>
      </c>
      <c r="D1201" s="4">
        <f t="shared" si="55"/>
        <v>5.9963635076486846E-3</v>
      </c>
      <c r="E1201" s="4">
        <f t="shared" si="56"/>
        <v>8.6599839891173449E-3</v>
      </c>
      <c r="F1201" s="3">
        <f t="shared" si="54"/>
        <v>2026</v>
      </c>
    </row>
    <row r="1202" spans="1:6" ht="15" customHeight="1" x14ac:dyDescent="0.2">
      <c r="A1202" s="2">
        <v>46199</v>
      </c>
      <c r="B1202" s="3">
        <v>3087.71</v>
      </c>
      <c r="C1202" s="3">
        <v>173295</v>
      </c>
      <c r="D1202" s="4">
        <f t="shared" si="55"/>
        <v>1.5269647506838287E-2</v>
      </c>
      <c r="E1202" s="4">
        <f t="shared" si="56"/>
        <v>7.5590090146906109E-3</v>
      </c>
      <c r="F1202" s="3">
        <f t="shared" si="54"/>
        <v>2026</v>
      </c>
    </row>
    <row r="1203" spans="1:6" ht="15" customHeight="1" x14ac:dyDescent="0.2">
      <c r="A1203" s="2">
        <v>46202</v>
      </c>
      <c r="B1203" s="3">
        <v>3084.72</v>
      </c>
      <c r="C1203" s="3">
        <v>173205</v>
      </c>
      <c r="D1203" s="4">
        <f t="shared" si="55"/>
        <v>-9.6882434758208331E-4</v>
      </c>
      <c r="E1203" s="4">
        <f t="shared" si="56"/>
        <v>-5.1948053116282586E-4</v>
      </c>
      <c r="F1203" s="3">
        <f t="shared" si="54"/>
        <v>2026</v>
      </c>
    </row>
    <row r="1204" spans="1:6" ht="15" customHeight="1" x14ac:dyDescent="0.2">
      <c r="A1204" s="2">
        <v>46203</v>
      </c>
      <c r="B1204" s="3">
        <v>3065.05</v>
      </c>
      <c r="C1204" s="3">
        <v>172024</v>
      </c>
      <c r="D1204" s="4">
        <f t="shared" si="55"/>
        <v>-6.3970090190300791E-3</v>
      </c>
      <c r="E1204" s="4">
        <f t="shared" si="56"/>
        <v>-6.8418621088413021E-3</v>
      </c>
      <c r="F1204" s="3">
        <f t="shared" si="54"/>
        <v>2026</v>
      </c>
    </row>
    <row r="1205" spans="1:6" ht="15" customHeight="1" x14ac:dyDescent="0.2">
      <c r="A1205" s="2">
        <v>46204</v>
      </c>
      <c r="B1205" s="3">
        <v>3050.76</v>
      </c>
      <c r="C1205" s="3">
        <v>171689</v>
      </c>
      <c r="D1205" s="4">
        <f t="shared" si="55"/>
        <v>-4.6731425618913146E-3</v>
      </c>
      <c r="E1205" s="4">
        <f t="shared" si="56"/>
        <v>-1.9493013419746006E-3</v>
      </c>
      <c r="F1205" s="3">
        <f t="shared" si="54"/>
        <v>2026</v>
      </c>
    </row>
    <row r="1206" spans="1:6" ht="15" customHeight="1" x14ac:dyDescent="0.2">
      <c r="A1206" s="2">
        <v>46205</v>
      </c>
      <c r="B1206" s="3">
        <v>3075.51</v>
      </c>
      <c r="C1206" s="3">
        <v>172788</v>
      </c>
      <c r="D1206" s="4">
        <f t="shared" si="55"/>
        <v>8.0800012578927001E-3</v>
      </c>
      <c r="E1206" s="4">
        <f t="shared" si="56"/>
        <v>6.3807088930207751E-3</v>
      </c>
      <c r="F1206" s="3">
        <f t="shared" si="54"/>
        <v>2026</v>
      </c>
    </row>
    <row r="1207" spans="1:6" ht="15" customHeight="1" x14ac:dyDescent="0.2">
      <c r="A1207" s="2">
        <v>46206</v>
      </c>
      <c r="B1207" s="3">
        <v>3101.54</v>
      </c>
      <c r="C1207" s="3">
        <v>174070</v>
      </c>
      <c r="D1207" s="4">
        <f t="shared" si="55"/>
        <v>8.4280211683789817E-3</v>
      </c>
      <c r="E1207" s="4">
        <f t="shared" si="56"/>
        <v>7.3921076504841112E-3</v>
      </c>
      <c r="F1207" s="3">
        <f t="shared" si="54"/>
        <v>2026</v>
      </c>
    </row>
    <row r="1208" spans="1:6" ht="15" customHeight="1" x14ac:dyDescent="0.2">
      <c r="A1208" s="2">
        <v>46209</v>
      </c>
      <c r="B1208" s="3">
        <v>3072.25</v>
      </c>
      <c r="C1208" s="3">
        <v>172448</v>
      </c>
      <c r="D1208" s="4">
        <f t="shared" si="55"/>
        <v>-9.4885701506298853E-3</v>
      </c>
      <c r="E1208" s="4">
        <f t="shared" si="56"/>
        <v>-9.3617754135317307E-3</v>
      </c>
      <c r="F1208" s="3">
        <f t="shared" si="54"/>
        <v>2026</v>
      </c>
    </row>
    <row r="1209" spans="1:6" ht="15" customHeight="1" x14ac:dyDescent="0.2">
      <c r="A1209" s="2">
        <v>46210</v>
      </c>
      <c r="B1209" s="3">
        <v>3058.47</v>
      </c>
      <c r="C1209" s="3">
        <v>172021</v>
      </c>
      <c r="D1209" s="4">
        <f t="shared" si="55"/>
        <v>-4.4954012599624877E-3</v>
      </c>
      <c r="E1209" s="4">
        <f t="shared" si="56"/>
        <v>-2.479179367123923E-3</v>
      </c>
      <c r="F1209" s="3">
        <f t="shared" si="54"/>
        <v>2026</v>
      </c>
    </row>
    <row r="1210" spans="1:6" ht="15" customHeight="1" x14ac:dyDescent="0.2">
      <c r="A1210" s="2">
        <v>46211</v>
      </c>
      <c r="B1210" s="3">
        <v>3035.4398999999999</v>
      </c>
      <c r="C1210" s="3">
        <v>170653</v>
      </c>
      <c r="D1210" s="4">
        <f t="shared" si="55"/>
        <v>-7.5584345748975655E-3</v>
      </c>
      <c r="E1210" s="4">
        <f t="shared" si="56"/>
        <v>-7.9843073439884466E-3</v>
      </c>
      <c r="F1210" s="3">
        <f t="shared" si="54"/>
        <v>2026</v>
      </c>
    </row>
    <row r="1211" spans="1:6" ht="15" customHeight="1" x14ac:dyDescent="0.2">
      <c r="A1211" s="2">
        <v>46212</v>
      </c>
      <c r="B1211" s="3">
        <v>3104.79</v>
      </c>
      <c r="C1211" s="3">
        <v>172742</v>
      </c>
      <c r="D1211" s="4">
        <f t="shared" si="55"/>
        <v>2.2589723900286723E-2</v>
      </c>
      <c r="E1211" s="4">
        <f t="shared" si="56"/>
        <v>1.2166896839385667E-2</v>
      </c>
      <c r="F1211" s="3">
        <f t="shared" si="54"/>
        <v>2026</v>
      </c>
    </row>
    <row r="1212" spans="1:6" ht="15" customHeight="1" x14ac:dyDescent="0.2">
      <c r="A1212" s="2">
        <v>46213</v>
      </c>
      <c r="B1212" s="3">
        <v>3207.46</v>
      </c>
      <c r="C1212" s="3">
        <v>177866</v>
      </c>
      <c r="D1212" s="4">
        <f t="shared" si="55"/>
        <v>3.2533266410268567E-2</v>
      </c>
      <c r="E1212" s="4">
        <f t="shared" si="56"/>
        <v>2.9231305920983337E-2</v>
      </c>
      <c r="F1212" s="3">
        <f t="shared" si="54"/>
        <v>2026</v>
      </c>
    </row>
    <row r="1213" spans="1:6" ht="15" customHeight="1" x14ac:dyDescent="0.2">
      <c r="A1213" s="2">
        <v>46216</v>
      </c>
      <c r="B1213" s="3">
        <v>3151.8101000000001</v>
      </c>
      <c r="C1213" s="3">
        <v>175739</v>
      </c>
      <c r="D1213" s="4">
        <f t="shared" si="55"/>
        <v>-1.7502423939512141E-2</v>
      </c>
      <c r="E1213" s="4">
        <f t="shared" si="56"/>
        <v>-1.2030517973030126E-2</v>
      </c>
      <c r="F1213" s="3">
        <f t="shared" si="54"/>
        <v>2026</v>
      </c>
    </row>
    <row r="1214" spans="1:6" ht="15" customHeight="1" x14ac:dyDescent="0.2">
      <c r="A1214" s="2">
        <v>46217</v>
      </c>
      <c r="B1214" s="3">
        <v>3173.53</v>
      </c>
      <c r="C1214" s="3">
        <v>176641</v>
      </c>
      <c r="D1214" s="4">
        <f t="shared" si="55"/>
        <v>6.8676102859698386E-3</v>
      </c>
      <c r="E1214" s="4">
        <f t="shared" si="56"/>
        <v>5.1194844772770197E-3</v>
      </c>
      <c r="F1214" s="3">
        <f t="shared" si="54"/>
        <v>2026</v>
      </c>
    </row>
    <row r="1215" spans="1:6" ht="15" customHeight="1" x14ac:dyDescent="0.2">
      <c r="A1215" s="2">
        <v>46218</v>
      </c>
      <c r="B1215" s="3">
        <v>3174.8600999999999</v>
      </c>
      <c r="C1215" s="3">
        <v>176011</v>
      </c>
      <c r="D1215" s="4">
        <f t="shared" si="55"/>
        <v>4.1903537700448276E-4</v>
      </c>
      <c r="E1215" s="4">
        <f t="shared" si="56"/>
        <v>-3.5729312194816357E-3</v>
      </c>
      <c r="F1215" s="3">
        <f t="shared" si="54"/>
        <v>2026</v>
      </c>
    </row>
    <row r="1216" spans="1:6" ht="15" customHeight="1" x14ac:dyDescent="0.2">
      <c r="A1216" s="2">
        <v>46219</v>
      </c>
      <c r="B1216" s="3">
        <v>3151.9099000000001</v>
      </c>
      <c r="C1216" s="3">
        <v>173825</v>
      </c>
      <c r="D1216" s="4">
        <f t="shared" si="55"/>
        <v>-7.2549818200344281E-3</v>
      </c>
      <c r="E1216" s="4">
        <f t="shared" si="56"/>
        <v>-1.2497447100026602E-2</v>
      </c>
      <c r="F1216" s="3">
        <f t="shared" si="54"/>
        <v>2026</v>
      </c>
    </row>
    <row r="1217" spans="1:6" ht="15" customHeight="1" x14ac:dyDescent="0.2">
      <c r="A1217" s="2">
        <v>46220</v>
      </c>
      <c r="B1217" s="3">
        <v>3133.4198999999999</v>
      </c>
      <c r="C1217" s="3">
        <v>173714</v>
      </c>
      <c r="D1217" s="4">
        <f t="shared" si="55"/>
        <v>-5.883558675906217E-3</v>
      </c>
      <c r="E1217" s="4">
        <f t="shared" si="56"/>
        <v>-6.3877725247722813E-4</v>
      </c>
      <c r="F1217" s="3">
        <f t="shared" si="54"/>
        <v>2026</v>
      </c>
    </row>
    <row r="1218" spans="1:6" ht="15" customHeight="1" x14ac:dyDescent="0.2">
      <c r="A1218" s="2">
        <v>46223</v>
      </c>
      <c r="B1218" s="3">
        <v>3122.48</v>
      </c>
      <c r="C1218" s="3">
        <v>173371</v>
      </c>
      <c r="D1218" s="4">
        <f t="shared" si="55"/>
        <v>-3.4974700128026933E-3</v>
      </c>
      <c r="E1218" s="4">
        <f t="shared" si="56"/>
        <v>-1.9764617408297562E-3</v>
      </c>
      <c r="F1218" s="3">
        <f t="shared" ref="F1218:F1248" si="57">YEAR(A1218)</f>
        <v>2026</v>
      </c>
    </row>
    <row r="1219" spans="1:6" ht="15" customHeight="1" x14ac:dyDescent="0.2">
      <c r="A1219" s="2">
        <v>46224</v>
      </c>
      <c r="B1219" s="3">
        <v>3113.0801000000001</v>
      </c>
      <c r="C1219" s="3">
        <v>173326</v>
      </c>
      <c r="D1219" s="4">
        <f t="shared" ref="D1219:D1248" si="58">LN(B1219/B1218)</f>
        <v>-3.0149359382477016E-3</v>
      </c>
      <c r="E1219" s="4">
        <f t="shared" ref="E1219:E1248" si="59">LN(C1219/C1218)</f>
        <v>-2.59592671714585E-4</v>
      </c>
      <c r="F1219" s="3">
        <f t="shared" si="57"/>
        <v>2026</v>
      </c>
    </row>
    <row r="1220" spans="1:6" ht="15" customHeight="1" x14ac:dyDescent="0.2">
      <c r="A1220" s="2">
        <v>46225</v>
      </c>
      <c r="B1220" s="3">
        <v>3178.71</v>
      </c>
      <c r="C1220" s="3">
        <v>177548</v>
      </c>
      <c r="D1220" s="4">
        <f t="shared" si="58"/>
        <v>2.0862832177561633E-2</v>
      </c>
      <c r="E1220" s="4">
        <f t="shared" si="59"/>
        <v>2.4066780573038536E-2</v>
      </c>
      <c r="F1220" s="3">
        <f t="shared" si="57"/>
        <v>2026</v>
      </c>
    </row>
    <row r="1221" spans="1:6" ht="15" customHeight="1" x14ac:dyDescent="0.2">
      <c r="A1221" s="2">
        <v>46226</v>
      </c>
      <c r="B1221" s="3">
        <v>3143.9198999999999</v>
      </c>
      <c r="C1221" s="3">
        <v>176724</v>
      </c>
      <c r="D1221" s="4">
        <f t="shared" si="58"/>
        <v>-1.1005056969120859E-2</v>
      </c>
      <c r="E1221" s="4">
        <f t="shared" si="59"/>
        <v>-4.6518013610730149E-3</v>
      </c>
      <c r="F1221" s="3">
        <f t="shared" si="57"/>
        <v>2026</v>
      </c>
    </row>
    <row r="1222" spans="1:6" ht="15" customHeight="1" x14ac:dyDescent="0.2">
      <c r="A1222" s="2">
        <v>46227</v>
      </c>
      <c r="B1222" s="3">
        <v>3102.8101000000001</v>
      </c>
      <c r="C1222" s="3">
        <v>174042</v>
      </c>
      <c r="D1222" s="4">
        <f t="shared" si="58"/>
        <v>-1.3162212389491253E-2</v>
      </c>
      <c r="E1222" s="4">
        <f t="shared" si="59"/>
        <v>-1.5292544134450248E-2</v>
      </c>
      <c r="F1222" s="3">
        <f t="shared" si="57"/>
        <v>2026</v>
      </c>
    </row>
    <row r="1223" spans="1:6" ht="15" customHeight="1" x14ac:dyDescent="0.2">
      <c r="A1223" s="2">
        <v>46230</v>
      </c>
      <c r="B1223" s="3">
        <v>3150.3200999999999</v>
      </c>
      <c r="C1223" s="3">
        <v>175334</v>
      </c>
      <c r="D1223" s="4">
        <f t="shared" si="58"/>
        <v>1.519588196860977E-2</v>
      </c>
      <c r="E1223" s="4">
        <f t="shared" si="59"/>
        <v>7.3960769461651173E-3</v>
      </c>
      <c r="F1223" s="3">
        <f t="shared" si="57"/>
        <v>2026</v>
      </c>
    </row>
    <row r="1224" spans="1:6" ht="15" customHeight="1" x14ac:dyDescent="0.2">
      <c r="A1224" s="2">
        <v>46231</v>
      </c>
      <c r="B1224" s="3">
        <v>3174.02</v>
      </c>
      <c r="C1224" s="3">
        <v>176565</v>
      </c>
      <c r="D1224" s="4">
        <f t="shared" si="58"/>
        <v>7.4948565592971974E-3</v>
      </c>
      <c r="E1224" s="4">
        <f t="shared" si="59"/>
        <v>6.9963541888132617E-3</v>
      </c>
      <c r="F1224" s="3">
        <f t="shared" si="57"/>
        <v>2026</v>
      </c>
    </row>
    <row r="1225" spans="1:6" ht="15" customHeight="1" x14ac:dyDescent="0.2">
      <c r="A1225" s="2">
        <v>46232</v>
      </c>
      <c r="B1225" s="3">
        <v>3097.73</v>
      </c>
      <c r="C1225" s="3">
        <v>173885</v>
      </c>
      <c r="D1225" s="4">
        <f t="shared" si="58"/>
        <v>-2.4329338086895688E-2</v>
      </c>
      <c r="E1225" s="4">
        <f t="shared" si="59"/>
        <v>-1.5294919361854634E-2</v>
      </c>
      <c r="F1225" s="3">
        <f t="shared" si="57"/>
        <v>2026</v>
      </c>
    </row>
    <row r="1226" spans="1:6" ht="15" customHeight="1" x14ac:dyDescent="0.2">
      <c r="A1226" s="2">
        <v>46233</v>
      </c>
      <c r="B1226" s="3">
        <v>3157.71</v>
      </c>
      <c r="C1226" s="3">
        <v>177159</v>
      </c>
      <c r="D1226" s="4">
        <f t="shared" si="58"/>
        <v>1.9177496149771871E-2</v>
      </c>
      <c r="E1226" s="4">
        <f t="shared" si="59"/>
        <v>1.8653473253330367E-2</v>
      </c>
      <c r="F1226" s="3">
        <f t="shared" si="57"/>
        <v>2026</v>
      </c>
    </row>
    <row r="1227" spans="1:6" ht="15" customHeight="1" x14ac:dyDescent="0.2">
      <c r="A1227" s="2">
        <v>46234</v>
      </c>
      <c r="B1227" s="3">
        <v>3174.6799000000001</v>
      </c>
      <c r="C1227" s="3">
        <v>177999</v>
      </c>
      <c r="D1227" s="4">
        <f t="shared" si="58"/>
        <v>5.3597270199821322E-3</v>
      </c>
      <c r="E1227" s="4">
        <f t="shared" si="59"/>
        <v>4.7302978747469039E-3</v>
      </c>
      <c r="F1227" s="3">
        <f t="shared" si="57"/>
        <v>2026</v>
      </c>
    </row>
    <row r="1228" spans="1:6" ht="15" customHeight="1" x14ac:dyDescent="0.2">
      <c r="A1228" s="2">
        <v>46237</v>
      </c>
      <c r="B1228" s="3">
        <v>3188.1001000000001</v>
      </c>
      <c r="C1228" s="3">
        <v>178000</v>
      </c>
      <c r="D1228" s="4">
        <f t="shared" si="58"/>
        <v>4.2183510668158805E-3</v>
      </c>
      <c r="E1228" s="4">
        <f t="shared" si="59"/>
        <v>5.6179933089820755E-6</v>
      </c>
      <c r="F1228" s="3">
        <f t="shared" si="57"/>
        <v>2026</v>
      </c>
    </row>
    <row r="1229" spans="1:6" ht="15" customHeight="1" x14ac:dyDescent="0.2">
      <c r="A1229" s="2">
        <v>46238</v>
      </c>
      <c r="B1229" s="3">
        <v>3178.5</v>
      </c>
      <c r="C1229" s="3">
        <v>177895</v>
      </c>
      <c r="D1229" s="4">
        <f t="shared" si="58"/>
        <v>-3.015772036939931E-3</v>
      </c>
      <c r="E1229" s="4">
        <f t="shared" si="59"/>
        <v>-5.9006169261445072E-4</v>
      </c>
      <c r="F1229" s="3">
        <f t="shared" si="57"/>
        <v>2026</v>
      </c>
    </row>
    <row r="1230" spans="1:6" ht="15" customHeight="1" x14ac:dyDescent="0.2">
      <c r="A1230" s="2">
        <v>46239</v>
      </c>
      <c r="B1230" s="3">
        <v>3180.54</v>
      </c>
      <c r="C1230" s="3">
        <v>177726</v>
      </c>
      <c r="D1230" s="4">
        <f t="shared" si="58"/>
        <v>6.4160630220344008E-4</v>
      </c>
      <c r="E1230" s="4">
        <f t="shared" si="59"/>
        <v>-9.5045012933571557E-4</v>
      </c>
      <c r="F1230" s="3">
        <f t="shared" si="57"/>
        <v>2026</v>
      </c>
    </row>
    <row r="1231" spans="1:6" ht="15" customHeight="1" x14ac:dyDescent="0.2">
      <c r="A1231" s="2">
        <v>46240</v>
      </c>
      <c r="B1231" s="3">
        <v>3140.5801000000001</v>
      </c>
      <c r="C1231" s="3">
        <v>175546</v>
      </c>
      <c r="D1231" s="4">
        <f t="shared" si="58"/>
        <v>-1.2643465616734986E-2</v>
      </c>
      <c r="E1231" s="4">
        <f t="shared" si="59"/>
        <v>-1.2341921646475547E-2</v>
      </c>
      <c r="F1231" s="3">
        <f t="shared" si="57"/>
        <v>2026</v>
      </c>
    </row>
    <row r="1232" spans="1:6" ht="15" customHeight="1" x14ac:dyDescent="0.2">
      <c r="A1232" s="2">
        <v>46241</v>
      </c>
      <c r="B1232" s="3">
        <v>3094.29</v>
      </c>
      <c r="C1232" s="3">
        <v>172513</v>
      </c>
      <c r="D1232" s="4">
        <f t="shared" si="58"/>
        <v>-1.4849050521671557E-2</v>
      </c>
      <c r="E1232" s="4">
        <f t="shared" si="59"/>
        <v>-1.7428520873001237E-2</v>
      </c>
      <c r="F1232" s="3">
        <f t="shared" si="57"/>
        <v>2026</v>
      </c>
    </row>
    <row r="1233" spans="1:6" ht="15" customHeight="1" x14ac:dyDescent="0.2">
      <c r="A1233" s="2">
        <v>46244</v>
      </c>
      <c r="B1233" s="3">
        <v>3054.9398999999999</v>
      </c>
      <c r="C1233" s="3">
        <v>172180</v>
      </c>
      <c r="D1233" s="4">
        <f t="shared" si="58"/>
        <v>-1.2798557795831937E-2</v>
      </c>
      <c r="E1233" s="4">
        <f t="shared" si="59"/>
        <v>-1.9321547208495883E-3</v>
      </c>
      <c r="F1233" s="3">
        <f t="shared" si="57"/>
        <v>2026</v>
      </c>
    </row>
    <row r="1234" spans="1:6" ht="15" customHeight="1" x14ac:dyDescent="0.2">
      <c r="A1234" s="2">
        <v>46245</v>
      </c>
      <c r="B1234" s="3">
        <v>2983.8998999999999</v>
      </c>
      <c r="C1234" s="3">
        <v>167875</v>
      </c>
      <c r="D1234" s="4">
        <f t="shared" si="58"/>
        <v>-2.3528783559849893E-2</v>
      </c>
      <c r="E1234" s="4">
        <f t="shared" si="59"/>
        <v>-2.5320786386406981E-2</v>
      </c>
      <c r="F1234" s="3">
        <f t="shared" si="57"/>
        <v>2026</v>
      </c>
    </row>
    <row r="1235" spans="1:6" ht="15" customHeight="1" x14ac:dyDescent="0.2">
      <c r="A1235" s="2">
        <v>46246</v>
      </c>
      <c r="B1235" s="3">
        <v>2969.71</v>
      </c>
      <c r="C1235" s="3">
        <v>167491</v>
      </c>
      <c r="D1235" s="4">
        <f t="shared" si="58"/>
        <v>-4.7668312528738261E-3</v>
      </c>
      <c r="E1235" s="4">
        <f t="shared" si="59"/>
        <v>-2.2900363651444928E-3</v>
      </c>
      <c r="F1235" s="3">
        <f t="shared" si="57"/>
        <v>2026</v>
      </c>
    </row>
    <row r="1236" spans="1:6" ht="15" customHeight="1" x14ac:dyDescent="0.2">
      <c r="A1236" s="2">
        <v>46247</v>
      </c>
      <c r="B1236" s="3">
        <v>2985.45</v>
      </c>
      <c r="C1236" s="3">
        <v>167101</v>
      </c>
      <c r="D1236" s="4">
        <f t="shared" si="58"/>
        <v>5.2861843016345205E-3</v>
      </c>
      <c r="E1236" s="4">
        <f t="shared" si="59"/>
        <v>-2.3311984543610879E-3</v>
      </c>
      <c r="F1236" s="3">
        <f t="shared" si="57"/>
        <v>2026</v>
      </c>
    </row>
    <row r="1237" spans="1:6" ht="15" customHeight="1" x14ac:dyDescent="0.2">
      <c r="A1237" s="2">
        <v>46248</v>
      </c>
      <c r="B1237" s="3">
        <v>2973.4299000000001</v>
      </c>
      <c r="C1237" s="3">
        <v>166934</v>
      </c>
      <c r="D1237" s="4">
        <f t="shared" si="58"/>
        <v>-4.0343542763035013E-3</v>
      </c>
      <c r="E1237" s="4">
        <f t="shared" si="59"/>
        <v>-9.9989530386784429E-4</v>
      </c>
      <c r="F1237" s="3">
        <f t="shared" si="57"/>
        <v>2026</v>
      </c>
    </row>
    <row r="1238" spans="1:6" ht="15" customHeight="1" x14ac:dyDescent="0.2">
      <c r="A1238" s="2">
        <v>46251</v>
      </c>
      <c r="B1238" s="3">
        <v>2959.5601000000001</v>
      </c>
      <c r="C1238" s="3">
        <v>166784</v>
      </c>
      <c r="D1238" s="4">
        <f t="shared" si="58"/>
        <v>-4.6754925480775823E-3</v>
      </c>
      <c r="E1238" s="4">
        <f t="shared" si="59"/>
        <v>-8.989626577030215E-4</v>
      </c>
      <c r="F1238" s="3">
        <f t="shared" si="57"/>
        <v>2026</v>
      </c>
    </row>
    <row r="1239" spans="1:6" ht="15" customHeight="1" x14ac:dyDescent="0.2">
      <c r="A1239" s="2">
        <v>46252</v>
      </c>
      <c r="B1239" s="3">
        <v>2944</v>
      </c>
      <c r="C1239" s="3">
        <v>166335</v>
      </c>
      <c r="D1239" s="4">
        <f t="shared" si="58"/>
        <v>-5.2714415601910957E-3</v>
      </c>
      <c r="E1239" s="4">
        <f t="shared" si="59"/>
        <v>-2.6957349890363853E-3</v>
      </c>
      <c r="F1239" s="3">
        <f t="shared" si="57"/>
        <v>2026</v>
      </c>
    </row>
    <row r="1240" spans="1:6" ht="15" customHeight="1" x14ac:dyDescent="0.2">
      <c r="A1240" s="2">
        <v>46253</v>
      </c>
      <c r="B1240" s="3">
        <v>2977.49</v>
      </c>
      <c r="C1240" s="3">
        <v>167830</v>
      </c>
      <c r="D1240" s="4">
        <f t="shared" si="58"/>
        <v>1.1311462852798077E-2</v>
      </c>
      <c r="E1240" s="4">
        <f t="shared" si="59"/>
        <v>8.9477352467989477E-3</v>
      </c>
      <c r="F1240" s="3">
        <f t="shared" si="57"/>
        <v>2026</v>
      </c>
    </row>
    <row r="1241" spans="1:6" ht="15" customHeight="1" x14ac:dyDescent="0.2">
      <c r="A1241" s="2">
        <v>46254</v>
      </c>
      <c r="B1241" s="3">
        <v>2954.46</v>
      </c>
      <c r="C1241" s="3">
        <v>167927</v>
      </c>
      <c r="D1241" s="4">
        <f t="shared" si="58"/>
        <v>-7.7647706773099961E-3</v>
      </c>
      <c r="E1241" s="4">
        <f t="shared" si="59"/>
        <v>5.7779884082011603E-4</v>
      </c>
      <c r="F1241" s="3">
        <f t="shared" si="57"/>
        <v>2026</v>
      </c>
    </row>
    <row r="1242" spans="1:6" ht="15" customHeight="1" x14ac:dyDescent="0.2">
      <c r="A1242" s="2">
        <v>46255</v>
      </c>
      <c r="B1242" s="3">
        <v>3033.6698999999999</v>
      </c>
      <c r="C1242" s="3">
        <v>171032</v>
      </c>
      <c r="D1242" s="4">
        <f t="shared" si="58"/>
        <v>2.6457181701366288E-2</v>
      </c>
      <c r="E1242" s="4">
        <f t="shared" si="59"/>
        <v>1.8321312337198768E-2</v>
      </c>
      <c r="F1242" s="3">
        <f t="shared" si="57"/>
        <v>2026</v>
      </c>
    </row>
    <row r="1243" spans="1:6" ht="15" customHeight="1" x14ac:dyDescent="0.2">
      <c r="A1243" s="2">
        <v>46258</v>
      </c>
      <c r="B1243" s="3">
        <v>3047.46</v>
      </c>
      <c r="C1243" s="3">
        <v>171907</v>
      </c>
      <c r="D1243" s="4">
        <f t="shared" si="58"/>
        <v>4.5353820309498661E-3</v>
      </c>
      <c r="E1243" s="4">
        <f t="shared" si="59"/>
        <v>5.1029594112268883E-3</v>
      </c>
      <c r="F1243" s="3">
        <f t="shared" si="57"/>
        <v>2026</v>
      </c>
    </row>
    <row r="1244" spans="1:6" ht="15" customHeight="1" x14ac:dyDescent="0.2">
      <c r="A1244" s="2">
        <v>46259</v>
      </c>
      <c r="B1244" s="3">
        <v>3116.23</v>
      </c>
      <c r="C1244" s="3">
        <v>174577</v>
      </c>
      <c r="D1244" s="4">
        <f t="shared" si="58"/>
        <v>2.23154810902845E-2</v>
      </c>
      <c r="E1244" s="4">
        <f t="shared" si="59"/>
        <v>1.5412272151241094E-2</v>
      </c>
      <c r="F1244" s="3">
        <f t="shared" si="57"/>
        <v>2026</v>
      </c>
    </row>
    <row r="1245" spans="1:6" ht="15" customHeight="1" x14ac:dyDescent="0.2">
      <c r="A1245" s="2">
        <v>46260</v>
      </c>
      <c r="B1245" s="3">
        <v>3111.6100999999999</v>
      </c>
      <c r="C1245" s="3">
        <v>174586</v>
      </c>
      <c r="D1245" s="4">
        <f t="shared" si="58"/>
        <v>-1.4836286010059868E-3</v>
      </c>
      <c r="E1245" s="4">
        <f t="shared" si="59"/>
        <v>5.1551854016567569E-5</v>
      </c>
      <c r="F1245" s="3">
        <f t="shared" si="57"/>
        <v>2026</v>
      </c>
    </row>
    <row r="1246" spans="1:6" ht="15" customHeight="1" x14ac:dyDescent="0.2">
      <c r="A1246" s="2">
        <v>46261</v>
      </c>
      <c r="B1246" s="3">
        <v>3109.3200999999999</v>
      </c>
      <c r="C1246" s="3">
        <v>175135</v>
      </c>
      <c r="D1246" s="4">
        <f t="shared" si="58"/>
        <v>-7.3622433617292137E-4</v>
      </c>
      <c r="E1246" s="4">
        <f t="shared" si="59"/>
        <v>3.1396481822684973E-3</v>
      </c>
      <c r="F1246" s="3">
        <f t="shared" si="57"/>
        <v>2026</v>
      </c>
    </row>
    <row r="1247" spans="1:6" ht="15" customHeight="1" x14ac:dyDescent="0.2">
      <c r="A1247" s="2">
        <v>46262</v>
      </c>
      <c r="B1247" s="3">
        <v>3117.2</v>
      </c>
      <c r="C1247" s="3">
        <v>175665</v>
      </c>
      <c r="D1247" s="4">
        <f t="shared" si="58"/>
        <v>2.5310780597293256E-3</v>
      </c>
      <c r="E1247" s="4">
        <f t="shared" si="59"/>
        <v>3.0216670653502985E-3</v>
      </c>
      <c r="F1247" s="3">
        <f t="shared" si="57"/>
        <v>2026</v>
      </c>
    </row>
    <row r="1248" spans="1:6" ht="15" customHeight="1" x14ac:dyDescent="0.2">
      <c r="A1248" s="2">
        <v>46265</v>
      </c>
      <c r="B1248" s="3">
        <v>3164.1001000000001</v>
      </c>
      <c r="C1248" s="3">
        <v>177419</v>
      </c>
      <c r="D1248" s="4">
        <f t="shared" si="58"/>
        <v>1.4933523585835759E-2</v>
      </c>
      <c r="E1248" s="4">
        <f t="shared" si="59"/>
        <v>9.9353945712057357E-3</v>
      </c>
      <c r="F1248" s="3">
        <f t="shared" si="57"/>
        <v>2026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>
      <selection activeCell="I4" sqref="I4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9" width="13" customWidth="1"/>
  </cols>
  <sheetData>
    <row r="1" spans="1:9" ht="15.75" customHeight="1" x14ac:dyDescent="0.2">
      <c r="A1" s="14" t="s">
        <v>6</v>
      </c>
      <c r="B1" s="14"/>
      <c r="C1" s="14"/>
      <c r="D1" s="14"/>
      <c r="E1" s="14"/>
      <c r="F1" s="14"/>
      <c r="G1" s="14"/>
      <c r="H1" s="14"/>
      <c r="I1" s="14"/>
    </row>
    <row r="3" spans="1:9" ht="15" customHeight="1" x14ac:dyDescent="0.2">
      <c r="A3" s="5" t="s">
        <v>5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</row>
    <row r="4" spans="1:9" ht="15" customHeight="1" x14ac:dyDescent="0.2">
      <c r="A4" s="6">
        <v>2021</v>
      </c>
      <c r="B4" s="6" t="s">
        <v>15</v>
      </c>
      <c r="C4" s="6">
        <f>COUNTIFS(Dados!$F$2:$F$1248,A4,Dados!$D$2:$D$1248,"&lt;&gt;")</f>
        <v>81</v>
      </c>
      <c r="D4" s="7">
        <f>AVERAGEIFS(Dados!$D$2:$D$1248,Dados!$F$2:$F$1248,A4)</f>
        <v>-1.9471735783120354E-3</v>
      </c>
      <c r="E4" s="7">
        <f t="array" ref="E4">STDEV(IF(Dados!$F$2:$F$1248=A4,Dados!$D$2:$D$1248))</f>
        <v>1.6013078112367206E-2</v>
      </c>
      <c r="F4" s="7">
        <f>_xlfn.MINIFS(Dados!$D$2:$D$1248,Dados!$F$2:$F$1248,A4)</f>
        <v>-4.1824344424264498E-2</v>
      </c>
      <c r="G4" s="7">
        <f>_xlfn.MAXIFS(Dados!$D$2:$D$1248,Dados!$F$2:$F$1248,A4)</f>
        <v>2.8213913613099339E-2</v>
      </c>
      <c r="H4" s="7">
        <f t="array" ref="H4">SKEW(IF(Dados!$F$2:$F$1248=A4,Dados!$D$2:$D$1248))</f>
        <v>-0.36703938991819623</v>
      </c>
      <c r="I4" s="7">
        <f t="array" ref="I4">KURT(IF(Dados!$F$2:$F$1248=A4,Dados!$D$2:$D$1248))</f>
        <v>-0.55577217624792885</v>
      </c>
    </row>
    <row r="5" spans="1:9" ht="15" customHeight="1" x14ac:dyDescent="0.2">
      <c r="A5" s="6">
        <v>2021</v>
      </c>
      <c r="B5" s="6" t="s">
        <v>16</v>
      </c>
      <c r="C5" s="6">
        <f>COUNTIFS(Dados!$F$2:$F$1248,A5,Dados!$E$2:$E$1248,"&lt;&gt;")</f>
        <v>81</v>
      </c>
      <c r="D5" s="7">
        <f>AVERAGEIFS(Dados!$E$2:$E$1248,Dados!$F$2:$F$1248,A5)</f>
        <v>-1.607185506662229E-3</v>
      </c>
      <c r="E5" s="7">
        <f t="array" ref="E5">STDEV(IF(Dados!$F$2:$F$1248=A5,Dados!$E$2:$E$1248))</f>
        <v>1.4805017275075025E-2</v>
      </c>
      <c r="F5" s="7">
        <f>_xlfn.MINIFS(Dados!$E$2:$E$1248,Dados!$F$2:$F$1248,A5)</f>
        <v>-3.8537815108384707E-2</v>
      </c>
      <c r="G5" s="7">
        <f>_xlfn.MAXIFS(Dados!$E$2:$E$1248,Dados!$F$2:$F$1248,A5)</f>
        <v>3.5971350609286891E-2</v>
      </c>
      <c r="H5" s="7">
        <f t="array" ref="H5">SKEW(IF(Dados!$F$2:$F$1248=A5,Dados!$E$2:$E$1248))</f>
        <v>-0.32231959313622877</v>
      </c>
      <c r="I5" s="7">
        <f t="array" ref="I5">KURT(IF(Dados!$F$2:$F$1248=A5,Dados!$E$2:$E$1248))</f>
        <v>-0.11074229818490799</v>
      </c>
    </row>
    <row r="6" spans="1:9" ht="15" customHeight="1" x14ac:dyDescent="0.2">
      <c r="A6" s="6">
        <v>2022</v>
      </c>
      <c r="B6" s="6" t="s">
        <v>15</v>
      </c>
      <c r="C6" s="6">
        <f>COUNTIFS(Dados!$F$2:$F$1248,A6,Dados!$D$2:$D$1248,"&lt;&gt;")</f>
        <v>250</v>
      </c>
      <c r="D6" s="7">
        <f>AVERAGEIFS(Dados!$D$2:$D$1248,Dados!$F$2:$F$1248,A6)</f>
        <v>-1.8574557664675982E-4</v>
      </c>
      <c r="E6" s="7">
        <f t="array" ref="E6">STDEV(IF(Dados!$F$2:$F$1248=A6,Dados!$D$2:$D$1248))</f>
        <v>1.4202045369804199E-2</v>
      </c>
      <c r="F6" s="7">
        <f>_xlfn.MINIFS(Dados!$D$2:$D$1248,Dados!$F$2:$F$1248,A6)</f>
        <v>-4.6142772119280591E-2</v>
      </c>
      <c r="G6" s="7">
        <f>_xlfn.MAXIFS(Dados!$D$2:$D$1248,Dados!$F$2:$F$1248,A6)</f>
        <v>5.6676129165379091E-2</v>
      </c>
      <c r="H6" s="7">
        <f t="array" ref="H6">SKEW(IF(Dados!$F$2:$F$1248=A6,Dados!$D$2:$D$1248))</f>
        <v>2.8809692016614681E-3</v>
      </c>
      <c r="I6" s="7">
        <f t="array" ref="I6">KURT(IF(Dados!$F$2:$F$1248=A6,Dados!$D$2:$D$1248))</f>
        <v>0.87422030451549126</v>
      </c>
    </row>
    <row r="7" spans="1:9" ht="15" customHeight="1" x14ac:dyDescent="0.2">
      <c r="A7" s="6">
        <v>2022</v>
      </c>
      <c r="B7" s="6" t="s">
        <v>16</v>
      </c>
      <c r="C7" s="6">
        <f>COUNTIFS(Dados!$F$2:$F$1248,A7,Dados!$E$2:$E$1248,"&lt;&gt;")</f>
        <v>250</v>
      </c>
      <c r="D7" s="7">
        <f>AVERAGEIFS(Dados!$E$2:$E$1248,Dados!$F$2:$F$1248,A7)</f>
        <v>1.8321877933858769E-4</v>
      </c>
      <c r="E7" s="7">
        <f t="array" ref="E7">STDEV(IF(Dados!$F$2:$F$1248=A7,Dados!$E$2:$E$1248))</f>
        <v>1.3250963320478064E-2</v>
      </c>
      <c r="F7" s="7">
        <f>_xlfn.MINIFS(Dados!$E$2:$E$1248,Dados!$F$2:$F$1248,A7)</f>
        <v>-3.4074618001505283E-2</v>
      </c>
      <c r="G7" s="7">
        <f>_xlfn.MAXIFS(Dados!$E$2:$E$1248,Dados!$F$2:$F$1248,A7)</f>
        <v>5.3928023950675689E-2</v>
      </c>
      <c r="H7" s="7">
        <f t="array" ref="H7">SKEW(IF(Dados!$F$2:$F$1248=A7,Dados!$E$2:$E$1248))</f>
        <v>-3.1346178699079477E-2</v>
      </c>
      <c r="I7" s="7">
        <f t="array" ref="I7">KURT(IF(Dados!$F$2:$F$1248=A7,Dados!$E$2:$E$1248))</f>
        <v>0.49101444136195527</v>
      </c>
    </row>
    <row r="8" spans="1:9" ht="15" customHeight="1" x14ac:dyDescent="0.2">
      <c r="A8" s="6">
        <v>2023</v>
      </c>
      <c r="B8" s="6" t="s">
        <v>15</v>
      </c>
      <c r="C8" s="6">
        <f>COUNTIFS(Dados!$F$2:$F$1248,A8,Dados!$D$2:$D$1248,"&lt;&gt;")</f>
        <v>248</v>
      </c>
      <c r="D8" s="7">
        <f>AVERAGEIFS(Dados!$D$2:$D$1248,Dados!$F$2:$F$1248,A8)</f>
        <v>9.025893063921305E-4</v>
      </c>
      <c r="E8" s="7">
        <f t="array" ref="E8">STDEV(IF(Dados!$F$2:$F$1248=A8,Dados!$D$2:$D$1248))</f>
        <v>1.175103140060196E-2</v>
      </c>
      <c r="F8" s="7">
        <f>_xlfn.MINIFS(Dados!$D$2:$D$1248,Dados!$F$2:$F$1248,A8)</f>
        <v>-3.5769469271360772E-2</v>
      </c>
      <c r="G8" s="7">
        <f>_xlfn.MAXIFS(Dados!$D$2:$D$1248,Dados!$F$2:$F$1248,A8)</f>
        <v>4.0691259122471263E-2</v>
      </c>
      <c r="H8" s="7">
        <f t="array" ref="H8">SKEW(IF(Dados!$F$2:$F$1248=A8,Dados!$D$2:$D$1248))</f>
        <v>7.5589626032619039E-2</v>
      </c>
      <c r="I8" s="7">
        <f t="array" ref="I8">KURT(IF(Dados!$F$2:$F$1248=A8,Dados!$D$2:$D$1248))</f>
        <v>0.10573215432329031</v>
      </c>
    </row>
    <row r="9" spans="1:9" ht="15" customHeight="1" x14ac:dyDescent="0.2">
      <c r="A9" s="6">
        <v>2023</v>
      </c>
      <c r="B9" s="6" t="s">
        <v>16</v>
      </c>
      <c r="C9" s="6">
        <f>COUNTIFS(Dados!$F$2:$F$1248,A9,Dados!$E$2:$E$1248,"&lt;&gt;")</f>
        <v>248</v>
      </c>
      <c r="D9" s="7">
        <f>AVERAGEIFS(Dados!$E$2:$E$1248,Dados!$F$2:$F$1248,A9)</f>
        <v>8.1109305025487549E-4</v>
      </c>
      <c r="E9" s="7">
        <f t="array" ref="E9">STDEV(IF(Dados!$F$2:$F$1248=A9,Dados!$E$2:$E$1248))</f>
        <v>1.0822267536840567E-2</v>
      </c>
      <c r="F9" s="7">
        <f>_xlfn.MINIFS(Dados!$E$2:$E$1248,Dados!$F$2:$F$1248,A9)</f>
        <v>-3.1088380800417193E-2</v>
      </c>
      <c r="G9" s="7">
        <f>_xlfn.MAXIFS(Dados!$E$2:$E$1248,Dados!$F$2:$F$1248,A9)</f>
        <v>4.1984239703449409E-2</v>
      </c>
      <c r="H9" s="7">
        <f t="array" ref="H9">SKEW(IF(Dados!$F$2:$F$1248=A9,Dados!$E$2:$E$1248))</f>
        <v>0.1548760665044735</v>
      </c>
      <c r="I9" s="7">
        <f t="array" ref="I9">KURT(IF(Dados!$F$2:$F$1248=A9,Dados!$E$2:$E$1248))</f>
        <v>0.3975472275102967</v>
      </c>
    </row>
    <row r="10" spans="1:9" ht="15" customHeight="1" x14ac:dyDescent="0.2">
      <c r="A10" s="6">
        <v>2024</v>
      </c>
      <c r="B10" s="6" t="s">
        <v>15</v>
      </c>
      <c r="C10" s="6">
        <f>COUNTIFS(Dados!$F$2:$F$1248,A10,Dados!$D$2:$D$1248,"&lt;&gt;")</f>
        <v>251</v>
      </c>
      <c r="D10" s="7">
        <f>AVERAGEIFS(Dados!$D$2:$D$1248,Dados!$F$2:$F$1248,A10)</f>
        <v>-4.6793375747255871E-4</v>
      </c>
      <c r="E10" s="7">
        <f t="array" ref="E10">STDEV(IF(Dados!$F$2:$F$1248=A10,Dados!$D$2:$D$1248))</f>
        <v>9.225103583640322E-3</v>
      </c>
      <c r="F10" s="7">
        <f>_xlfn.MINIFS(Dados!$D$2:$D$1248,Dados!$F$2:$F$1248,A10)</f>
        <v>-3.4201599134042943E-2</v>
      </c>
      <c r="G10" s="7">
        <f>_xlfn.MAXIFS(Dados!$D$2:$D$1248,Dados!$F$2:$F$1248,A10)</f>
        <v>2.3682775860636059E-2</v>
      </c>
      <c r="H10" s="7">
        <f t="array" ref="H10">SKEW(IF(Dados!$F$2:$F$1248=A10,Dados!$D$2:$D$1248))</f>
        <v>-0.36897602999773876</v>
      </c>
      <c r="I10" s="7">
        <f t="array" ref="I10">KURT(IF(Dados!$F$2:$F$1248=A10,Dados!$D$2:$D$1248))</f>
        <v>0.73027650691164103</v>
      </c>
    </row>
    <row r="11" spans="1:9" ht="15" customHeight="1" x14ac:dyDescent="0.2">
      <c r="A11" s="6">
        <v>2024</v>
      </c>
      <c r="B11" s="6" t="s">
        <v>16</v>
      </c>
      <c r="C11" s="6">
        <f>COUNTIFS(Dados!$F$2:$F$1248,A11,Dados!$E$2:$E$1248,"&lt;&gt;")</f>
        <v>251</v>
      </c>
      <c r="D11" s="7">
        <f>AVERAGEIFS(Dados!$E$2:$E$1248,Dados!$F$2:$F$1248,A11)</f>
        <v>-4.3574559843141377E-4</v>
      </c>
      <c r="E11" s="7">
        <f t="array" ref="E11">STDEV(IF(Dados!$F$2:$F$1248=A11,Dados!$E$2:$E$1248))</f>
        <v>8.1282670837284667E-3</v>
      </c>
      <c r="F11" s="7">
        <f>_xlfn.MINIFS(Dados!$E$2:$E$1248,Dados!$F$2:$F$1248,A11)</f>
        <v>-3.1990343510755311E-2</v>
      </c>
      <c r="G11" s="7">
        <f>_xlfn.MAXIFS(Dados!$E$2:$E$1248,Dados!$F$2:$F$1248,A11)</f>
        <v>2.1883830880387756E-2</v>
      </c>
      <c r="H11" s="7">
        <f t="array" ref="H11">SKEW(IF(Dados!$F$2:$F$1248=A11,Dados!$E$2:$E$1248))</f>
        <v>-0.34088893861197167</v>
      </c>
      <c r="I11" s="7">
        <f t="array" ref="I11">KURT(IF(Dados!$F$2:$F$1248=A11,Dados!$E$2:$E$1248))</f>
        <v>0.82065793947506194</v>
      </c>
    </row>
    <row r="12" spans="1:9" ht="15" customHeight="1" x14ac:dyDescent="0.2">
      <c r="A12" s="6">
        <v>2025</v>
      </c>
      <c r="B12" s="6" t="s">
        <v>15</v>
      </c>
      <c r="C12" s="6">
        <f>COUNTIFS(Dados!$F$2:$F$1248,A12,Dados!$D$2:$D$1248,"&lt;&gt;")</f>
        <v>250</v>
      </c>
      <c r="D12" s="7">
        <f>AVERAGEIFS(Dados!$D$2:$D$1248,Dados!$F$2:$F$1248,A12)</f>
        <v>1.3628069024852363E-3</v>
      </c>
      <c r="E12" s="7">
        <f t="array" ref="E12">STDEV(IF(Dados!$F$2:$F$1248=A12,Dados!$D$2:$D$1248))</f>
        <v>1.2116193306204394E-2</v>
      </c>
      <c r="F12" s="7">
        <f>_xlfn.MINIFS(Dados!$D$2:$D$1248,Dados!$F$2:$F$1248,A12)</f>
        <v>-5.6705466790015945E-2</v>
      </c>
      <c r="G12" s="7">
        <f>_xlfn.MAXIFS(Dados!$D$2:$D$1248,Dados!$F$2:$F$1248,A12)</f>
        <v>3.6966287741924751E-2</v>
      </c>
      <c r="H12" s="7">
        <f t="array" ref="H12">SKEW(IF(Dados!$F$2:$F$1248=A12,Dados!$D$2:$D$1248))</f>
        <v>-0.26481084685609313</v>
      </c>
      <c r="I12" s="7">
        <f t="array" ref="I12">KURT(IF(Dados!$F$2:$F$1248=A12,Dados!$D$2:$D$1248))</f>
        <v>2.1555489678168942</v>
      </c>
    </row>
    <row r="13" spans="1:9" ht="15" customHeight="1" x14ac:dyDescent="0.2">
      <c r="A13" s="6">
        <v>2025</v>
      </c>
      <c r="B13" s="6" t="s">
        <v>16</v>
      </c>
      <c r="C13" s="6">
        <f>COUNTIFS(Dados!$F$2:$F$1248,A13,Dados!$E$2:$E$1248,"&lt;&gt;")</f>
        <v>250</v>
      </c>
      <c r="D13" s="7">
        <f>AVERAGEIFS(Dados!$E$2:$E$1248,Dados!$F$2:$F$1248,A13)</f>
        <v>1.1693326465904105E-3</v>
      </c>
      <c r="E13" s="7">
        <f t="array" ref="E13">STDEV(IF(Dados!$F$2:$F$1248=A13,Dados!$E$2:$E$1248))</f>
        <v>9.5436229656605445E-3</v>
      </c>
      <c r="F13" s="7">
        <f>_xlfn.MINIFS(Dados!$E$2:$E$1248,Dados!$F$2:$F$1248,A13)</f>
        <v>-4.404969108208158E-2</v>
      </c>
      <c r="G13" s="7">
        <f>_xlfn.MAXIFS(Dados!$E$2:$E$1248,Dados!$F$2:$F$1248,A13)</f>
        <v>3.0702214460010903E-2</v>
      </c>
      <c r="H13" s="7">
        <f t="array" ref="H13">SKEW(IF(Dados!$F$2:$F$1248=A13,Dados!$E$2:$E$1248))</f>
        <v>-0.20374184328927333</v>
      </c>
      <c r="I13" s="7">
        <f t="array" ref="I13">KURT(IF(Dados!$F$2:$F$1248=A13,Dados!$E$2:$E$1248))</f>
        <v>2.4753530542465874</v>
      </c>
    </row>
    <row r="14" spans="1:9" ht="15" customHeight="1" x14ac:dyDescent="0.2">
      <c r="A14" s="6">
        <v>2026</v>
      </c>
      <c r="B14" s="6" t="s">
        <v>15</v>
      </c>
      <c r="C14" s="6">
        <f>COUNTIFS(Dados!$F$2:$F$1248,A14,Dados!$D$2:$D$1248,"&lt;&gt;")</f>
        <v>166</v>
      </c>
      <c r="D14" s="7">
        <f>AVERAGEIFS(Dados!$D$2:$D$1248,Dados!$F$2:$F$1248,A14)</f>
        <v>2.3469333255524098E-4</v>
      </c>
      <c r="E14" s="7">
        <f t="array" ref="E14">STDEV(IF(Dados!$F$2:$F$1248=A14,Dados!$D$2:$D$1248))</f>
        <v>1.454482681225046E-2</v>
      </c>
      <c r="F14" s="7">
        <f>_xlfn.MINIFS(Dados!$D$2:$D$1248,Dados!$F$2:$F$1248,A14)</f>
        <v>-3.7808374544361194E-2</v>
      </c>
      <c r="G14" s="7">
        <f>_xlfn.MAXIFS(Dados!$D$2:$D$1248,Dados!$F$2:$F$1248,A14)</f>
        <v>4.5814898865862833E-2</v>
      </c>
      <c r="H14" s="7">
        <f t="array" ref="H14">SKEW(IF(Dados!$F$2:$F$1248=A14,Dados!$D$2:$D$1248))</f>
        <v>0.16897281434529132</v>
      </c>
      <c r="I14" s="7">
        <f t="array" ref="I14">KURT(IF(Dados!$F$2:$F$1248=A14,Dados!$D$2:$D$1248))</f>
        <v>0.45247996759250286</v>
      </c>
    </row>
    <row r="15" spans="1:9" ht="15" customHeight="1" x14ac:dyDescent="0.2">
      <c r="A15" s="6">
        <v>2026</v>
      </c>
      <c r="B15" s="6" t="s">
        <v>16</v>
      </c>
      <c r="C15" s="6">
        <f>COUNTIFS(Dados!$F$2:$F$1248,A15,Dados!$E$2:$E$1248,"&lt;&gt;")</f>
        <v>166</v>
      </c>
      <c r="D15" s="7">
        <f>AVERAGEIFS(Dados!$E$2:$E$1248,Dados!$F$2:$F$1248,A15)</f>
        <v>5.8032352695220398E-4</v>
      </c>
      <c r="E15" s="7">
        <f t="array" ref="E15">STDEV(IF(Dados!$F$2:$F$1248=A15,Dados!$E$2:$E$1248))</f>
        <v>1.1727830438381841E-2</v>
      </c>
      <c r="F15" s="7">
        <f>_xlfn.MINIFS(Dados!$E$2:$E$1248,Dados!$F$2:$F$1248,A15)</f>
        <v>-3.3310277082979824E-2</v>
      </c>
      <c r="G15" s="7">
        <f>_xlfn.MAXIFS(Dados!$E$2:$E$1248,Dados!$F$2:$F$1248,A15)</f>
        <v>3.2774884560211708E-2</v>
      </c>
      <c r="H15" s="7">
        <f t="array" ref="H15">SKEW(IF(Dados!$F$2:$F$1248=A15,Dados!$E$2:$E$1248))</f>
        <v>4.9143829098421743E-2</v>
      </c>
      <c r="I15" s="7">
        <f t="array" ref="I15">KURT(IF(Dados!$F$2:$F$1248=A15,Dados!$E$2:$E$1248))</f>
        <v>0.38729447133783035</v>
      </c>
    </row>
    <row r="16" spans="1:9" ht="15" customHeight="1" x14ac:dyDescent="0.2">
      <c r="A16" s="8" t="s">
        <v>17</v>
      </c>
      <c r="B16" s="8" t="s">
        <v>15</v>
      </c>
      <c r="C16" s="8">
        <f>COUNT(Dados!$D$2:$D$1248)</f>
        <v>1246</v>
      </c>
      <c r="D16" s="9">
        <f>AVERAGE(Dados!$D$2:$D$1248)</f>
        <v>2.2623927743190252E-4</v>
      </c>
      <c r="E16" s="9">
        <f>STDEV(Dados!$D$2:$D$1248)</f>
        <v>1.2636857950699505E-2</v>
      </c>
      <c r="F16" s="9">
        <f>MIN(Dados!$D$2:$D$1248)</f>
        <v>-5.6705466790015945E-2</v>
      </c>
      <c r="G16" s="9">
        <f>MAX(Dados!$D$2:$D$1248)</f>
        <v>5.6676129165379091E-2</v>
      </c>
      <c r="H16" s="9">
        <f>SKEW(Dados!$D$2:$D$1248)</f>
        <v>-9.4287682852195492E-2</v>
      </c>
      <c r="I16" s="9">
        <f>KURT(Dados!$D$2:$D$1248)</f>
        <v>0.99478355476323532</v>
      </c>
    </row>
    <row r="17" spans="1:9" ht="15" customHeight="1" x14ac:dyDescent="0.2">
      <c r="A17" s="8" t="s">
        <v>17</v>
      </c>
      <c r="B17" s="8" t="s">
        <v>16</v>
      </c>
      <c r="C17" s="8">
        <f>COUNT(Dados!$E$2:$E$1248)</f>
        <v>1246</v>
      </c>
      <c r="D17" s="9">
        <f>AVERAGE(Dados!$E$2:$E$1248)</f>
        <v>3.178719640237552E-4</v>
      </c>
      <c r="E17" s="9">
        <f>STDEV(Dados!$E$2:$E$1248)</f>
        <v>1.1085397971263705E-2</v>
      </c>
      <c r="F17" s="9">
        <f>MIN(Dados!$E$2:$E$1248)</f>
        <v>-4.404969108208158E-2</v>
      </c>
      <c r="G17" s="9">
        <f>MAX(Dados!$E$2:$E$1248)</f>
        <v>5.3928023950675689E-2</v>
      </c>
      <c r="H17" s="9">
        <f>SKEW(Dados!$E$2:$E$1248)</f>
        <v>-9.8730233943937262E-2</v>
      </c>
      <c r="I17" s="9">
        <f>KURT(Dados!$E$2:$E$1248)</f>
        <v>1.0315935797051594</v>
      </c>
    </row>
    <row r="20" spans="1:9" ht="15" customHeight="1" x14ac:dyDescent="0.2">
      <c r="A20" s="10" t="s">
        <v>18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20"/>
  <sheetViews>
    <sheetView zoomScaleNormal="100" workbookViewId="0">
      <selection activeCell="D28" sqref="D28"/>
    </sheetView>
  </sheetViews>
  <sheetFormatPr baseColWidth="10" defaultColWidth="8.6640625" defaultRowHeight="15" x14ac:dyDescent="0.2"/>
  <cols>
    <col min="1" max="1" width="10.5" bestFit="1" customWidth="1"/>
    <col min="2" max="2" width="22" customWidth="1"/>
    <col min="3" max="3" width="24" customWidth="1"/>
    <col min="4" max="4" width="29.1640625" customWidth="1"/>
  </cols>
  <sheetData>
    <row r="1" spans="1:4" ht="15.75" customHeight="1" x14ac:dyDescent="0.2">
      <c r="A1" s="14" t="s">
        <v>19</v>
      </c>
      <c r="B1" s="14"/>
      <c r="C1" s="14"/>
      <c r="D1" s="14"/>
    </row>
    <row r="3" spans="1:4" ht="15" customHeight="1" x14ac:dyDescent="0.2">
      <c r="A3" s="1" t="s">
        <v>0</v>
      </c>
      <c r="B3" s="1" t="s">
        <v>20</v>
      </c>
      <c r="C3" s="1" t="s">
        <v>21</v>
      </c>
    </row>
    <row r="4" spans="1:4" ht="15" customHeight="1" x14ac:dyDescent="0.2">
      <c r="A4" s="11">
        <f>Dados!A32</f>
        <v>44484</v>
      </c>
      <c r="B4" s="12">
        <f>STDEV(Dados!D3:D32)*SQRT(252)</f>
        <v>0.27723790062783421</v>
      </c>
      <c r="C4" s="12">
        <f>STDEV(Dados!E3:E32)*SQRT(252)</f>
        <v>0.25240158719771094</v>
      </c>
    </row>
    <row r="5" spans="1:4" ht="15" customHeight="1" x14ac:dyDescent="0.2">
      <c r="A5" s="11">
        <f>Dados!A33</f>
        <v>44487</v>
      </c>
      <c r="B5" s="12">
        <f>STDEV(Dados!D4:D33)*SQRT(252)</f>
        <v>0.26582163322370639</v>
      </c>
      <c r="C5" s="12">
        <f>STDEV(Dados!E4:E33)*SQRT(252)</f>
        <v>0.24391498338773066</v>
      </c>
    </row>
    <row r="6" spans="1:4" ht="15" customHeight="1" x14ac:dyDescent="0.2">
      <c r="A6" s="11">
        <f>Dados!A34</f>
        <v>44488</v>
      </c>
      <c r="B6" s="12">
        <f>STDEV(Dados!D5:D34)*SQRT(252)</f>
        <v>0.28434119092803067</v>
      </c>
      <c r="C6" s="12">
        <f>STDEV(Dados!E5:E34)*SQRT(252)</f>
        <v>0.26145682681870103</v>
      </c>
    </row>
    <row r="7" spans="1:4" ht="15" customHeight="1" x14ac:dyDescent="0.2">
      <c r="A7" s="11">
        <f>Dados!A35</f>
        <v>44489</v>
      </c>
      <c r="B7" s="12">
        <f>STDEV(Dados!D6:D35)*SQRT(252)</f>
        <v>0.28218801444728542</v>
      </c>
      <c r="C7" s="12">
        <f>STDEV(Dados!E6:E35)*SQRT(252)</f>
        <v>0.25996302343672206</v>
      </c>
    </row>
    <row r="8" spans="1:4" ht="15" customHeight="1" x14ac:dyDescent="0.2">
      <c r="A8" s="11">
        <f>Dados!A36</f>
        <v>44490</v>
      </c>
      <c r="B8" s="12">
        <f>STDEV(Dados!D7:D36)*SQRT(252)</f>
        <v>0.27242018463254059</v>
      </c>
      <c r="C8" s="12">
        <f>STDEV(Dados!E7:E36)*SQRT(252)</f>
        <v>0.24859659448025159</v>
      </c>
    </row>
    <row r="9" spans="1:4" ht="15" customHeight="1" x14ac:dyDescent="0.2">
      <c r="A9" s="11">
        <f>Dados!A37</f>
        <v>44491</v>
      </c>
      <c r="B9" s="12">
        <f>STDEV(Dados!D8:D37)*SQRT(252)</f>
        <v>0.26905130678151606</v>
      </c>
      <c r="C9" s="12">
        <f>STDEV(Dados!E8:E37)*SQRT(252)</f>
        <v>0.24428540985042319</v>
      </c>
    </row>
    <row r="10" spans="1:4" ht="15" customHeight="1" x14ac:dyDescent="0.2">
      <c r="A10" s="11">
        <f>Dados!A38</f>
        <v>44494</v>
      </c>
      <c r="B10" s="12">
        <f>STDEV(Dados!D9:D38)*SQRT(252)</f>
        <v>0.2757847439729435</v>
      </c>
      <c r="C10" s="12">
        <f>STDEV(Dados!E9:E38)*SQRT(252)</f>
        <v>0.25402806292262303</v>
      </c>
    </row>
    <row r="11" spans="1:4" ht="15" customHeight="1" x14ac:dyDescent="0.2">
      <c r="A11" s="11">
        <f>Dados!A39</f>
        <v>44495</v>
      </c>
      <c r="B11" s="12">
        <f>STDEV(Dados!D10:D39)*SQRT(252)</f>
        <v>0.27509838971567607</v>
      </c>
      <c r="C11" s="12">
        <f>STDEV(Dados!E10:E39)*SQRT(252)</f>
        <v>0.25288374824713888</v>
      </c>
    </row>
    <row r="12" spans="1:4" ht="15" customHeight="1" x14ac:dyDescent="0.2">
      <c r="A12" s="11">
        <f>Dados!A40</f>
        <v>44496</v>
      </c>
      <c r="B12" s="12">
        <f>STDEV(Dados!D11:D40)*SQRT(252)</f>
        <v>0.27594998041326779</v>
      </c>
      <c r="C12" s="12">
        <f>STDEV(Dados!E11:E40)*SQRT(252)</f>
        <v>0.25296632651159096</v>
      </c>
    </row>
    <row r="13" spans="1:4" ht="15" customHeight="1" x14ac:dyDescent="0.2">
      <c r="A13" s="11">
        <f>Dados!A41</f>
        <v>44497</v>
      </c>
      <c r="B13" s="12">
        <f>STDEV(Dados!D12:D41)*SQRT(252)</f>
        <v>0.27466131683808376</v>
      </c>
      <c r="C13" s="12">
        <f>STDEV(Dados!E12:E41)*SQRT(252)</f>
        <v>0.2523644466196287</v>
      </c>
    </row>
    <row r="14" spans="1:4" ht="15" customHeight="1" x14ac:dyDescent="0.2">
      <c r="A14" s="11">
        <f>Dados!A42</f>
        <v>44498</v>
      </c>
      <c r="B14" s="12">
        <f>STDEV(Dados!D13:D42)*SQRT(252)</f>
        <v>0.2763073634781365</v>
      </c>
      <c r="C14" s="12">
        <f>STDEV(Dados!E13:E42)*SQRT(252)</f>
        <v>0.25682254828678108</v>
      </c>
    </row>
    <row r="15" spans="1:4" ht="15" customHeight="1" x14ac:dyDescent="0.2">
      <c r="A15" s="11">
        <f>Dados!A43</f>
        <v>44501</v>
      </c>
      <c r="B15" s="12">
        <f>STDEV(Dados!D14:D43)*SQRT(252)</f>
        <v>0.28271989410798742</v>
      </c>
      <c r="C15" s="12">
        <f>STDEV(Dados!E14:E43)*SQRT(252)</f>
        <v>0.25932664416898615</v>
      </c>
    </row>
    <row r="16" spans="1:4" ht="15" customHeight="1" x14ac:dyDescent="0.2">
      <c r="A16" s="11">
        <f>Dados!A44</f>
        <v>44503</v>
      </c>
      <c r="B16" s="12">
        <f>STDEV(Dados!D15:D44)*SQRT(252)</f>
        <v>0.28128954006732071</v>
      </c>
      <c r="C16" s="12">
        <f>STDEV(Dados!E15:E44)*SQRT(252)</f>
        <v>0.25103936090173767</v>
      </c>
    </row>
    <row r="17" spans="1:3" ht="15" customHeight="1" x14ac:dyDescent="0.2">
      <c r="A17" s="11">
        <f>Dados!A45</f>
        <v>44504</v>
      </c>
      <c r="B17" s="12">
        <f>STDEV(Dados!D16:D45)*SQRT(252)</f>
        <v>0.28518559097941071</v>
      </c>
      <c r="C17" s="12">
        <f>STDEV(Dados!E16:E45)*SQRT(252)</f>
        <v>0.2540319654353419</v>
      </c>
    </row>
    <row r="18" spans="1:3" ht="15" customHeight="1" x14ac:dyDescent="0.2">
      <c r="A18" s="11">
        <f>Dados!A46</f>
        <v>44505</v>
      </c>
      <c r="B18" s="12">
        <f>STDEV(Dados!D17:D46)*SQRT(252)</f>
        <v>0.28875324785183293</v>
      </c>
      <c r="C18" s="12">
        <f>STDEV(Dados!E17:E46)*SQRT(252)</f>
        <v>0.25110022405981486</v>
      </c>
    </row>
    <row r="19" spans="1:3" ht="15" customHeight="1" x14ac:dyDescent="0.2">
      <c r="A19" s="11">
        <f>Dados!A47</f>
        <v>44508</v>
      </c>
      <c r="B19" s="12">
        <f>STDEV(Dados!D18:D47)*SQRT(252)</f>
        <v>0.28599912809499156</v>
      </c>
      <c r="C19" s="12">
        <f>STDEV(Dados!E18:E47)*SQRT(252)</f>
        <v>0.24531483093368039</v>
      </c>
    </row>
    <row r="20" spans="1:3" ht="15" customHeight="1" x14ac:dyDescent="0.2">
      <c r="A20" s="11">
        <f>Dados!A48</f>
        <v>44509</v>
      </c>
      <c r="B20" s="12">
        <f>STDEV(Dados!D19:D48)*SQRT(252)</f>
        <v>0.28854383710805209</v>
      </c>
      <c r="C20" s="12">
        <f>STDEV(Dados!E19:E48)*SQRT(252)</f>
        <v>0.24667648473432419</v>
      </c>
    </row>
    <row r="21" spans="1:3" ht="15" customHeight="1" x14ac:dyDescent="0.2">
      <c r="A21" s="11">
        <f>Dados!A49</f>
        <v>44510</v>
      </c>
      <c r="B21" s="12">
        <f>STDEV(Dados!D20:D49)*SQRT(252)</f>
        <v>0.29083062611412264</v>
      </c>
      <c r="C21" s="12">
        <f>STDEV(Dados!E20:E49)*SQRT(252)</f>
        <v>0.24696777620570581</v>
      </c>
    </row>
    <row r="22" spans="1:3" ht="15" customHeight="1" x14ac:dyDescent="0.2">
      <c r="A22" s="11">
        <f>Dados!A50</f>
        <v>44511</v>
      </c>
      <c r="B22" s="12">
        <f>STDEV(Dados!D21:D50)*SQRT(252)</f>
        <v>0.2812198270655053</v>
      </c>
      <c r="C22" s="12">
        <f>STDEV(Dados!E21:E50)*SQRT(252)</f>
        <v>0.23651161531497106</v>
      </c>
    </row>
    <row r="23" spans="1:3" ht="15" customHeight="1" x14ac:dyDescent="0.2">
      <c r="A23" s="11">
        <f>Dados!A51</f>
        <v>44512</v>
      </c>
      <c r="B23" s="12">
        <f>STDEV(Dados!D22:D51)*SQRT(252)</f>
        <v>0.28487658347335576</v>
      </c>
      <c r="C23" s="12">
        <f>STDEV(Dados!E22:E51)*SQRT(252)</f>
        <v>0.23676025415314711</v>
      </c>
    </row>
    <row r="24" spans="1:3" ht="15" customHeight="1" x14ac:dyDescent="0.2">
      <c r="A24" s="11">
        <f>Dados!A52</f>
        <v>44516</v>
      </c>
      <c r="B24" s="12">
        <f>STDEV(Dados!D23:D52)*SQRT(252)</f>
        <v>0.28890228658915551</v>
      </c>
      <c r="C24" s="12">
        <f>STDEV(Dados!E23:E52)*SQRT(252)</f>
        <v>0.24174408426394844</v>
      </c>
    </row>
    <row r="25" spans="1:3" ht="15" customHeight="1" x14ac:dyDescent="0.2">
      <c r="A25" s="11">
        <f>Dados!A53</f>
        <v>44517</v>
      </c>
      <c r="B25" s="12">
        <f>STDEV(Dados!D24:D53)*SQRT(252)</f>
        <v>0.28375662514723671</v>
      </c>
      <c r="C25" s="12">
        <f>STDEV(Dados!E24:E53)*SQRT(252)</f>
        <v>0.23708380615123442</v>
      </c>
    </row>
    <row r="26" spans="1:3" ht="15" customHeight="1" x14ac:dyDescent="0.2">
      <c r="A26" s="11">
        <f>Dados!A54</f>
        <v>44518</v>
      </c>
      <c r="B26" s="12">
        <f>STDEV(Dados!D25:D54)*SQRT(252)</f>
        <v>0.27291765239893606</v>
      </c>
      <c r="C26" s="12">
        <f>STDEV(Dados!E25:E54)*SQRT(252)</f>
        <v>0.22998413499262904</v>
      </c>
    </row>
    <row r="27" spans="1:3" ht="15" customHeight="1" x14ac:dyDescent="0.2">
      <c r="A27" s="11">
        <f>Dados!A55</f>
        <v>44519</v>
      </c>
      <c r="B27" s="12">
        <f>STDEV(Dados!D26:D55)*SQRT(252)</f>
        <v>0.27333540531403044</v>
      </c>
      <c r="C27" s="12">
        <f>STDEV(Dados!E26:E55)*SQRT(252)</f>
        <v>0.23112445994028183</v>
      </c>
    </row>
    <row r="28" spans="1:3" ht="15" customHeight="1" x14ac:dyDescent="0.2">
      <c r="A28" s="11">
        <f>Dados!A56</f>
        <v>44522</v>
      </c>
      <c r="B28" s="12">
        <f>STDEV(Dados!D27:D56)*SQRT(252)</f>
        <v>0.27903854939434952</v>
      </c>
      <c r="C28" s="12">
        <f>STDEV(Dados!E27:E56)*SQRT(252)</f>
        <v>0.23168007823404568</v>
      </c>
    </row>
    <row r="29" spans="1:3" ht="15" customHeight="1" x14ac:dyDescent="0.2">
      <c r="A29" s="11">
        <f>Dados!A57</f>
        <v>44523</v>
      </c>
      <c r="B29" s="12">
        <f>STDEV(Dados!D28:D57)*SQRT(252)</f>
        <v>0.28151787292661407</v>
      </c>
      <c r="C29" s="12">
        <f>STDEV(Dados!E28:E57)*SQRT(252)</f>
        <v>0.237094964368498</v>
      </c>
    </row>
    <row r="30" spans="1:3" ht="15" customHeight="1" x14ac:dyDescent="0.2">
      <c r="A30" s="11">
        <f>Dados!A58</f>
        <v>44524</v>
      </c>
      <c r="B30" s="12">
        <f>STDEV(Dados!D29:D58)*SQRT(252)</f>
        <v>0.27287379467541018</v>
      </c>
      <c r="C30" s="12">
        <f>STDEV(Dados!E29:E58)*SQRT(252)</f>
        <v>0.22978795926103543</v>
      </c>
    </row>
    <row r="31" spans="1:3" ht="15" customHeight="1" x14ac:dyDescent="0.2">
      <c r="A31" s="11">
        <f>Dados!A59</f>
        <v>44525</v>
      </c>
      <c r="B31" s="12">
        <f>STDEV(Dados!D30:D59)*SQRT(252)</f>
        <v>0.27435805883099157</v>
      </c>
      <c r="C31" s="12">
        <f>STDEV(Dados!E30:E59)*SQRT(252)</f>
        <v>0.23354021073779441</v>
      </c>
    </row>
    <row r="32" spans="1:3" ht="15" customHeight="1" x14ac:dyDescent="0.2">
      <c r="A32" s="11">
        <f>Dados!A60</f>
        <v>44526</v>
      </c>
      <c r="B32" s="12">
        <f>STDEV(Dados!D31:D60)*SQRT(252)</f>
        <v>0.28085697915896235</v>
      </c>
      <c r="C32" s="12">
        <f>STDEV(Dados!E31:E60)*SQRT(252)</f>
        <v>0.24820708754406773</v>
      </c>
    </row>
    <row r="33" spans="1:3" ht="15" customHeight="1" x14ac:dyDescent="0.2">
      <c r="A33" s="11">
        <f>Dados!A61</f>
        <v>44529</v>
      </c>
      <c r="B33" s="12">
        <f>STDEV(Dados!D32:D61)*SQRT(252)</f>
        <v>0.2810221028190521</v>
      </c>
      <c r="C33" s="12">
        <f>STDEV(Dados!E32:E61)*SQRT(252)</f>
        <v>0.24963499495667224</v>
      </c>
    </row>
    <row r="34" spans="1:3" ht="15" customHeight="1" x14ac:dyDescent="0.2">
      <c r="A34" s="11">
        <f>Dados!A62</f>
        <v>44530</v>
      </c>
      <c r="B34" s="12">
        <f>STDEV(Dados!D33:D62)*SQRT(252)</f>
        <v>0.27582273120278694</v>
      </c>
      <c r="C34" s="12">
        <f>STDEV(Dados!E33:E62)*SQRT(252)</f>
        <v>0.24538783304734502</v>
      </c>
    </row>
    <row r="35" spans="1:3" ht="15" customHeight="1" x14ac:dyDescent="0.2">
      <c r="A35" s="11">
        <f>Dados!A63</f>
        <v>44531</v>
      </c>
      <c r="B35" s="12">
        <f>STDEV(Dados!D34:D63)*SQRT(252)</f>
        <v>0.2776592319738998</v>
      </c>
      <c r="C35" s="12">
        <f>STDEV(Dados!E34:E63)*SQRT(252)</f>
        <v>0.24621393106784265</v>
      </c>
    </row>
    <row r="36" spans="1:3" ht="15" customHeight="1" x14ac:dyDescent="0.2">
      <c r="A36" s="11">
        <f>Dados!A64</f>
        <v>44532</v>
      </c>
      <c r="B36" s="12">
        <f>STDEV(Dados!D35:D64)*SQRT(252)</f>
        <v>0.2768821414716911</v>
      </c>
      <c r="C36" s="12">
        <f>STDEV(Dados!E35:E64)*SQRT(252)</f>
        <v>0.25671405391646251</v>
      </c>
    </row>
    <row r="37" spans="1:3" ht="15" customHeight="1" x14ac:dyDescent="0.2">
      <c r="A37" s="11">
        <f>Dados!A65</f>
        <v>44533</v>
      </c>
      <c r="B37" s="12">
        <f>STDEV(Dados!D36:D65)*SQRT(252)</f>
        <v>0.27651375475028178</v>
      </c>
      <c r="C37" s="12">
        <f>STDEV(Dados!E36:E65)*SQRT(252)</f>
        <v>0.25755387116589823</v>
      </c>
    </row>
    <row r="38" spans="1:3" ht="15" customHeight="1" x14ac:dyDescent="0.2">
      <c r="A38" s="11">
        <f>Dados!A66</f>
        <v>44536</v>
      </c>
      <c r="B38" s="12">
        <f>STDEV(Dados!D37:D66)*SQRT(252)</f>
        <v>0.26277879012017907</v>
      </c>
      <c r="C38" s="12">
        <f>STDEV(Dados!E37:E66)*SQRT(252)</f>
        <v>0.25065478902954352</v>
      </c>
    </row>
    <row r="39" spans="1:3" ht="15" customHeight="1" x14ac:dyDescent="0.2">
      <c r="A39" s="11">
        <f>Dados!A67</f>
        <v>44537</v>
      </c>
      <c r="B39" s="12">
        <f>STDEV(Dados!D38:D67)*SQRT(252)</f>
        <v>0.25614643140969245</v>
      </c>
      <c r="C39" s="12">
        <f>STDEV(Dados!E38:E67)*SQRT(252)</f>
        <v>0.2482034254115317</v>
      </c>
    </row>
    <row r="40" spans="1:3" ht="15" customHeight="1" x14ac:dyDescent="0.2">
      <c r="A40" s="11">
        <f>Dados!A68</f>
        <v>44538</v>
      </c>
      <c r="B40" s="12">
        <f>STDEV(Dados!D39:D68)*SQRT(252)</f>
        <v>0.25027433707367069</v>
      </c>
      <c r="C40" s="12">
        <f>STDEV(Dados!E39:E68)*SQRT(252)</f>
        <v>0.23969189721798606</v>
      </c>
    </row>
    <row r="41" spans="1:3" ht="15" customHeight="1" x14ac:dyDescent="0.2">
      <c r="A41" s="11">
        <f>Dados!A69</f>
        <v>44539</v>
      </c>
      <c r="B41" s="12">
        <f>STDEV(Dados!D40:D69)*SQRT(252)</f>
        <v>0.24895700450967506</v>
      </c>
      <c r="C41" s="12">
        <f>STDEV(Dados!E40:E69)*SQRT(252)</f>
        <v>0.23657849191632216</v>
      </c>
    </row>
    <row r="42" spans="1:3" ht="15" customHeight="1" x14ac:dyDescent="0.2">
      <c r="A42" s="11">
        <f>Dados!A70</f>
        <v>44540</v>
      </c>
      <c r="B42" s="12">
        <f>STDEV(Dados!D41:D70)*SQRT(252)</f>
        <v>0.25255531969692285</v>
      </c>
      <c r="C42" s="12">
        <f>STDEV(Dados!E41:E70)*SQRT(252)</f>
        <v>0.2398975795882991</v>
      </c>
    </row>
    <row r="43" spans="1:3" ht="15" customHeight="1" x14ac:dyDescent="0.2">
      <c r="A43" s="11">
        <f>Dados!A71</f>
        <v>44543</v>
      </c>
      <c r="B43" s="12">
        <f>STDEV(Dados!D42:D71)*SQRT(252)</f>
        <v>0.25368342782805675</v>
      </c>
      <c r="C43" s="12">
        <f>STDEV(Dados!E42:E71)*SQRT(252)</f>
        <v>0.2393724100406755</v>
      </c>
    </row>
    <row r="44" spans="1:3" ht="15" customHeight="1" x14ac:dyDescent="0.2">
      <c r="A44" s="11">
        <f>Dados!A72</f>
        <v>44544</v>
      </c>
      <c r="B44" s="12">
        <f>STDEV(Dados!D43:D72)*SQRT(252)</f>
        <v>0.25074277858515914</v>
      </c>
      <c r="C44" s="12">
        <f>STDEV(Dados!E43:E72)*SQRT(252)</f>
        <v>0.23136277424515492</v>
      </c>
    </row>
    <row r="45" spans="1:3" ht="15" customHeight="1" x14ac:dyDescent="0.2">
      <c r="A45" s="11">
        <f>Dados!A73</f>
        <v>44545</v>
      </c>
      <c r="B45" s="12">
        <f>STDEV(Dados!D44:D73)*SQRT(252)</f>
        <v>0.24353981463532293</v>
      </c>
      <c r="C45" s="12">
        <f>STDEV(Dados!E44:E73)*SQRT(252)</f>
        <v>0.22520064420620484</v>
      </c>
    </row>
    <row r="46" spans="1:3" ht="15" customHeight="1" x14ac:dyDescent="0.2">
      <c r="A46" s="11">
        <f>Dados!A74</f>
        <v>44546</v>
      </c>
      <c r="B46" s="12">
        <f>STDEV(Dados!D45:D74)*SQRT(252)</f>
        <v>0.23807130574854232</v>
      </c>
      <c r="C46" s="12">
        <f>STDEV(Dados!E45:E74)*SQRT(252)</f>
        <v>0.22630630661390067</v>
      </c>
    </row>
    <row r="47" spans="1:3" ht="15" customHeight="1" x14ac:dyDescent="0.2">
      <c r="A47" s="11">
        <f>Dados!A75</f>
        <v>44547</v>
      </c>
      <c r="B47" s="12">
        <f>STDEV(Dados!D46:D75)*SQRT(252)</f>
        <v>0.23009709340856208</v>
      </c>
      <c r="C47" s="12">
        <f>STDEV(Dados!E46:E75)*SQRT(252)</f>
        <v>0.2193266867142396</v>
      </c>
    </row>
    <row r="48" spans="1:3" ht="15" customHeight="1" x14ac:dyDescent="0.2">
      <c r="A48" s="11">
        <f>Dados!A76</f>
        <v>44550</v>
      </c>
      <c r="B48" s="12">
        <f>STDEV(Dados!D47:D76)*SQRT(252)</f>
        <v>0.22932428054278053</v>
      </c>
      <c r="C48" s="12">
        <f>STDEV(Dados!E47:E76)*SQRT(252)</f>
        <v>0.22483641456846862</v>
      </c>
    </row>
    <row r="49" spans="1:3" ht="15" customHeight="1" x14ac:dyDescent="0.2">
      <c r="A49" s="11">
        <f>Dados!A77</f>
        <v>44551</v>
      </c>
      <c r="B49" s="12">
        <f>STDEV(Dados!D48:D77)*SQRT(252)</f>
        <v>0.22732526872643688</v>
      </c>
      <c r="C49" s="12">
        <f>STDEV(Dados!E48:E77)*SQRT(252)</f>
        <v>0.22520682987060781</v>
      </c>
    </row>
    <row r="50" spans="1:3" ht="15" customHeight="1" x14ac:dyDescent="0.2">
      <c r="A50" s="11">
        <f>Dados!A78</f>
        <v>44552</v>
      </c>
      <c r="B50" s="12">
        <f>STDEV(Dados!D49:D78)*SQRT(252)</f>
        <v>0.22408427232443034</v>
      </c>
      <c r="C50" s="12">
        <f>STDEV(Dados!E49:E78)*SQRT(252)</f>
        <v>0.22435238753186595</v>
      </c>
    </row>
    <row r="51" spans="1:3" ht="15" customHeight="1" x14ac:dyDescent="0.2">
      <c r="A51" s="11">
        <f>Dados!A79</f>
        <v>44553</v>
      </c>
      <c r="B51" s="12">
        <f>STDEV(Dados!D50:D79)*SQRT(252)</f>
        <v>0.22091225816415266</v>
      </c>
      <c r="C51" s="12">
        <f>STDEV(Dados!E50:E79)*SQRT(252)</f>
        <v>0.22418381059010803</v>
      </c>
    </row>
    <row r="52" spans="1:3" ht="15" customHeight="1" x14ac:dyDescent="0.2">
      <c r="A52" s="11">
        <f>Dados!A80</f>
        <v>44557</v>
      </c>
      <c r="B52" s="12">
        <f>STDEV(Dados!D51:D80)*SQRT(252)</f>
        <v>0.21826857413700143</v>
      </c>
      <c r="C52" s="12">
        <f>STDEV(Dados!E51:E80)*SQRT(252)</f>
        <v>0.22024966926753448</v>
      </c>
    </row>
    <row r="53" spans="1:3" ht="15" customHeight="1" x14ac:dyDescent="0.2">
      <c r="A53" s="11">
        <f>Dados!A81</f>
        <v>44558</v>
      </c>
      <c r="B53" s="12">
        <f>STDEV(Dados!D52:D81)*SQRT(252)</f>
        <v>0.213848021760392</v>
      </c>
      <c r="C53" s="12">
        <f>STDEV(Dados!E52:E81)*SQRT(252)</f>
        <v>0.21846722209470038</v>
      </c>
    </row>
    <row r="54" spans="1:3" ht="15" customHeight="1" x14ac:dyDescent="0.2">
      <c r="A54" s="11">
        <f>Dados!A82</f>
        <v>44559</v>
      </c>
      <c r="B54" s="12">
        <f>STDEV(Dados!D53:D82)*SQRT(252)</f>
        <v>0.20933305329197746</v>
      </c>
      <c r="C54" s="12">
        <f>STDEV(Dados!E53:E82)*SQRT(252)</f>
        <v>0.21288353396926152</v>
      </c>
    </row>
    <row r="55" spans="1:3" ht="15" customHeight="1" x14ac:dyDescent="0.2">
      <c r="A55" s="11">
        <f>Dados!A83</f>
        <v>44560</v>
      </c>
      <c r="B55" s="12">
        <f>STDEV(Dados!D54:D83)*SQRT(252)</f>
        <v>0.20806212198775087</v>
      </c>
      <c r="C55" s="12">
        <f>STDEV(Dados!E54:E83)*SQRT(252)</f>
        <v>0.20957260671964692</v>
      </c>
    </row>
    <row r="56" spans="1:3" ht="15" customHeight="1" x14ac:dyDescent="0.2">
      <c r="A56" s="11">
        <f>Dados!A84</f>
        <v>44564</v>
      </c>
      <c r="B56" s="12">
        <f>STDEV(Dados!D55:D84)*SQRT(252)</f>
        <v>0.21094052471486907</v>
      </c>
      <c r="C56" s="12">
        <f>STDEV(Dados!E55:E84)*SQRT(252)</f>
        <v>0.21065523095933944</v>
      </c>
    </row>
    <row r="57" spans="1:3" ht="15" customHeight="1" x14ac:dyDescent="0.2">
      <c r="A57" s="11">
        <f>Dados!A85</f>
        <v>44565</v>
      </c>
      <c r="B57" s="12">
        <f>STDEV(Dados!D56:D85)*SQRT(252)</f>
        <v>0.21024145139225145</v>
      </c>
      <c r="C57" s="12">
        <f>STDEV(Dados!E56:E85)*SQRT(252)</f>
        <v>0.21037913930929014</v>
      </c>
    </row>
    <row r="58" spans="1:3" ht="15" customHeight="1" x14ac:dyDescent="0.2">
      <c r="A58" s="11">
        <f>Dados!A86</f>
        <v>44566</v>
      </c>
      <c r="B58" s="12">
        <f>STDEV(Dados!D57:D86)*SQRT(252)</f>
        <v>0.21596017746160939</v>
      </c>
      <c r="C58" s="12">
        <f>STDEV(Dados!E57:E86)*SQRT(252)</f>
        <v>0.22083861079264666</v>
      </c>
    </row>
    <row r="59" spans="1:3" ht="15" customHeight="1" x14ac:dyDescent="0.2">
      <c r="A59" s="11">
        <f>Dados!A87</f>
        <v>44567</v>
      </c>
      <c r="B59" s="12">
        <f>STDEV(Dados!D58:D87)*SQRT(252)</f>
        <v>0.21282140132375973</v>
      </c>
      <c r="C59" s="12">
        <f>STDEV(Dados!E58:E87)*SQRT(252)</f>
        <v>0.21683724994452078</v>
      </c>
    </row>
    <row r="60" spans="1:3" ht="15" customHeight="1" x14ac:dyDescent="0.2">
      <c r="A60" s="11">
        <f>Dados!A88</f>
        <v>44568</v>
      </c>
      <c r="B60" s="12">
        <f>STDEV(Dados!D59:D88)*SQRT(252)</f>
        <v>0.21161722701861743</v>
      </c>
      <c r="C60" s="12">
        <f>STDEV(Dados!E59:E88)*SQRT(252)</f>
        <v>0.21811855025433813</v>
      </c>
    </row>
    <row r="61" spans="1:3" ht="15" customHeight="1" x14ac:dyDescent="0.2">
      <c r="A61" s="11">
        <f>Dados!A89</f>
        <v>44571</v>
      </c>
      <c r="B61" s="12">
        <f>STDEV(Dados!D60:D89)*SQRT(252)</f>
        <v>0.20595927627613192</v>
      </c>
      <c r="C61" s="12">
        <f>STDEV(Dados!E60:E89)*SQRT(252)</f>
        <v>0.21549164724474107</v>
      </c>
    </row>
    <row r="62" spans="1:3" ht="15" customHeight="1" x14ac:dyDescent="0.2">
      <c r="A62" s="11">
        <f>Dados!A90</f>
        <v>44572</v>
      </c>
      <c r="B62" s="12">
        <f>STDEV(Dados!D61:D90)*SQRT(252)</f>
        <v>0.19160531463857902</v>
      </c>
      <c r="C62" s="12">
        <f>STDEV(Dados!E61:E90)*SQRT(252)</f>
        <v>0.19798694031112071</v>
      </c>
    </row>
    <row r="63" spans="1:3" ht="15" customHeight="1" x14ac:dyDescent="0.2">
      <c r="A63" s="11">
        <f>Dados!A91</f>
        <v>44573</v>
      </c>
      <c r="B63" s="12">
        <f>STDEV(Dados!D62:D91)*SQRT(252)</f>
        <v>0.20062951645234456</v>
      </c>
      <c r="C63" s="12">
        <f>STDEV(Dados!E62:E91)*SQRT(252)</f>
        <v>0.20405470439176343</v>
      </c>
    </row>
    <row r="64" spans="1:3" ht="15" customHeight="1" x14ac:dyDescent="0.2">
      <c r="A64" s="11">
        <f>Dados!A92</f>
        <v>44574</v>
      </c>
      <c r="B64" s="12">
        <f>STDEV(Dados!D63:D92)*SQRT(252)</f>
        <v>0.19881645076629065</v>
      </c>
      <c r="C64" s="12">
        <f>STDEV(Dados!E63:E92)*SQRT(252)</f>
        <v>0.20212617940159139</v>
      </c>
    </row>
    <row r="65" spans="1:3" ht="15" customHeight="1" x14ac:dyDescent="0.2">
      <c r="A65" s="11">
        <f>Dados!A93</f>
        <v>44575</v>
      </c>
      <c r="B65" s="12">
        <f>STDEV(Dados!D64:D93)*SQRT(252)</f>
        <v>0.19751797291719875</v>
      </c>
      <c r="C65" s="12">
        <f>STDEV(Dados!E64:E93)*SQRT(252)</f>
        <v>0.20148200082702358</v>
      </c>
    </row>
    <row r="66" spans="1:3" ht="15" customHeight="1" x14ac:dyDescent="0.2">
      <c r="A66" s="11">
        <f>Dados!A94</f>
        <v>44578</v>
      </c>
      <c r="B66" s="12">
        <f>STDEV(Dados!D65:D94)*SQRT(252)</f>
        <v>0.17993490269350348</v>
      </c>
      <c r="C66" s="12">
        <f>STDEV(Dados!E65:E94)*SQRT(252)</f>
        <v>0.17466564377434138</v>
      </c>
    </row>
    <row r="67" spans="1:3" ht="15" customHeight="1" x14ac:dyDescent="0.2">
      <c r="A67" s="11">
        <f>Dados!A95</f>
        <v>44579</v>
      </c>
      <c r="B67" s="12">
        <f>STDEV(Dados!D66:D95)*SQRT(252)</f>
        <v>0.17777224190720101</v>
      </c>
      <c r="C67" s="12">
        <f>STDEV(Dados!E66:E95)*SQRT(252)</f>
        <v>0.17411019446150602</v>
      </c>
    </row>
    <row r="68" spans="1:3" ht="15" customHeight="1" x14ac:dyDescent="0.2">
      <c r="A68" s="11">
        <f>Dados!A96</f>
        <v>44580</v>
      </c>
      <c r="B68" s="12">
        <f>STDEV(Dados!D67:D96)*SQRT(252)</f>
        <v>0.17850060398979317</v>
      </c>
      <c r="C68" s="12">
        <f>STDEV(Dados!E67:E96)*SQRT(252)</f>
        <v>0.17098046518914597</v>
      </c>
    </row>
    <row r="69" spans="1:3" ht="15" customHeight="1" x14ac:dyDescent="0.2">
      <c r="A69" s="11">
        <f>Dados!A97</f>
        <v>44581</v>
      </c>
      <c r="B69" s="12">
        <f>STDEV(Dados!D68:D97)*SQRT(252)</f>
        <v>0.18629990296125545</v>
      </c>
      <c r="C69" s="12">
        <f>STDEV(Dados!E68:E97)*SQRT(252)</f>
        <v>0.1723773894991687</v>
      </c>
    </row>
    <row r="70" spans="1:3" ht="15" customHeight="1" x14ac:dyDescent="0.2">
      <c r="A70" s="11">
        <f>Dados!A98</f>
        <v>44582</v>
      </c>
      <c r="B70" s="12">
        <f>STDEV(Dados!D69:D98)*SQRT(252)</f>
        <v>0.18508668275841839</v>
      </c>
      <c r="C70" s="12">
        <f>STDEV(Dados!E69:E98)*SQRT(252)</f>
        <v>0.17192321117077566</v>
      </c>
    </row>
    <row r="71" spans="1:3" ht="15" customHeight="1" x14ac:dyDescent="0.2">
      <c r="A71" s="11">
        <f>Dados!A99</f>
        <v>44585</v>
      </c>
      <c r="B71" s="12">
        <f>STDEV(Dados!D70:D99)*SQRT(252)</f>
        <v>0.17456737090674909</v>
      </c>
      <c r="C71" s="12">
        <f>STDEV(Dados!E70:E99)*SQRT(252)</f>
        <v>0.16670088185146825</v>
      </c>
    </row>
    <row r="72" spans="1:3" ht="15" customHeight="1" x14ac:dyDescent="0.2">
      <c r="A72" s="11">
        <f>Dados!A100</f>
        <v>44586</v>
      </c>
      <c r="B72" s="12">
        <f>STDEV(Dados!D71:D100)*SQRT(252)</f>
        <v>0.18297115493322327</v>
      </c>
      <c r="C72" s="12">
        <f>STDEV(Dados!E71:E100)*SQRT(252)</f>
        <v>0.17272286809067097</v>
      </c>
    </row>
    <row r="73" spans="1:3" ht="15" customHeight="1" x14ac:dyDescent="0.2">
      <c r="A73" s="11">
        <f>Dados!A101</f>
        <v>44587</v>
      </c>
      <c r="B73" s="12">
        <f>STDEV(Dados!D72:D101)*SQRT(252)</f>
        <v>0.18210481850725788</v>
      </c>
      <c r="C73" s="12">
        <f>STDEV(Dados!E72:E101)*SQRT(252)</f>
        <v>0.17417760892079925</v>
      </c>
    </row>
    <row r="74" spans="1:3" ht="15" customHeight="1" x14ac:dyDescent="0.2">
      <c r="A74" s="11">
        <f>Dados!A102</f>
        <v>44588</v>
      </c>
      <c r="B74" s="12">
        <f>STDEV(Dados!D73:D102)*SQRT(252)</f>
        <v>0.18705417530806512</v>
      </c>
      <c r="C74" s="12">
        <f>STDEV(Dados!E73:E102)*SQRT(252)</f>
        <v>0.17550534629205819</v>
      </c>
    </row>
    <row r="75" spans="1:3" ht="15" customHeight="1" x14ac:dyDescent="0.2">
      <c r="A75" s="11">
        <f>Dados!A103</f>
        <v>44589</v>
      </c>
      <c r="B75" s="12">
        <f>STDEV(Dados!D74:D103)*SQRT(252)</f>
        <v>0.18572822291898647</v>
      </c>
      <c r="C75" s="12">
        <f>STDEV(Dados!E74:E103)*SQRT(252)</f>
        <v>0.17647216788143669</v>
      </c>
    </row>
    <row r="76" spans="1:3" ht="15" customHeight="1" x14ac:dyDescent="0.2">
      <c r="A76" s="11">
        <f>Dados!A104</f>
        <v>44592</v>
      </c>
      <c r="B76" s="12">
        <f>STDEV(Dados!D75:D104)*SQRT(252)</f>
        <v>0.18768292083803087</v>
      </c>
      <c r="C76" s="12">
        <f>STDEV(Dados!E75:E104)*SQRT(252)</f>
        <v>0.17526537738360334</v>
      </c>
    </row>
    <row r="77" spans="1:3" ht="15" customHeight="1" x14ac:dyDescent="0.2">
      <c r="A77" s="11">
        <f>Dados!A105</f>
        <v>44593</v>
      </c>
      <c r="B77" s="12">
        <f>STDEV(Dados!D76:D105)*SQRT(252)</f>
        <v>0.18586709447532931</v>
      </c>
      <c r="C77" s="12">
        <f>STDEV(Dados!E76:E105)*SQRT(252)</f>
        <v>0.17336656580352364</v>
      </c>
    </row>
    <row r="78" spans="1:3" ht="15" customHeight="1" x14ac:dyDescent="0.2">
      <c r="A78" s="11">
        <f>Dados!A106</f>
        <v>44594</v>
      </c>
      <c r="B78" s="12">
        <f>STDEV(Dados!D77:D106)*SQRT(252)</f>
        <v>0.18087544598180483</v>
      </c>
      <c r="C78" s="12">
        <f>STDEV(Dados!E77:E106)*SQRT(252)</f>
        <v>0.1652495322608597</v>
      </c>
    </row>
    <row r="79" spans="1:3" ht="15" customHeight="1" x14ac:dyDescent="0.2">
      <c r="A79" s="11">
        <f>Dados!A107</f>
        <v>44595</v>
      </c>
      <c r="B79" s="12">
        <f>STDEV(Dados!D78:D107)*SQRT(252)</f>
        <v>0.18049638237001542</v>
      </c>
      <c r="C79" s="12">
        <f>STDEV(Dados!E78:E107)*SQRT(252)</f>
        <v>0.16545360129707493</v>
      </c>
    </row>
    <row r="80" spans="1:3" ht="15" customHeight="1" x14ac:dyDescent="0.2">
      <c r="A80" s="11">
        <f>Dados!A108</f>
        <v>44596</v>
      </c>
      <c r="B80" s="12">
        <f>STDEV(Dados!D79:D108)*SQRT(252)</f>
        <v>0.18111711715086581</v>
      </c>
      <c r="C80" s="12">
        <f>STDEV(Dados!E79:E108)*SQRT(252)</f>
        <v>0.16514995664454515</v>
      </c>
    </row>
    <row r="81" spans="1:3" ht="15" customHeight="1" x14ac:dyDescent="0.2">
      <c r="A81" s="11">
        <f>Dados!A109</f>
        <v>44599</v>
      </c>
      <c r="B81" s="12">
        <f>STDEV(Dados!D80:D109)*SQRT(252)</f>
        <v>0.18314231229540437</v>
      </c>
      <c r="C81" s="12">
        <f>STDEV(Dados!E80:E109)*SQRT(252)</f>
        <v>0.16485269271926895</v>
      </c>
    </row>
    <row r="82" spans="1:3" ht="15" customHeight="1" x14ac:dyDescent="0.2">
      <c r="A82" s="11">
        <f>Dados!A110</f>
        <v>44600</v>
      </c>
      <c r="B82" s="12">
        <f>STDEV(Dados!D81:D110)*SQRT(252)</f>
        <v>0.1826659448895587</v>
      </c>
      <c r="C82" s="12">
        <f>STDEV(Dados!E81:E110)*SQRT(252)</f>
        <v>0.16439025081003986</v>
      </c>
    </row>
    <row r="83" spans="1:3" ht="15" customHeight="1" x14ac:dyDescent="0.2">
      <c r="A83" s="11">
        <f>Dados!A111</f>
        <v>44601</v>
      </c>
      <c r="B83" s="12">
        <f>STDEV(Dados!D82:D111)*SQRT(252)</f>
        <v>0.18215227167550224</v>
      </c>
      <c r="C83" s="12">
        <f>STDEV(Dados!E82:E111)*SQRT(252)</f>
        <v>0.16235633901431237</v>
      </c>
    </row>
    <row r="84" spans="1:3" ht="15" customHeight="1" x14ac:dyDescent="0.2">
      <c r="A84" s="11">
        <f>Dados!A112</f>
        <v>44602</v>
      </c>
      <c r="B84" s="12">
        <f>STDEV(Dados!D83:D112)*SQRT(252)</f>
        <v>0.17961052956458395</v>
      </c>
      <c r="C84" s="12">
        <f>STDEV(Dados!E83:E112)*SQRT(252)</f>
        <v>0.16055375453069962</v>
      </c>
    </row>
    <row r="85" spans="1:3" ht="15" customHeight="1" x14ac:dyDescent="0.2">
      <c r="A85" s="11">
        <f>Dados!A113</f>
        <v>44603</v>
      </c>
      <c r="B85" s="12">
        <f>STDEV(Dados!D84:D113)*SQRT(252)</f>
        <v>0.17917359282717388</v>
      </c>
      <c r="C85" s="12">
        <f>STDEV(Dados!E84:E113)*SQRT(252)</f>
        <v>0.16012583426678459</v>
      </c>
    </row>
    <row r="86" spans="1:3" ht="15" customHeight="1" x14ac:dyDescent="0.2">
      <c r="A86" s="11">
        <f>Dados!A114</f>
        <v>44606</v>
      </c>
      <c r="B86" s="12">
        <f>STDEV(Dados!D85:D114)*SQRT(252)</f>
        <v>0.17407971997164942</v>
      </c>
      <c r="C86" s="12">
        <f>STDEV(Dados!E85:E114)*SQRT(252)</f>
        <v>0.15650446192473555</v>
      </c>
    </row>
    <row r="87" spans="1:3" ht="15" customHeight="1" x14ac:dyDescent="0.2">
      <c r="A87" s="11">
        <f>Dados!A115</f>
        <v>44607</v>
      </c>
      <c r="B87" s="12">
        <f>STDEV(Dados!D86:D115)*SQRT(252)</f>
        <v>0.1790205653785393</v>
      </c>
      <c r="C87" s="12">
        <f>STDEV(Dados!E86:E115)*SQRT(252)</f>
        <v>0.15572468501445197</v>
      </c>
    </row>
    <row r="88" spans="1:3" ht="15" customHeight="1" x14ac:dyDescent="0.2">
      <c r="A88" s="11">
        <f>Dados!A116</f>
        <v>44608</v>
      </c>
      <c r="B88" s="12">
        <f>STDEV(Dados!D87:D116)*SQRT(252)</f>
        <v>0.15434094903772708</v>
      </c>
      <c r="C88" s="12">
        <f>STDEV(Dados!E87:E116)*SQRT(252)</f>
        <v>0.13124677615780245</v>
      </c>
    </row>
    <row r="89" spans="1:3" ht="15" customHeight="1" x14ac:dyDescent="0.2">
      <c r="A89" s="11">
        <f>Dados!A117</f>
        <v>44609</v>
      </c>
      <c r="B89" s="12">
        <f>STDEV(Dados!D88:D117)*SQRT(252)</f>
        <v>0.16005198358976405</v>
      </c>
      <c r="C89" s="12">
        <f>STDEV(Dados!E88:E117)*SQRT(252)</f>
        <v>0.14206353164715679</v>
      </c>
    </row>
    <row r="90" spans="1:3" ht="15" customHeight="1" x14ac:dyDescent="0.2">
      <c r="A90" s="11">
        <f>Dados!A118</f>
        <v>44610</v>
      </c>
      <c r="B90" s="12">
        <f>STDEV(Dados!D89:D118)*SQRT(252)</f>
        <v>0.1632721201367007</v>
      </c>
      <c r="C90" s="12">
        <f>STDEV(Dados!E89:E118)*SQRT(252)</f>
        <v>0.1427111676882297</v>
      </c>
    </row>
    <row r="91" spans="1:3" ht="15" customHeight="1" x14ac:dyDescent="0.2">
      <c r="A91" s="11">
        <f>Dados!A119</f>
        <v>44613</v>
      </c>
      <c r="B91" s="12">
        <f>STDEV(Dados!D90:D119)*SQRT(252)</f>
        <v>0.17124624687592316</v>
      </c>
      <c r="C91" s="12">
        <f>STDEV(Dados!E90:E119)*SQRT(252)</f>
        <v>0.14468958152514011</v>
      </c>
    </row>
    <row r="92" spans="1:3" ht="15" customHeight="1" x14ac:dyDescent="0.2">
      <c r="A92" s="11">
        <f>Dados!A120</f>
        <v>44614</v>
      </c>
      <c r="B92" s="12">
        <f>STDEV(Dados!D91:D120)*SQRT(252)</f>
        <v>0.1682651089876461</v>
      </c>
      <c r="C92" s="12">
        <f>STDEV(Dados!E91:E120)*SQRT(252)</f>
        <v>0.13960487242126449</v>
      </c>
    </row>
    <row r="93" spans="1:3" ht="15" customHeight="1" x14ac:dyDescent="0.2">
      <c r="A93" s="11">
        <f>Dados!A121</f>
        <v>44615</v>
      </c>
      <c r="B93" s="12">
        <f>STDEV(Dados!D92:D121)*SQRT(252)</f>
        <v>0.16337510743041042</v>
      </c>
      <c r="C93" s="12">
        <f>STDEV(Dados!E92:E121)*SQRT(252)</f>
        <v>0.13498035727726898</v>
      </c>
    </row>
    <row r="94" spans="1:3" ht="15" customHeight="1" x14ac:dyDescent="0.2">
      <c r="A94" s="11">
        <f>Dados!A122</f>
        <v>44616</v>
      </c>
      <c r="B94" s="12">
        <f>STDEV(Dados!D93:D122)*SQRT(252)</f>
        <v>0.16351042021030815</v>
      </c>
      <c r="C94" s="12">
        <f>STDEV(Dados!E93:E122)*SQRT(252)</f>
        <v>0.13562856281187943</v>
      </c>
    </row>
    <row r="95" spans="1:3" ht="15" customHeight="1" x14ac:dyDescent="0.2">
      <c r="A95" s="11">
        <f>Dados!A123</f>
        <v>44617</v>
      </c>
      <c r="B95" s="12">
        <f>STDEV(Dados!D94:D123)*SQRT(252)</f>
        <v>0.15964834170886871</v>
      </c>
      <c r="C95" s="12">
        <f>STDEV(Dados!E94:E123)*SQRT(252)</f>
        <v>0.13609904326298972</v>
      </c>
    </row>
    <row r="96" spans="1:3" ht="15" customHeight="1" x14ac:dyDescent="0.2">
      <c r="A96" s="11">
        <f>Dados!A124</f>
        <v>44622</v>
      </c>
      <c r="B96" s="12">
        <f>STDEV(Dados!D95:D124)*SQRT(252)</f>
        <v>0.15821170673553889</v>
      </c>
      <c r="C96" s="12">
        <f>STDEV(Dados!E95:E124)*SQRT(252)</f>
        <v>0.14190198228887066</v>
      </c>
    </row>
    <row r="97" spans="1:3" ht="15" customHeight="1" x14ac:dyDescent="0.2">
      <c r="A97" s="11">
        <f>Dados!A125</f>
        <v>44623</v>
      </c>
      <c r="B97" s="12">
        <f>STDEV(Dados!D96:D125)*SQRT(252)</f>
        <v>0.15771117436354962</v>
      </c>
      <c r="C97" s="12">
        <f>STDEV(Dados!E96:E125)*SQRT(252)</f>
        <v>0.14211961313061705</v>
      </c>
    </row>
    <row r="98" spans="1:3" ht="15" customHeight="1" x14ac:dyDescent="0.2">
      <c r="A98" s="11">
        <f>Dados!A126</f>
        <v>44624</v>
      </c>
      <c r="B98" s="12">
        <f>STDEV(Dados!D97:D126)*SQRT(252)</f>
        <v>0.1608577068902351</v>
      </c>
      <c r="C98" s="12">
        <f>STDEV(Dados!E97:E126)*SQRT(252)</f>
        <v>0.14097359755853739</v>
      </c>
    </row>
    <row r="99" spans="1:3" ht="15" customHeight="1" x14ac:dyDescent="0.2">
      <c r="A99" s="11">
        <f>Dados!A127</f>
        <v>44627</v>
      </c>
      <c r="B99" s="12">
        <f>STDEV(Dados!D98:D127)*SQRT(252)</f>
        <v>0.18625420990875144</v>
      </c>
      <c r="C99" s="12">
        <f>STDEV(Dados!E98:E127)*SQRT(252)</f>
        <v>0.15960842289419344</v>
      </c>
    </row>
    <row r="100" spans="1:3" ht="15" customHeight="1" x14ac:dyDescent="0.2">
      <c r="A100" s="11">
        <f>Dados!A128</f>
        <v>44628</v>
      </c>
      <c r="B100" s="12">
        <f>STDEV(Dados!D99:D128)*SQRT(252)</f>
        <v>0.18697596944466227</v>
      </c>
      <c r="C100" s="12">
        <f>STDEV(Dados!E99:E128)*SQRT(252)</f>
        <v>0.15996260285986363</v>
      </c>
    </row>
    <row r="101" spans="1:3" ht="15" customHeight="1" x14ac:dyDescent="0.2">
      <c r="A101" s="11">
        <f>Dados!A129</f>
        <v>44629</v>
      </c>
      <c r="B101" s="12">
        <f>STDEV(Dados!D100:D129)*SQRT(252)</f>
        <v>0.21976364988511815</v>
      </c>
      <c r="C101" s="12">
        <f>STDEV(Dados!E100:E129)*SQRT(252)</f>
        <v>0.17063513168836952</v>
      </c>
    </row>
    <row r="102" spans="1:3" ht="15" customHeight="1" x14ac:dyDescent="0.2">
      <c r="A102" s="11">
        <f>Dados!A130</f>
        <v>44630</v>
      </c>
      <c r="B102" s="12">
        <f>STDEV(Dados!D101:D130)*SQRT(252)</f>
        <v>0.21276880956517968</v>
      </c>
      <c r="C102" s="12">
        <f>STDEV(Dados!E101:E130)*SQRT(252)</f>
        <v>0.16112327567947776</v>
      </c>
    </row>
    <row r="103" spans="1:3" ht="15" customHeight="1" x14ac:dyDescent="0.2">
      <c r="A103" s="11">
        <f>Dados!A131</f>
        <v>44631</v>
      </c>
      <c r="B103" s="12">
        <f>STDEV(Dados!D102:D131)*SQRT(252)</f>
        <v>0.21664297280051917</v>
      </c>
      <c r="C103" s="12">
        <f>STDEV(Dados!E102:E131)*SQRT(252)</f>
        <v>0.16733581244579809</v>
      </c>
    </row>
    <row r="104" spans="1:3" ht="15" customHeight="1" x14ac:dyDescent="0.2">
      <c r="A104" s="11">
        <f>Dados!A132</f>
        <v>44634</v>
      </c>
      <c r="B104" s="12">
        <f>STDEV(Dados!D103:D132)*SQRT(252)</f>
        <v>0.21053484248051577</v>
      </c>
      <c r="C104" s="12">
        <f>STDEV(Dados!E103:E132)*SQRT(252)</f>
        <v>0.16993479951950183</v>
      </c>
    </row>
    <row r="105" spans="1:3" ht="15" customHeight="1" x14ac:dyDescent="0.2">
      <c r="A105" s="11">
        <f>Dados!A133</f>
        <v>44635</v>
      </c>
      <c r="B105" s="12">
        <f>STDEV(Dados!D104:D133)*SQRT(252)</f>
        <v>0.21057425190106607</v>
      </c>
      <c r="C105" s="12">
        <f>STDEV(Dados!E104:E133)*SQRT(252)</f>
        <v>0.17082428847157757</v>
      </c>
    </row>
    <row r="106" spans="1:3" ht="15" customHeight="1" x14ac:dyDescent="0.2">
      <c r="A106" s="11">
        <f>Dados!A134</f>
        <v>44636</v>
      </c>
      <c r="B106" s="12">
        <f>STDEV(Dados!D105:D134)*SQRT(252)</f>
        <v>0.2185565077826582</v>
      </c>
      <c r="C106" s="12">
        <f>STDEV(Dados!E105:E134)*SQRT(252)</f>
        <v>0.18069897434560009</v>
      </c>
    </row>
    <row r="107" spans="1:3" ht="15" customHeight="1" x14ac:dyDescent="0.2">
      <c r="A107" s="11">
        <f>Dados!A135</f>
        <v>44637</v>
      </c>
      <c r="B107" s="12">
        <f>STDEV(Dados!D106:D135)*SQRT(252)</f>
        <v>0.22698637772414204</v>
      </c>
      <c r="C107" s="12">
        <f>STDEV(Dados!E106:E135)*SQRT(252)</f>
        <v>0.18584928760362662</v>
      </c>
    </row>
    <row r="108" spans="1:3" ht="15" customHeight="1" x14ac:dyDescent="0.2">
      <c r="A108" s="11">
        <f>Dados!A136</f>
        <v>44638</v>
      </c>
      <c r="B108" s="12">
        <f>STDEV(Dados!D107:D136)*SQRT(252)</f>
        <v>0.22907875631279864</v>
      </c>
      <c r="C108" s="12">
        <f>STDEV(Dados!E107:E136)*SQRT(252)</f>
        <v>0.19075315946167204</v>
      </c>
    </row>
    <row r="109" spans="1:3" ht="15" customHeight="1" x14ac:dyDescent="0.2">
      <c r="A109" s="11">
        <f>Dados!A137</f>
        <v>44641</v>
      </c>
      <c r="B109" s="12">
        <f>STDEV(Dados!D108:D137)*SQRT(252)</f>
        <v>0.22903875798289214</v>
      </c>
      <c r="C109" s="12">
        <f>STDEV(Dados!E108:E137)*SQRT(252)</f>
        <v>0.1914155460551269</v>
      </c>
    </row>
    <row r="110" spans="1:3" ht="15" customHeight="1" x14ac:dyDescent="0.2">
      <c r="A110" s="11">
        <f>Dados!A138</f>
        <v>44642</v>
      </c>
      <c r="B110" s="12">
        <f>STDEV(Dados!D109:D138)*SQRT(252)</f>
        <v>0.23407204463771336</v>
      </c>
      <c r="C110" s="12">
        <f>STDEV(Dados!E109:E138)*SQRT(252)</f>
        <v>0.19265197640391757</v>
      </c>
    </row>
    <row r="111" spans="1:3" ht="15" customHeight="1" x14ac:dyDescent="0.2">
      <c r="A111" s="11">
        <f>Dados!A139</f>
        <v>44643</v>
      </c>
      <c r="B111" s="12">
        <f>STDEV(Dados!D110:D139)*SQRT(252)</f>
        <v>0.23251627142124051</v>
      </c>
      <c r="C111" s="12">
        <f>STDEV(Dados!E110:E139)*SQRT(252)</f>
        <v>0.19233555874440819</v>
      </c>
    </row>
    <row r="112" spans="1:3" ht="15" customHeight="1" x14ac:dyDescent="0.2">
      <c r="A112" s="11">
        <f>Dados!A140</f>
        <v>44644</v>
      </c>
      <c r="B112" s="12">
        <f>STDEV(Dados!D111:D140)*SQRT(252)</f>
        <v>0.23942264894625334</v>
      </c>
      <c r="C112" s="12">
        <f>STDEV(Dados!E111:E140)*SQRT(252)</f>
        <v>0.19541112584589954</v>
      </c>
    </row>
    <row r="113" spans="1:3" ht="15" customHeight="1" x14ac:dyDescent="0.2">
      <c r="A113" s="11">
        <f>Dados!A141</f>
        <v>44645</v>
      </c>
      <c r="B113" s="12">
        <f>STDEV(Dados!D112:D141)*SQRT(252)</f>
        <v>0.23947259866266157</v>
      </c>
      <c r="C113" s="12">
        <f>STDEV(Dados!E112:E141)*SQRT(252)</f>
        <v>0.19547530374076502</v>
      </c>
    </row>
    <row r="114" spans="1:3" ht="15" customHeight="1" x14ac:dyDescent="0.2">
      <c r="A114" s="11">
        <f>Dados!A142</f>
        <v>44648</v>
      </c>
      <c r="B114" s="12">
        <f>STDEV(Dados!D113:D142)*SQRT(252)</f>
        <v>0.2395548055505842</v>
      </c>
      <c r="C114" s="12">
        <f>STDEV(Dados!E113:E142)*SQRT(252)</f>
        <v>0.19506262665131469</v>
      </c>
    </row>
    <row r="115" spans="1:3" ht="15" customHeight="1" x14ac:dyDescent="0.2">
      <c r="A115" s="11">
        <f>Dados!A143</f>
        <v>44649</v>
      </c>
      <c r="B115" s="12">
        <f>STDEV(Dados!D114:D143)*SQRT(252)</f>
        <v>0.24197392940595658</v>
      </c>
      <c r="C115" s="12">
        <f>STDEV(Dados!E114:E143)*SQRT(252)</f>
        <v>0.19685756960949766</v>
      </c>
    </row>
    <row r="116" spans="1:3" ht="15" customHeight="1" x14ac:dyDescent="0.2">
      <c r="A116" s="11">
        <f>Dados!A144</f>
        <v>44650</v>
      </c>
      <c r="B116" s="12">
        <f>STDEV(Dados!D115:D144)*SQRT(252)</f>
        <v>0.24211368424915844</v>
      </c>
      <c r="C116" s="12">
        <f>STDEV(Dados!E115:E144)*SQRT(252)</f>
        <v>0.19683433431631198</v>
      </c>
    </row>
    <row r="117" spans="1:3" ht="15" customHeight="1" x14ac:dyDescent="0.2">
      <c r="A117" s="11">
        <f>Dados!A145</f>
        <v>44651</v>
      </c>
      <c r="B117" s="12">
        <f>STDEV(Dados!D116:D145)*SQRT(252)</f>
        <v>0.23723945842381164</v>
      </c>
      <c r="C117" s="12">
        <f>STDEV(Dados!E116:E145)*SQRT(252)</f>
        <v>0.1962263928689166</v>
      </c>
    </row>
    <row r="118" spans="1:3" ht="15" customHeight="1" x14ac:dyDescent="0.2">
      <c r="A118" s="11">
        <f>Dados!A146</f>
        <v>44652</v>
      </c>
      <c r="B118" s="12">
        <f>STDEV(Dados!D117:D146)*SQRT(252)</f>
        <v>0.23999811702062054</v>
      </c>
      <c r="C118" s="12">
        <f>STDEV(Dados!E117:E146)*SQRT(252)</f>
        <v>0.19902472142935682</v>
      </c>
    </row>
    <row r="119" spans="1:3" ht="15" customHeight="1" x14ac:dyDescent="0.2">
      <c r="A119" s="11">
        <f>Dados!A147</f>
        <v>44655</v>
      </c>
      <c r="B119" s="12">
        <f>STDEV(Dados!D118:D147)*SQRT(252)</f>
        <v>0.23810743495700343</v>
      </c>
      <c r="C119" s="12">
        <f>STDEV(Dados!E118:E147)*SQRT(252)</f>
        <v>0.19345564835127069</v>
      </c>
    </row>
    <row r="120" spans="1:3" ht="15" customHeight="1" x14ac:dyDescent="0.2">
      <c r="A120" s="11">
        <f>Dados!A148</f>
        <v>44656</v>
      </c>
      <c r="B120" s="12">
        <f>STDEV(Dados!D119:D148)*SQRT(252)</f>
        <v>0.24440718339047016</v>
      </c>
      <c r="C120" s="12">
        <f>STDEV(Dados!E119:E148)*SQRT(252)</f>
        <v>0.20268896435557121</v>
      </c>
    </row>
    <row r="121" spans="1:3" ht="15" customHeight="1" x14ac:dyDescent="0.2">
      <c r="A121" s="11">
        <f>Dados!A149</f>
        <v>44657</v>
      </c>
      <c r="B121" s="12">
        <f>STDEV(Dados!D120:D149)*SQRT(252)</f>
        <v>0.23997935064595477</v>
      </c>
      <c r="C121" s="12">
        <f>STDEV(Dados!E120:E149)*SQRT(252)</f>
        <v>0.20070269614036465</v>
      </c>
    </row>
    <row r="122" spans="1:3" ht="15" customHeight="1" x14ac:dyDescent="0.2">
      <c r="A122" s="11">
        <f>Dados!A150</f>
        <v>44658</v>
      </c>
      <c r="B122" s="12">
        <f>STDEV(Dados!D121:D150)*SQRT(252)</f>
        <v>0.23919838275331201</v>
      </c>
      <c r="C122" s="12">
        <f>STDEV(Dados!E121:E150)*SQRT(252)</f>
        <v>0.19937343715324554</v>
      </c>
    </row>
    <row r="123" spans="1:3" ht="15" customHeight="1" x14ac:dyDescent="0.2">
      <c r="A123" s="11">
        <f>Dados!A151</f>
        <v>44659</v>
      </c>
      <c r="B123" s="12">
        <f>STDEV(Dados!D122:D151)*SQRT(252)</f>
        <v>0.23785450553640217</v>
      </c>
      <c r="C123" s="12">
        <f>STDEV(Dados!E122:E151)*SQRT(252)</f>
        <v>0.1982195635415131</v>
      </c>
    </row>
    <row r="124" spans="1:3" ht="15" customHeight="1" x14ac:dyDescent="0.2">
      <c r="A124" s="11">
        <f>Dados!A152</f>
        <v>44662</v>
      </c>
      <c r="B124" s="12">
        <f>STDEV(Dados!D123:D152)*SQRT(252)</f>
        <v>0.24049698425146315</v>
      </c>
      <c r="C124" s="12">
        <f>STDEV(Dados!E123:E152)*SQRT(252)</f>
        <v>0.20144702117387603</v>
      </c>
    </row>
    <row r="125" spans="1:3" ht="15" customHeight="1" x14ac:dyDescent="0.2">
      <c r="A125" s="11">
        <f>Dados!A153</f>
        <v>44663</v>
      </c>
      <c r="B125" s="12">
        <f>STDEV(Dados!D124:D153)*SQRT(252)</f>
        <v>0.24211249988435896</v>
      </c>
      <c r="C125" s="12">
        <f>STDEV(Dados!E124:E153)*SQRT(252)</f>
        <v>0.19945352102142913</v>
      </c>
    </row>
    <row r="126" spans="1:3" ht="15" customHeight="1" x14ac:dyDescent="0.2">
      <c r="A126" s="11">
        <f>Dados!A154</f>
        <v>44664</v>
      </c>
      <c r="B126" s="12">
        <f>STDEV(Dados!D125:D154)*SQRT(252)</f>
        <v>0.2424883391931667</v>
      </c>
      <c r="C126" s="12">
        <f>STDEV(Dados!E125:E154)*SQRT(252)</f>
        <v>0.19346843309658449</v>
      </c>
    </row>
    <row r="127" spans="1:3" ht="15" customHeight="1" x14ac:dyDescent="0.2">
      <c r="A127" s="11">
        <f>Dados!A155</f>
        <v>44665</v>
      </c>
      <c r="B127" s="12">
        <f>STDEV(Dados!D126:D155)*SQRT(252)</f>
        <v>0.24256993580232727</v>
      </c>
      <c r="C127" s="12">
        <f>STDEV(Dados!E126:E155)*SQRT(252)</f>
        <v>0.19414914763828398</v>
      </c>
    </row>
    <row r="128" spans="1:3" ht="15" customHeight="1" x14ac:dyDescent="0.2">
      <c r="A128" s="11">
        <f>Dados!A156</f>
        <v>44669</v>
      </c>
      <c r="B128" s="12">
        <f>STDEV(Dados!D127:D156)*SQRT(252)</f>
        <v>0.23866233405313417</v>
      </c>
      <c r="C128" s="12">
        <f>STDEV(Dados!E127:E156)*SQRT(252)</f>
        <v>0.19371844382711967</v>
      </c>
    </row>
    <row r="129" spans="1:3" ht="15" customHeight="1" x14ac:dyDescent="0.2">
      <c r="A129" s="11">
        <f>Dados!A157</f>
        <v>44670</v>
      </c>
      <c r="B129" s="12">
        <f>STDEV(Dados!D128:D157)*SQRT(252)</f>
        <v>0.21042037103050612</v>
      </c>
      <c r="C129" s="12">
        <f>STDEV(Dados!E128:E157)*SQRT(252)</f>
        <v>0.17861046490892268</v>
      </c>
    </row>
    <row r="130" spans="1:3" ht="15" customHeight="1" x14ac:dyDescent="0.2">
      <c r="A130" s="11">
        <f>Dados!A158</f>
        <v>44671</v>
      </c>
      <c r="B130" s="12">
        <f>STDEV(Dados!D129:D158)*SQRT(252)</f>
        <v>0.21105512452854672</v>
      </c>
      <c r="C130" s="12">
        <f>STDEV(Dados!E129:E158)*SQRT(252)</f>
        <v>0.179379261815972</v>
      </c>
    </row>
    <row r="131" spans="1:3" ht="15" customHeight="1" x14ac:dyDescent="0.2">
      <c r="A131" s="11">
        <f>Dados!A159</f>
        <v>44673</v>
      </c>
      <c r="B131" s="12">
        <f>STDEV(Dados!D130:D159)*SQRT(252)</f>
        <v>0.18797702512360828</v>
      </c>
      <c r="C131" s="12">
        <f>STDEV(Dados!E130:E159)*SQRT(252)</f>
        <v>0.18581339019284276</v>
      </c>
    </row>
    <row r="132" spans="1:3" ht="15" customHeight="1" x14ac:dyDescent="0.2">
      <c r="A132" s="11">
        <f>Dados!A160</f>
        <v>44676</v>
      </c>
      <c r="B132" s="12">
        <f>STDEV(Dados!D131:D160)*SQRT(252)</f>
        <v>0.18295384463232578</v>
      </c>
      <c r="C132" s="12">
        <f>STDEV(Dados!E131:E160)*SQRT(252)</f>
        <v>0.18594681549679618</v>
      </c>
    </row>
    <row r="133" spans="1:3" ht="15" customHeight="1" x14ac:dyDescent="0.2">
      <c r="A133" s="11">
        <f>Dados!A161</f>
        <v>44677</v>
      </c>
      <c r="B133" s="12">
        <f>STDEV(Dados!D132:D161)*SQRT(252)</f>
        <v>0.19250651113994866</v>
      </c>
      <c r="C133" s="12">
        <f>STDEV(Dados!E132:E161)*SQRT(252)</f>
        <v>0.19057247213336367</v>
      </c>
    </row>
    <row r="134" spans="1:3" ht="15" customHeight="1" x14ac:dyDescent="0.2">
      <c r="A134" s="11">
        <f>Dados!A162</f>
        <v>44678</v>
      </c>
      <c r="B134" s="12">
        <f>STDEV(Dados!D133:D162)*SQRT(252)</f>
        <v>0.19182875143637823</v>
      </c>
      <c r="C134" s="12">
        <f>STDEV(Dados!E133:E162)*SQRT(252)</f>
        <v>0.18787342094956885</v>
      </c>
    </row>
    <row r="135" spans="1:3" ht="15" customHeight="1" x14ac:dyDescent="0.2">
      <c r="A135" s="11">
        <f>Dados!A163</f>
        <v>44679</v>
      </c>
      <c r="B135" s="12">
        <f>STDEV(Dados!D134:D163)*SQRT(252)</f>
        <v>0.19141828614060921</v>
      </c>
      <c r="C135" s="12">
        <f>STDEV(Dados!E134:E163)*SQRT(252)</f>
        <v>0.18664377692128287</v>
      </c>
    </row>
    <row r="136" spans="1:3" ht="15" customHeight="1" x14ac:dyDescent="0.2">
      <c r="A136" s="11">
        <f>Dados!A164</f>
        <v>44680</v>
      </c>
      <c r="B136" s="12">
        <f>STDEV(Dados!D135:D164)*SQRT(252)</f>
        <v>0.19327788539954274</v>
      </c>
      <c r="C136" s="12">
        <f>STDEV(Dados!E135:E164)*SQRT(252)</f>
        <v>0.18530191042101213</v>
      </c>
    </row>
    <row r="137" spans="1:3" ht="15" customHeight="1" x14ac:dyDescent="0.2">
      <c r="A137" s="11">
        <f>Dados!A165</f>
        <v>44683</v>
      </c>
      <c r="B137" s="12">
        <f>STDEV(Dados!D136:D165)*SQRT(252)</f>
        <v>0.18725476056632173</v>
      </c>
      <c r="C137" s="12">
        <f>STDEV(Dados!E136:E165)*SQRT(252)</f>
        <v>0.1791169989431825</v>
      </c>
    </row>
    <row r="138" spans="1:3" ht="15" customHeight="1" x14ac:dyDescent="0.2">
      <c r="A138" s="11">
        <f>Dados!A166</f>
        <v>44684</v>
      </c>
      <c r="B138" s="12">
        <f>STDEV(Dados!D137:D166)*SQRT(252)</f>
        <v>0.17718538292423588</v>
      </c>
      <c r="C138" s="12">
        <f>STDEV(Dados!E137:E166)*SQRT(252)</f>
        <v>0.16715380628883389</v>
      </c>
    </row>
    <row r="139" spans="1:3" ht="15" customHeight="1" x14ac:dyDescent="0.2">
      <c r="A139" s="11">
        <f>Dados!A167</f>
        <v>44685</v>
      </c>
      <c r="B139" s="12">
        <f>STDEV(Dados!D138:D167)*SQRT(252)</f>
        <v>0.18673842115150827</v>
      </c>
      <c r="C139" s="12">
        <f>STDEV(Dados!E138:E167)*SQRT(252)</f>
        <v>0.17428559923491754</v>
      </c>
    </row>
    <row r="140" spans="1:3" ht="15" customHeight="1" x14ac:dyDescent="0.2">
      <c r="A140" s="11">
        <f>Dados!A168</f>
        <v>44686</v>
      </c>
      <c r="B140" s="12">
        <f>STDEV(Dados!D139:D168)*SQRT(252)</f>
        <v>0.19677605674971962</v>
      </c>
      <c r="C140" s="12">
        <f>STDEV(Dados!E139:E168)*SQRT(252)</f>
        <v>0.18618608086748359</v>
      </c>
    </row>
    <row r="141" spans="1:3" ht="15" customHeight="1" x14ac:dyDescent="0.2">
      <c r="A141" s="11">
        <f>Dados!A169</f>
        <v>44687</v>
      </c>
      <c r="B141" s="12">
        <f>STDEV(Dados!D140:D169)*SQRT(252)</f>
        <v>0.19653195829855938</v>
      </c>
      <c r="C141" s="12">
        <f>STDEV(Dados!E140:E169)*SQRT(252)</f>
        <v>0.18564668808690474</v>
      </c>
    </row>
    <row r="142" spans="1:3" ht="15" customHeight="1" x14ac:dyDescent="0.2">
      <c r="A142" s="11">
        <f>Dados!A170</f>
        <v>44690</v>
      </c>
      <c r="B142" s="12">
        <f>STDEV(Dados!D141:D170)*SQRT(252)</f>
        <v>0.18319339682553881</v>
      </c>
      <c r="C142" s="12">
        <f>STDEV(Dados!E141:E170)*SQRT(252)</f>
        <v>0.18278136381673876</v>
      </c>
    </row>
    <row r="143" spans="1:3" ht="15" customHeight="1" x14ac:dyDescent="0.2">
      <c r="A143" s="11">
        <f>Dados!A171</f>
        <v>44691</v>
      </c>
      <c r="B143" s="12">
        <f>STDEV(Dados!D142:D171)*SQRT(252)</f>
        <v>0.18240890612925223</v>
      </c>
      <c r="C143" s="12">
        <f>STDEV(Dados!E142:E171)*SQRT(252)</f>
        <v>0.18246222826669262</v>
      </c>
    </row>
    <row r="144" spans="1:3" ht="15" customHeight="1" x14ac:dyDescent="0.2">
      <c r="A144" s="11">
        <f>Dados!A172</f>
        <v>44692</v>
      </c>
      <c r="B144" s="12">
        <f>STDEV(Dados!D143:D172)*SQRT(252)</f>
        <v>0.18481719357365631</v>
      </c>
      <c r="C144" s="12">
        <f>STDEV(Dados!E143:E172)*SQRT(252)</f>
        <v>0.1891165028628583</v>
      </c>
    </row>
    <row r="145" spans="1:3" ht="15" customHeight="1" x14ac:dyDescent="0.2">
      <c r="A145" s="11">
        <f>Dados!A173</f>
        <v>44693</v>
      </c>
      <c r="B145" s="12">
        <f>STDEV(Dados!D144:D173)*SQRT(252)</f>
        <v>0.19074183580557469</v>
      </c>
      <c r="C145" s="12">
        <f>STDEV(Dados!E144:E173)*SQRT(252)</f>
        <v>0.19027216050363271</v>
      </c>
    </row>
    <row r="146" spans="1:3" ht="15" customHeight="1" x14ac:dyDescent="0.2">
      <c r="A146" s="11">
        <f>Dados!A174</f>
        <v>44694</v>
      </c>
      <c r="B146" s="12">
        <f>STDEV(Dados!D145:D174)*SQRT(252)</f>
        <v>0.19717028832593023</v>
      </c>
      <c r="C146" s="12">
        <f>STDEV(Dados!E145:E174)*SQRT(252)</f>
        <v>0.19498876658920569</v>
      </c>
    </row>
    <row r="147" spans="1:3" ht="15" customHeight="1" x14ac:dyDescent="0.2">
      <c r="A147" s="11">
        <f>Dados!A175</f>
        <v>44697</v>
      </c>
      <c r="B147" s="12">
        <f>STDEV(Dados!D146:D175)*SQRT(252)</f>
        <v>0.20115794040326421</v>
      </c>
      <c r="C147" s="12">
        <f>STDEV(Dados!E146:E175)*SQRT(252)</f>
        <v>0.20045721079462428</v>
      </c>
    </row>
    <row r="148" spans="1:3" ht="15" customHeight="1" x14ac:dyDescent="0.2">
      <c r="A148" s="11">
        <f>Dados!A176</f>
        <v>44698</v>
      </c>
      <c r="B148" s="12">
        <f>STDEV(Dados!D147:D176)*SQRT(252)</f>
        <v>0.2012572350277726</v>
      </c>
      <c r="C148" s="12">
        <f>STDEV(Dados!E147:E176)*SQRT(252)</f>
        <v>0.19609150729719732</v>
      </c>
    </row>
    <row r="149" spans="1:3" ht="15" customHeight="1" x14ac:dyDescent="0.2">
      <c r="A149" s="11">
        <f>Dados!A177</f>
        <v>44699</v>
      </c>
      <c r="B149" s="12">
        <f>STDEV(Dados!D148:D177)*SQRT(252)</f>
        <v>0.21130588308572273</v>
      </c>
      <c r="C149" s="12">
        <f>STDEV(Dados!E148:E177)*SQRT(252)</f>
        <v>0.20435602423066987</v>
      </c>
    </row>
    <row r="150" spans="1:3" ht="15" customHeight="1" x14ac:dyDescent="0.2">
      <c r="A150" s="11">
        <f>Dados!A178</f>
        <v>44700</v>
      </c>
      <c r="B150" s="12">
        <f>STDEV(Dados!D149:D178)*SQRT(252)</f>
        <v>0.20687289766783193</v>
      </c>
      <c r="C150" s="12">
        <f>STDEV(Dados!E149:E178)*SQRT(252)</f>
        <v>0.20150863723237403</v>
      </c>
    </row>
    <row r="151" spans="1:3" ht="15" customHeight="1" x14ac:dyDescent="0.2">
      <c r="A151" s="11">
        <f>Dados!A179</f>
        <v>44701</v>
      </c>
      <c r="B151" s="12">
        <f>STDEV(Dados!D150:D179)*SQRT(252)</f>
        <v>0.21117890498677686</v>
      </c>
      <c r="C151" s="12">
        <f>STDEV(Dados!E150:E179)*SQRT(252)</f>
        <v>0.20749605033917237</v>
      </c>
    </row>
    <row r="152" spans="1:3" ht="15" customHeight="1" x14ac:dyDescent="0.2">
      <c r="A152" s="11">
        <f>Dados!A180</f>
        <v>44704</v>
      </c>
      <c r="B152" s="12">
        <f>STDEV(Dados!D151:D180)*SQRT(252)</f>
        <v>0.2163004940213609</v>
      </c>
      <c r="C152" s="12">
        <f>STDEV(Dados!E151:E180)*SQRT(252)</f>
        <v>0.21413093651143689</v>
      </c>
    </row>
    <row r="153" spans="1:3" ht="15" customHeight="1" x14ac:dyDescent="0.2">
      <c r="A153" s="11">
        <f>Dados!A181</f>
        <v>44705</v>
      </c>
      <c r="B153" s="12">
        <f>STDEV(Dados!D152:D181)*SQRT(252)</f>
        <v>0.21656774065513318</v>
      </c>
      <c r="C153" s="12">
        <f>STDEV(Dados!E152:E181)*SQRT(252)</f>
        <v>0.21444349707321028</v>
      </c>
    </row>
    <row r="154" spans="1:3" ht="15" customHeight="1" x14ac:dyDescent="0.2">
      <c r="A154" s="11">
        <f>Dados!A182</f>
        <v>44706</v>
      </c>
      <c r="B154" s="12">
        <f>STDEV(Dados!D153:D182)*SQRT(252)</f>
        <v>0.21486362152090979</v>
      </c>
      <c r="C154" s="12">
        <f>STDEV(Dados!E153:E182)*SQRT(252)</f>
        <v>0.21266354104547647</v>
      </c>
    </row>
    <row r="155" spans="1:3" ht="15" customHeight="1" x14ac:dyDescent="0.2">
      <c r="A155" s="11">
        <f>Dados!A183</f>
        <v>44707</v>
      </c>
      <c r="B155" s="12">
        <f>STDEV(Dados!D154:D183)*SQRT(252)</f>
        <v>0.21884181850106305</v>
      </c>
      <c r="C155" s="12">
        <f>STDEV(Dados!E154:E183)*SQRT(252)</f>
        <v>0.21568727368469906</v>
      </c>
    </row>
    <row r="156" spans="1:3" ht="15" customHeight="1" x14ac:dyDescent="0.2">
      <c r="A156" s="11">
        <f>Dados!A184</f>
        <v>44708</v>
      </c>
      <c r="B156" s="12">
        <f>STDEV(Dados!D155:D184)*SQRT(252)</f>
        <v>0.21808719624987405</v>
      </c>
      <c r="C156" s="12">
        <f>STDEV(Dados!E155:E184)*SQRT(252)</f>
        <v>0.21482424011783993</v>
      </c>
    </row>
    <row r="157" spans="1:3" ht="15" customHeight="1" x14ac:dyDescent="0.2">
      <c r="A157" s="11">
        <f>Dados!A185</f>
        <v>44711</v>
      </c>
      <c r="B157" s="12">
        <f>STDEV(Dados!D156:D185)*SQRT(252)</f>
        <v>0.21993072227216418</v>
      </c>
      <c r="C157" s="12">
        <f>STDEV(Dados!E156:E185)*SQRT(252)</f>
        <v>0.21545619583110431</v>
      </c>
    </row>
    <row r="158" spans="1:3" ht="15" customHeight="1" x14ac:dyDescent="0.2">
      <c r="A158" s="11">
        <f>Dados!A186</f>
        <v>44712</v>
      </c>
      <c r="B158" s="12">
        <f>STDEV(Dados!D157:D186)*SQRT(252)</f>
        <v>0.2207498254915064</v>
      </c>
      <c r="C158" s="12">
        <f>STDEV(Dados!E157:E186)*SQRT(252)</f>
        <v>0.21565532936353293</v>
      </c>
    </row>
    <row r="159" spans="1:3" ht="15" customHeight="1" x14ac:dyDescent="0.2">
      <c r="A159" s="11">
        <f>Dados!A187</f>
        <v>44713</v>
      </c>
      <c r="B159" s="12">
        <f>STDEV(Dados!D158:D187)*SQRT(252)</f>
        <v>0.22087310389170989</v>
      </c>
      <c r="C159" s="12">
        <f>STDEV(Dados!E158:E187)*SQRT(252)</f>
        <v>0.21531814987632186</v>
      </c>
    </row>
    <row r="160" spans="1:3" ht="15" customHeight="1" x14ac:dyDescent="0.2">
      <c r="A160" s="11">
        <f>Dados!A188</f>
        <v>44714</v>
      </c>
      <c r="B160" s="12">
        <f>STDEV(Dados!D159:D188)*SQRT(252)</f>
        <v>0.2229008933586657</v>
      </c>
      <c r="C160" s="12">
        <f>STDEV(Dados!E159:E188)*SQRT(252)</f>
        <v>0.21677210956189163</v>
      </c>
    </row>
    <row r="161" spans="1:3" ht="15" customHeight="1" x14ac:dyDescent="0.2">
      <c r="A161" s="11">
        <f>Dados!A189</f>
        <v>44715</v>
      </c>
      <c r="B161" s="12">
        <f>STDEV(Dados!D160:D189)*SQRT(252)</f>
        <v>0.21877421649048548</v>
      </c>
      <c r="C161" s="12">
        <f>STDEV(Dados!E160:E189)*SQRT(252)</f>
        <v>0.20233245975201808</v>
      </c>
    </row>
    <row r="162" spans="1:3" ht="15" customHeight="1" x14ac:dyDescent="0.2">
      <c r="A162" s="11">
        <f>Dados!A190</f>
        <v>44718</v>
      </c>
      <c r="B162" s="12">
        <f>STDEV(Dados!D161:D190)*SQRT(252)</f>
        <v>0.22056989847963673</v>
      </c>
      <c r="C162" s="12">
        <f>STDEV(Dados!E161:E190)*SQRT(252)</f>
        <v>0.2035164510564404</v>
      </c>
    </row>
    <row r="163" spans="1:3" ht="15" customHeight="1" x14ac:dyDescent="0.2">
      <c r="A163" s="11">
        <f>Dados!A191</f>
        <v>44719</v>
      </c>
      <c r="B163" s="12">
        <f>STDEV(Dados!D162:D191)*SQRT(252)</f>
        <v>0.20805249217715802</v>
      </c>
      <c r="C163" s="12">
        <f>STDEV(Dados!E162:E191)*SQRT(252)</f>
        <v>0.19213924239194133</v>
      </c>
    </row>
    <row r="164" spans="1:3" ht="15" customHeight="1" x14ac:dyDescent="0.2">
      <c r="A164" s="11">
        <f>Dados!A192</f>
        <v>44720</v>
      </c>
      <c r="B164" s="12">
        <f>STDEV(Dados!D163:D192)*SQRT(252)</f>
        <v>0.21178877206292993</v>
      </c>
      <c r="C164" s="12">
        <f>STDEV(Dados!E163:E192)*SQRT(252)</f>
        <v>0.19529577139384668</v>
      </c>
    </row>
    <row r="165" spans="1:3" ht="15" customHeight="1" x14ac:dyDescent="0.2">
      <c r="A165" s="11">
        <f>Dados!A193</f>
        <v>44721</v>
      </c>
      <c r="B165" s="12">
        <f>STDEV(Dados!D164:D193)*SQRT(252)</f>
        <v>0.21198000669779213</v>
      </c>
      <c r="C165" s="12">
        <f>STDEV(Dados!E164:E193)*SQRT(252)</f>
        <v>0.19735240962392425</v>
      </c>
    </row>
    <row r="166" spans="1:3" ht="15" customHeight="1" x14ac:dyDescent="0.2">
      <c r="A166" s="11">
        <f>Dados!A194</f>
        <v>44722</v>
      </c>
      <c r="B166" s="12">
        <f>STDEV(Dados!D165:D194)*SQRT(252)</f>
        <v>0.20888617376631807</v>
      </c>
      <c r="C166" s="12">
        <f>STDEV(Dados!E165:E194)*SQRT(252)</f>
        <v>0.19478458805224974</v>
      </c>
    </row>
    <row r="167" spans="1:3" ht="15" customHeight="1" x14ac:dyDescent="0.2">
      <c r="A167" s="11">
        <f>Dados!A195</f>
        <v>44725</v>
      </c>
      <c r="B167" s="12">
        <f>STDEV(Dados!D166:D195)*SQRT(252)</f>
        <v>0.21942498067005906</v>
      </c>
      <c r="C167" s="12">
        <f>STDEV(Dados!E166:E195)*SQRT(252)</f>
        <v>0.20777969036868227</v>
      </c>
    </row>
    <row r="168" spans="1:3" ht="15" customHeight="1" x14ac:dyDescent="0.2">
      <c r="A168" s="11">
        <f>Dados!A196</f>
        <v>44726</v>
      </c>
      <c r="B168" s="12">
        <f>STDEV(Dados!D167:D196)*SQRT(252)</f>
        <v>0.22022427586960924</v>
      </c>
      <c r="C168" s="12">
        <f>STDEV(Dados!E167:E196)*SQRT(252)</f>
        <v>0.20809065978843394</v>
      </c>
    </row>
    <row r="169" spans="1:3" ht="15" customHeight="1" x14ac:dyDescent="0.2">
      <c r="A169" s="11">
        <f>Dados!A197</f>
        <v>44727</v>
      </c>
      <c r="B169" s="12">
        <f>STDEV(Dados!D168:D197)*SQRT(252)</f>
        <v>0.21515333122544839</v>
      </c>
      <c r="C169" s="12">
        <f>STDEV(Dados!E168:E197)*SQRT(252)</f>
        <v>0.20251225335237527</v>
      </c>
    </row>
    <row r="170" spans="1:3" ht="15" customHeight="1" x14ac:dyDescent="0.2">
      <c r="A170" s="11">
        <f>Dados!A198</f>
        <v>44729</v>
      </c>
      <c r="B170" s="12">
        <f>STDEV(Dados!D169:D198)*SQRT(252)</f>
        <v>0.20394355922164722</v>
      </c>
      <c r="C170" s="12">
        <f>STDEV(Dados!E169:E198)*SQRT(252)</f>
        <v>0.20364612233857035</v>
      </c>
    </row>
    <row r="171" spans="1:3" ht="15" customHeight="1" x14ac:dyDescent="0.2">
      <c r="A171" s="11">
        <f>Dados!A199</f>
        <v>44732</v>
      </c>
      <c r="B171" s="12">
        <f>STDEV(Dados!D170:D199)*SQRT(252)</f>
        <v>0.20501952473466009</v>
      </c>
      <c r="C171" s="12">
        <f>STDEV(Dados!E170:E199)*SQRT(252)</f>
        <v>0.20373359311865907</v>
      </c>
    </row>
    <row r="172" spans="1:3" ht="15" customHeight="1" x14ac:dyDescent="0.2">
      <c r="A172" s="11">
        <f>Dados!A200</f>
        <v>44733</v>
      </c>
      <c r="B172" s="12">
        <f>STDEV(Dados!D171:D200)*SQRT(252)</f>
        <v>0.20305672634553443</v>
      </c>
      <c r="C172" s="12">
        <f>STDEV(Dados!E171:E200)*SQRT(252)</f>
        <v>0.19773642981143791</v>
      </c>
    </row>
    <row r="173" spans="1:3" ht="15" customHeight="1" x14ac:dyDescent="0.2">
      <c r="A173" s="11">
        <f>Dados!A201</f>
        <v>44734</v>
      </c>
      <c r="B173" s="12">
        <f>STDEV(Dados!D172:D201)*SQRT(252)</f>
        <v>0.20342930614671209</v>
      </c>
      <c r="C173" s="12">
        <f>STDEV(Dados!E172:E201)*SQRT(252)</f>
        <v>0.19774037132184358</v>
      </c>
    </row>
    <row r="174" spans="1:3" ht="15" customHeight="1" x14ac:dyDescent="0.2">
      <c r="A174" s="11">
        <f>Dados!A202</f>
        <v>44735</v>
      </c>
      <c r="B174" s="12">
        <f>STDEV(Dados!D173:D202)*SQRT(252)</f>
        <v>0.20350397318692659</v>
      </c>
      <c r="C174" s="12">
        <f>STDEV(Dados!E173:E202)*SQRT(252)</f>
        <v>0.19710428715569617</v>
      </c>
    </row>
    <row r="175" spans="1:3" ht="15" customHeight="1" x14ac:dyDescent="0.2">
      <c r="A175" s="11">
        <f>Dados!A203</f>
        <v>44736</v>
      </c>
      <c r="B175" s="12">
        <f>STDEV(Dados!D174:D203)*SQRT(252)</f>
        <v>0.1940085615791956</v>
      </c>
      <c r="C175" s="12">
        <f>STDEV(Dados!E174:E203)*SQRT(252)</f>
        <v>0.19394318597423688</v>
      </c>
    </row>
    <row r="176" spans="1:3" ht="15" customHeight="1" x14ac:dyDescent="0.2">
      <c r="A176" s="11">
        <f>Dados!A204</f>
        <v>44739</v>
      </c>
      <c r="B176" s="12">
        <f>STDEV(Dados!D175:D204)*SQRT(252)</f>
        <v>0.19307233259290385</v>
      </c>
      <c r="C176" s="12">
        <f>STDEV(Dados!E175:E204)*SQRT(252)</f>
        <v>0.20152146774038673</v>
      </c>
    </row>
    <row r="177" spans="1:3" ht="15" customHeight="1" x14ac:dyDescent="0.2">
      <c r="A177" s="11">
        <f>Dados!A205</f>
        <v>44740</v>
      </c>
      <c r="B177" s="12">
        <f>STDEV(Dados!D176:D205)*SQRT(252)</f>
        <v>0.18995114561950932</v>
      </c>
      <c r="C177" s="12">
        <f>STDEV(Dados!E176:E205)*SQRT(252)</f>
        <v>0.19701972733302983</v>
      </c>
    </row>
    <row r="178" spans="1:3" ht="15" customHeight="1" x14ac:dyDescent="0.2">
      <c r="A178" s="11">
        <f>Dados!A206</f>
        <v>44741</v>
      </c>
      <c r="B178" s="12">
        <f>STDEV(Dados!D177:D206)*SQRT(252)</f>
        <v>0.18477892094122658</v>
      </c>
      <c r="C178" s="12">
        <f>STDEV(Dados!E177:E206)*SQRT(252)</f>
        <v>0.1967521167294371</v>
      </c>
    </row>
    <row r="179" spans="1:3" ht="15" customHeight="1" x14ac:dyDescent="0.2">
      <c r="A179" s="11">
        <f>Dados!A207</f>
        <v>44742</v>
      </c>
      <c r="B179" s="12">
        <f>STDEV(Dados!D178:D207)*SQRT(252)</f>
        <v>0.17289423047279409</v>
      </c>
      <c r="C179" s="12">
        <f>STDEV(Dados!E178:E207)*SQRT(252)</f>
        <v>0.18838511028558555</v>
      </c>
    </row>
    <row r="180" spans="1:3" ht="15" customHeight="1" x14ac:dyDescent="0.2">
      <c r="A180" s="11">
        <f>Dados!A208</f>
        <v>44743</v>
      </c>
      <c r="B180" s="12">
        <f>STDEV(Dados!D179:D208)*SQRT(252)</f>
        <v>0.1753277845686543</v>
      </c>
      <c r="C180" s="12">
        <f>STDEV(Dados!E179:E208)*SQRT(252)</f>
        <v>0.18727114803291525</v>
      </c>
    </row>
    <row r="181" spans="1:3" ht="15" customHeight="1" x14ac:dyDescent="0.2">
      <c r="A181" s="11">
        <f>Dados!A209</f>
        <v>44746</v>
      </c>
      <c r="B181" s="12">
        <f>STDEV(Dados!D180:D209)*SQRT(252)</f>
        <v>0.1700745097855075</v>
      </c>
      <c r="C181" s="12">
        <f>STDEV(Dados!E180:E209)*SQRT(252)</f>
        <v>0.18072637818969386</v>
      </c>
    </row>
    <row r="182" spans="1:3" ht="15" customHeight="1" x14ac:dyDescent="0.2">
      <c r="A182" s="11">
        <f>Dados!A210</f>
        <v>44747</v>
      </c>
      <c r="B182" s="12">
        <f>STDEV(Dados!D181:D210)*SQRT(252)</f>
        <v>0.16223835746333704</v>
      </c>
      <c r="C182" s="12">
        <f>STDEV(Dados!E181:E210)*SQRT(252)</f>
        <v>0.17032650071530936</v>
      </c>
    </row>
    <row r="183" spans="1:3" ht="15" customHeight="1" x14ac:dyDescent="0.2">
      <c r="A183" s="11">
        <f>Dados!A211</f>
        <v>44748</v>
      </c>
      <c r="B183" s="12">
        <f>STDEV(Dados!D182:D211)*SQRT(252)</f>
        <v>0.16329472008944279</v>
      </c>
      <c r="C183" s="12">
        <f>STDEV(Dados!E182:E211)*SQRT(252)</f>
        <v>0.17110595720395677</v>
      </c>
    </row>
    <row r="184" spans="1:3" ht="15" customHeight="1" x14ac:dyDescent="0.2">
      <c r="A184" s="11">
        <f>Dados!A212</f>
        <v>44749</v>
      </c>
      <c r="B184" s="12">
        <f>STDEV(Dados!D183:D212)*SQRT(252)</f>
        <v>0.17343018067597304</v>
      </c>
      <c r="C184" s="12">
        <f>STDEV(Dados!E183:E212)*SQRT(252)</f>
        <v>0.18444362225288224</v>
      </c>
    </row>
    <row r="185" spans="1:3" ht="15" customHeight="1" x14ac:dyDescent="0.2">
      <c r="A185" s="11">
        <f>Dados!A213</f>
        <v>44750</v>
      </c>
      <c r="B185" s="12">
        <f>STDEV(Dados!D184:D213)*SQRT(252)</f>
        <v>0.16552717090391136</v>
      </c>
      <c r="C185" s="12">
        <f>STDEV(Dados!E184:E213)*SQRT(252)</f>
        <v>0.17897531596141558</v>
      </c>
    </row>
    <row r="186" spans="1:3" ht="15" customHeight="1" x14ac:dyDescent="0.2">
      <c r="A186" s="11">
        <f>Dados!A214</f>
        <v>44753</v>
      </c>
      <c r="B186" s="12">
        <f>STDEV(Dados!D185:D214)*SQRT(252)</f>
        <v>0.17239609010025742</v>
      </c>
      <c r="C186" s="12">
        <f>STDEV(Dados!E185:E214)*SQRT(252)</f>
        <v>0.1853293935142041</v>
      </c>
    </row>
    <row r="187" spans="1:3" ht="15" customHeight="1" x14ac:dyDescent="0.2">
      <c r="A187" s="11">
        <f>Dados!A215</f>
        <v>44754</v>
      </c>
      <c r="B187" s="12">
        <f>STDEV(Dados!D186:D215)*SQRT(252)</f>
        <v>0.17224739022402114</v>
      </c>
      <c r="C187" s="12">
        <f>STDEV(Dados!E186:E215)*SQRT(252)</f>
        <v>0.18550794142888713</v>
      </c>
    </row>
    <row r="188" spans="1:3" ht="15" customHeight="1" x14ac:dyDescent="0.2">
      <c r="A188" s="11">
        <f>Dados!A216</f>
        <v>44755</v>
      </c>
      <c r="B188" s="12">
        <f>STDEV(Dados!D187:D216)*SQRT(252)</f>
        <v>0.1699799507756351</v>
      </c>
      <c r="C188" s="12">
        <f>STDEV(Dados!E187:E216)*SQRT(252)</f>
        <v>0.18434029716884739</v>
      </c>
    </row>
    <row r="189" spans="1:3" ht="15" customHeight="1" x14ac:dyDescent="0.2">
      <c r="A189" s="11">
        <f>Dados!A217</f>
        <v>44756</v>
      </c>
      <c r="B189" s="12">
        <f>STDEV(Dados!D188:D217)*SQRT(252)</f>
        <v>0.17001215554065657</v>
      </c>
      <c r="C189" s="12">
        <f>STDEV(Dados!E188:E217)*SQRT(252)</f>
        <v>0.1881080313499032</v>
      </c>
    </row>
    <row r="190" spans="1:3" ht="15" customHeight="1" x14ac:dyDescent="0.2">
      <c r="A190" s="11">
        <f>Dados!A218</f>
        <v>44757</v>
      </c>
      <c r="B190" s="12">
        <f>STDEV(Dados!D189:D218)*SQRT(252)</f>
        <v>0.16627838429223657</v>
      </c>
      <c r="C190" s="12">
        <f>STDEV(Dados!E189:E218)*SQRT(252)</f>
        <v>0.18548227243956916</v>
      </c>
    </row>
    <row r="191" spans="1:3" ht="15" customHeight="1" x14ac:dyDescent="0.2">
      <c r="A191" s="11">
        <f>Dados!A219</f>
        <v>44760</v>
      </c>
      <c r="B191" s="12">
        <f>STDEV(Dados!D190:D219)*SQRT(252)</f>
        <v>0.16480824046765077</v>
      </c>
      <c r="C191" s="12">
        <f>STDEV(Dados!E190:E219)*SQRT(252)</f>
        <v>0.18614100055665897</v>
      </c>
    </row>
    <row r="192" spans="1:3" ht="15" customHeight="1" x14ac:dyDescent="0.2">
      <c r="A192" s="11">
        <f>Dados!A220</f>
        <v>44761</v>
      </c>
      <c r="B192" s="12">
        <f>STDEV(Dados!D191:D220)*SQRT(252)</f>
        <v>0.17374121060182635</v>
      </c>
      <c r="C192" s="12">
        <f>STDEV(Dados!E191:E220)*SQRT(252)</f>
        <v>0.19302554581253989</v>
      </c>
    </row>
    <row r="193" spans="1:3" ht="15" customHeight="1" x14ac:dyDescent="0.2">
      <c r="A193" s="11">
        <f>Dados!A221</f>
        <v>44762</v>
      </c>
      <c r="B193" s="12">
        <f>STDEV(Dados!D192:D221)*SQRT(252)</f>
        <v>0.17363796484655158</v>
      </c>
      <c r="C193" s="12">
        <f>STDEV(Dados!E192:E221)*SQRT(252)</f>
        <v>0.19325777437341626</v>
      </c>
    </row>
    <row r="194" spans="1:3" ht="15" customHeight="1" x14ac:dyDescent="0.2">
      <c r="A194" s="11">
        <f>Dados!A222</f>
        <v>44763</v>
      </c>
      <c r="B194" s="12">
        <f>STDEV(Dados!D193:D222)*SQRT(252)</f>
        <v>0.17123889450993873</v>
      </c>
      <c r="C194" s="12">
        <f>STDEV(Dados!E193:E222)*SQRT(252)</f>
        <v>0.1926085852864616</v>
      </c>
    </row>
    <row r="195" spans="1:3" ht="15" customHeight="1" x14ac:dyDescent="0.2">
      <c r="A195" s="11">
        <f>Dados!A223</f>
        <v>44764</v>
      </c>
      <c r="B195" s="12">
        <f>STDEV(Dados!D194:D223)*SQRT(252)</f>
        <v>0.17100427777861488</v>
      </c>
      <c r="C195" s="12">
        <f>STDEV(Dados!E194:E223)*SQRT(252)</f>
        <v>0.19084013004948328</v>
      </c>
    </row>
    <row r="196" spans="1:3" ht="15" customHeight="1" x14ac:dyDescent="0.2">
      <c r="A196" s="11">
        <f>Dados!A224</f>
        <v>44767</v>
      </c>
      <c r="B196" s="12">
        <f>STDEV(Dados!D195:D224)*SQRT(252)</f>
        <v>0.16572943991345443</v>
      </c>
      <c r="C196" s="12">
        <f>STDEV(Dados!E195:E224)*SQRT(252)</f>
        <v>0.19257054601225559</v>
      </c>
    </row>
    <row r="197" spans="1:3" ht="15" customHeight="1" x14ac:dyDescent="0.2">
      <c r="A197" s="11">
        <f>Dados!A225</f>
        <v>44768</v>
      </c>
      <c r="B197" s="12">
        <f>STDEV(Dados!D196:D225)*SQRT(252)</f>
        <v>0.14730486009685836</v>
      </c>
      <c r="C197" s="12">
        <f>STDEV(Dados!E196:E225)*SQRT(252)</f>
        <v>0.17647354729653891</v>
      </c>
    </row>
    <row r="198" spans="1:3" ht="15" customHeight="1" x14ac:dyDescent="0.2">
      <c r="A198" s="11">
        <f>Dados!A226</f>
        <v>44769</v>
      </c>
      <c r="B198" s="12">
        <f>STDEV(Dados!D197:D226)*SQRT(252)</f>
        <v>0.15512494937613797</v>
      </c>
      <c r="C198" s="12">
        <f>STDEV(Dados!E197:E226)*SQRT(252)</f>
        <v>0.18303956742073846</v>
      </c>
    </row>
    <row r="199" spans="1:3" ht="15" customHeight="1" x14ac:dyDescent="0.2">
      <c r="A199" s="11">
        <f>Dados!A227</f>
        <v>44770</v>
      </c>
      <c r="B199" s="12">
        <f>STDEV(Dados!D198:D227)*SQRT(252)</f>
        <v>0.15542624599292473</v>
      </c>
      <c r="C199" s="12">
        <f>STDEV(Dados!E198:E227)*SQRT(252)</f>
        <v>0.18486851345377114</v>
      </c>
    </row>
    <row r="200" spans="1:3" ht="15" customHeight="1" x14ac:dyDescent="0.2">
      <c r="A200" s="11">
        <f>Dados!A228</f>
        <v>44771</v>
      </c>
      <c r="B200" s="12">
        <f>STDEV(Dados!D199:D228)*SQRT(252)</f>
        <v>0.141743982075966</v>
      </c>
      <c r="C200" s="12">
        <f>STDEV(Dados!E199:E228)*SQRT(252)</f>
        <v>0.16309486371313744</v>
      </c>
    </row>
    <row r="201" spans="1:3" ht="15" customHeight="1" x14ac:dyDescent="0.2">
      <c r="A201" s="11">
        <f>Dados!A229</f>
        <v>44774</v>
      </c>
      <c r="B201" s="12">
        <f>STDEV(Dados!D200:D229)*SQRT(252)</f>
        <v>0.14201104831820099</v>
      </c>
      <c r="C201" s="12">
        <f>STDEV(Dados!E200:E229)*SQRT(252)</f>
        <v>0.16577512663145941</v>
      </c>
    </row>
    <row r="202" spans="1:3" ht="15" customHeight="1" x14ac:dyDescent="0.2">
      <c r="A202" s="11">
        <f>Dados!A230</f>
        <v>44775</v>
      </c>
      <c r="B202" s="12">
        <f>STDEV(Dados!D201:D230)*SQRT(252)</f>
        <v>0.14302084789050823</v>
      </c>
      <c r="C202" s="12">
        <f>STDEV(Dados!E201:E230)*SQRT(252)</f>
        <v>0.16822463989340833</v>
      </c>
    </row>
    <row r="203" spans="1:3" ht="15" customHeight="1" x14ac:dyDescent="0.2">
      <c r="A203" s="11">
        <f>Dados!A231</f>
        <v>44776</v>
      </c>
      <c r="B203" s="12">
        <f>STDEV(Dados!D202:D231)*SQRT(252)</f>
        <v>0.14725474007636527</v>
      </c>
      <c r="C203" s="12">
        <f>STDEV(Dados!E202:E231)*SQRT(252)</f>
        <v>0.16818816580970822</v>
      </c>
    </row>
    <row r="204" spans="1:3" ht="15" customHeight="1" x14ac:dyDescent="0.2">
      <c r="A204" s="11">
        <f>Dados!A232</f>
        <v>44777</v>
      </c>
      <c r="B204" s="12">
        <f>STDEV(Dados!D203:D232)*SQRT(252)</f>
        <v>0.16241479304997455</v>
      </c>
      <c r="C204" s="12">
        <f>STDEV(Dados!E203:E232)*SQRT(252)</f>
        <v>0.16966453836894052</v>
      </c>
    </row>
    <row r="205" spans="1:3" ht="15" customHeight="1" x14ac:dyDescent="0.2">
      <c r="A205" s="11">
        <f>Dados!A233</f>
        <v>44778</v>
      </c>
      <c r="B205" s="12">
        <f>STDEV(Dados!D204:D233)*SQRT(252)</f>
        <v>0.1624201111695375</v>
      </c>
      <c r="C205" s="12">
        <f>STDEV(Dados!E204:E233)*SQRT(252)</f>
        <v>0.16957363467976333</v>
      </c>
    </row>
    <row r="206" spans="1:3" ht="15" customHeight="1" x14ac:dyDescent="0.2">
      <c r="A206" s="11">
        <f>Dados!A234</f>
        <v>44781</v>
      </c>
      <c r="B206" s="12">
        <f>STDEV(Dados!D205:D234)*SQRT(252)</f>
        <v>0.16462504153796839</v>
      </c>
      <c r="C206" s="12">
        <f>STDEV(Dados!E205:E234)*SQRT(252)</f>
        <v>0.16692819987992405</v>
      </c>
    </row>
    <row r="207" spans="1:3" ht="15" customHeight="1" x14ac:dyDescent="0.2">
      <c r="A207" s="11">
        <f>Dados!A235</f>
        <v>44782</v>
      </c>
      <c r="B207" s="12">
        <f>STDEV(Dados!D206:D235)*SQRT(252)</f>
        <v>0.16290530523778074</v>
      </c>
      <c r="C207" s="12">
        <f>STDEV(Dados!E206:E235)*SQRT(252)</f>
        <v>0.16646499945725682</v>
      </c>
    </row>
    <row r="208" spans="1:3" ht="15" customHeight="1" x14ac:dyDescent="0.2">
      <c r="A208" s="11">
        <f>Dados!A236</f>
        <v>44783</v>
      </c>
      <c r="B208" s="12">
        <f>STDEV(Dados!D207:D236)*SQRT(252)</f>
        <v>0.16414362420868792</v>
      </c>
      <c r="C208" s="12">
        <f>STDEV(Dados!E207:E236)*SQRT(252)</f>
        <v>0.16574379525893398</v>
      </c>
    </row>
    <row r="209" spans="1:3" ht="15" customHeight="1" x14ac:dyDescent="0.2">
      <c r="A209" s="11">
        <f>Dados!A237</f>
        <v>44784</v>
      </c>
      <c r="B209" s="12">
        <f>STDEV(Dados!D208:D237)*SQRT(252)</f>
        <v>0.16496100342976044</v>
      </c>
      <c r="C209" s="12">
        <f>STDEV(Dados!E208:E237)*SQRT(252)</f>
        <v>0.16204070251892536</v>
      </c>
    </row>
    <row r="210" spans="1:3" ht="15" customHeight="1" x14ac:dyDescent="0.2">
      <c r="A210" s="11">
        <f>Dados!A238</f>
        <v>44785</v>
      </c>
      <c r="B210" s="12">
        <f>STDEV(Dados!D209:D238)*SQRT(252)</f>
        <v>0.1759753761404943</v>
      </c>
      <c r="C210" s="12">
        <f>STDEV(Dados!E209:E238)*SQRT(252)</f>
        <v>0.17612884914022223</v>
      </c>
    </row>
    <row r="211" spans="1:3" ht="15" customHeight="1" x14ac:dyDescent="0.2">
      <c r="A211" s="11">
        <f>Dados!A239</f>
        <v>44788</v>
      </c>
      <c r="B211" s="12">
        <f>STDEV(Dados!D210:D239)*SQRT(252)</f>
        <v>0.17185128983423217</v>
      </c>
      <c r="C211" s="12">
        <f>STDEV(Dados!E210:E239)*SQRT(252)</f>
        <v>0.17467224185316885</v>
      </c>
    </row>
    <row r="212" spans="1:3" ht="15" customHeight="1" x14ac:dyDescent="0.2">
      <c r="A212" s="11">
        <f>Dados!A240</f>
        <v>44789</v>
      </c>
      <c r="B212" s="12">
        <f>STDEV(Dados!D211:D240)*SQRT(252)</f>
        <v>0.17150162914125158</v>
      </c>
      <c r="C212" s="12">
        <f>STDEV(Dados!E211:E240)*SQRT(252)</f>
        <v>0.17313212975927111</v>
      </c>
    </row>
    <row r="213" spans="1:3" ht="15" customHeight="1" x14ac:dyDescent="0.2">
      <c r="A213" s="11">
        <f>Dados!A241</f>
        <v>44790</v>
      </c>
      <c r="B213" s="12">
        <f>STDEV(Dados!D212:D241)*SQRT(252)</f>
        <v>0.17149416760289751</v>
      </c>
      <c r="C213" s="12">
        <f>STDEV(Dados!E212:E241)*SQRT(252)</f>
        <v>0.17335723546259074</v>
      </c>
    </row>
    <row r="214" spans="1:3" ht="15" customHeight="1" x14ac:dyDescent="0.2">
      <c r="A214" s="11">
        <f>Dados!A242</f>
        <v>44791</v>
      </c>
      <c r="B214" s="12">
        <f>STDEV(Dados!D213:D242)*SQRT(252)</f>
        <v>0.16887860782712877</v>
      </c>
      <c r="C214" s="12">
        <f>STDEV(Dados!E213:E242)*SQRT(252)</f>
        <v>0.16731647538308247</v>
      </c>
    </row>
    <row r="215" spans="1:3" ht="15" customHeight="1" x14ac:dyDescent="0.2">
      <c r="A215" s="11">
        <f>Dados!A243</f>
        <v>44792</v>
      </c>
      <c r="B215" s="12">
        <f>STDEV(Dados!D214:D243)*SQRT(252)</f>
        <v>0.18212365161353689</v>
      </c>
      <c r="C215" s="12">
        <f>STDEV(Dados!E214:E243)*SQRT(252)</f>
        <v>0.18047828252425804</v>
      </c>
    </row>
    <row r="216" spans="1:3" ht="15" customHeight="1" x14ac:dyDescent="0.2">
      <c r="A216" s="11">
        <f>Dados!A244</f>
        <v>44795</v>
      </c>
      <c r="B216" s="12">
        <f>STDEV(Dados!D215:D244)*SQRT(252)</f>
        <v>0.17029329612097602</v>
      </c>
      <c r="C216" s="12">
        <f>STDEV(Dados!E215:E244)*SQRT(252)</f>
        <v>0.16937910770757628</v>
      </c>
    </row>
    <row r="217" spans="1:3" ht="15" customHeight="1" x14ac:dyDescent="0.2">
      <c r="A217" s="11">
        <f>Dados!A245</f>
        <v>44796</v>
      </c>
      <c r="B217" s="12">
        <f>STDEV(Dados!D216:D245)*SQRT(252)</f>
        <v>0.17161528215873806</v>
      </c>
      <c r="C217" s="12">
        <f>STDEV(Dados!E216:E245)*SQRT(252)</f>
        <v>0.17615957875242247</v>
      </c>
    </row>
    <row r="218" spans="1:3" ht="15" customHeight="1" x14ac:dyDescent="0.2">
      <c r="A218" s="11">
        <f>Dados!A246</f>
        <v>44797</v>
      </c>
      <c r="B218" s="12">
        <f>STDEV(Dados!D217:D246)*SQRT(252)</f>
        <v>0.17019795395621085</v>
      </c>
      <c r="C218" s="12">
        <f>STDEV(Dados!E217:E246)*SQRT(252)</f>
        <v>0.17476428503176555</v>
      </c>
    </row>
    <row r="219" spans="1:3" ht="15" customHeight="1" x14ac:dyDescent="0.2">
      <c r="A219" s="11">
        <f>Dados!A247</f>
        <v>44798</v>
      </c>
      <c r="B219" s="12">
        <f>STDEV(Dados!D218:D247)*SQRT(252)</f>
        <v>0.16720128161764389</v>
      </c>
      <c r="C219" s="12">
        <f>STDEV(Dados!E218:E247)*SQRT(252)</f>
        <v>0.1607094238088865</v>
      </c>
    </row>
    <row r="220" spans="1:3" ht="15" customHeight="1" x14ac:dyDescent="0.2">
      <c r="A220" s="11">
        <f>Dados!A248</f>
        <v>44799</v>
      </c>
      <c r="B220" s="12">
        <f>STDEV(Dados!D219:D248)*SQRT(252)</f>
        <v>0.17499917083943953</v>
      </c>
      <c r="C220" s="12">
        <f>STDEV(Dados!E219:E248)*SQRT(252)</f>
        <v>0.16764728009993743</v>
      </c>
    </row>
    <row r="221" spans="1:3" ht="15" customHeight="1" x14ac:dyDescent="0.2">
      <c r="A221" s="11">
        <f>Dados!A249</f>
        <v>44802</v>
      </c>
      <c r="B221" s="12">
        <f>STDEV(Dados!D220:D249)*SQRT(252)</f>
        <v>0.17489700650150111</v>
      </c>
      <c r="C221" s="12">
        <f>STDEV(Dados!E220:E249)*SQRT(252)</f>
        <v>0.16819687144044718</v>
      </c>
    </row>
    <row r="222" spans="1:3" ht="15" customHeight="1" x14ac:dyDescent="0.2">
      <c r="A222" s="11">
        <f>Dados!A250</f>
        <v>44803</v>
      </c>
      <c r="B222" s="12">
        <f>STDEV(Dados!D221:D250)*SQRT(252)</f>
        <v>0.17698775663693045</v>
      </c>
      <c r="C222" s="12">
        <f>STDEV(Dados!E221:E250)*SQRT(252)</f>
        <v>0.1775685281338017</v>
      </c>
    </row>
    <row r="223" spans="1:3" ht="15" customHeight="1" x14ac:dyDescent="0.2">
      <c r="A223" s="11">
        <f>Dados!A251</f>
        <v>44804</v>
      </c>
      <c r="B223" s="12">
        <f>STDEV(Dados!D222:D251)*SQRT(252)</f>
        <v>0.18438778272627718</v>
      </c>
      <c r="C223" s="12">
        <f>STDEV(Dados!E222:E251)*SQRT(252)</f>
        <v>0.18079741782607531</v>
      </c>
    </row>
    <row r="224" spans="1:3" ht="15" customHeight="1" x14ac:dyDescent="0.2">
      <c r="A224" s="11">
        <f>Dados!A252</f>
        <v>44805</v>
      </c>
      <c r="B224" s="12">
        <f>STDEV(Dados!D223:D252)*SQRT(252)</f>
        <v>0.18488299128528737</v>
      </c>
      <c r="C224" s="12">
        <f>STDEV(Dados!E223:E252)*SQRT(252)</f>
        <v>0.180889605051791</v>
      </c>
    </row>
    <row r="225" spans="1:3" ht="15" customHeight="1" x14ac:dyDescent="0.2">
      <c r="A225" s="11">
        <f>Dados!A253</f>
        <v>44806</v>
      </c>
      <c r="B225" s="12">
        <f>STDEV(Dados!D224:D253)*SQRT(252)</f>
        <v>0.1842819701706975</v>
      </c>
      <c r="C225" s="12">
        <f>STDEV(Dados!E224:E253)*SQRT(252)</f>
        <v>0.18033954079849895</v>
      </c>
    </row>
    <row r="226" spans="1:3" ht="15" customHeight="1" x14ac:dyDescent="0.2">
      <c r="A226" s="11">
        <f>Dados!A254</f>
        <v>44809</v>
      </c>
      <c r="B226" s="12">
        <f>STDEV(Dados!D225:D254)*SQRT(252)</f>
        <v>0.18417451275755908</v>
      </c>
      <c r="C226" s="12">
        <f>STDEV(Dados!E225:E254)*SQRT(252)</f>
        <v>0.17968958684729441</v>
      </c>
    </row>
    <row r="227" spans="1:3" ht="15" customHeight="1" x14ac:dyDescent="0.2">
      <c r="A227" s="11">
        <f>Dados!A255</f>
        <v>44810</v>
      </c>
      <c r="B227" s="12">
        <f>STDEV(Dados!D226:D255)*SQRT(252)</f>
        <v>0.19506813238650295</v>
      </c>
      <c r="C227" s="12">
        <f>STDEV(Dados!E226:E255)*SQRT(252)</f>
        <v>0.19311535643663433</v>
      </c>
    </row>
    <row r="228" spans="1:3" ht="15" customHeight="1" x14ac:dyDescent="0.2">
      <c r="A228" s="11">
        <f>Dados!A256</f>
        <v>44812</v>
      </c>
      <c r="B228" s="12">
        <f>STDEV(Dados!D227:D256)*SQRT(252)</f>
        <v>0.18983190860617954</v>
      </c>
      <c r="C228" s="12">
        <f>STDEV(Dados!E227:E256)*SQRT(252)</f>
        <v>0.18894325260385053</v>
      </c>
    </row>
    <row r="229" spans="1:3" ht="15" customHeight="1" x14ac:dyDescent="0.2">
      <c r="A229" s="11">
        <f>Dados!A257</f>
        <v>44813</v>
      </c>
      <c r="B229" s="12">
        <f>STDEV(Dados!D228:D257)*SQRT(252)</f>
        <v>0.19055660213454256</v>
      </c>
      <c r="C229" s="12">
        <f>STDEV(Dados!E228:E257)*SQRT(252)</f>
        <v>0.19514060445928197</v>
      </c>
    </row>
    <row r="230" spans="1:3" ht="15" customHeight="1" x14ac:dyDescent="0.2">
      <c r="A230" s="11">
        <f>Dados!A258</f>
        <v>44816</v>
      </c>
      <c r="B230" s="12">
        <f>STDEV(Dados!D229:D258)*SQRT(252)</f>
        <v>0.1927900608342914</v>
      </c>
      <c r="C230" s="12">
        <f>STDEV(Dados!E229:E258)*SQRT(252)</f>
        <v>0.19601352335369113</v>
      </c>
    </row>
    <row r="231" spans="1:3" ht="15" customHeight="1" x14ac:dyDescent="0.2">
      <c r="A231" s="11">
        <f>Dados!A259</f>
        <v>44817</v>
      </c>
      <c r="B231" s="12">
        <f>STDEV(Dados!D230:D259)*SQRT(252)</f>
        <v>0.20489005384840203</v>
      </c>
      <c r="C231" s="12">
        <f>STDEV(Dados!E230:E259)*SQRT(252)</f>
        <v>0.20768547307294566</v>
      </c>
    </row>
    <row r="232" spans="1:3" ht="15" customHeight="1" x14ac:dyDescent="0.2">
      <c r="A232" s="11">
        <f>Dados!A260</f>
        <v>44818</v>
      </c>
      <c r="B232" s="12">
        <f>STDEV(Dados!D231:D260)*SQRT(252)</f>
        <v>0.2049951112541088</v>
      </c>
      <c r="C232" s="12">
        <f>STDEV(Dados!E231:E260)*SQRT(252)</f>
        <v>0.20659640456252962</v>
      </c>
    </row>
    <row r="233" spans="1:3" ht="15" customHeight="1" x14ac:dyDescent="0.2">
      <c r="A233" s="11">
        <f>Dados!A261</f>
        <v>44819</v>
      </c>
      <c r="B233" s="12">
        <f>STDEV(Dados!D232:D261)*SQRT(252)</f>
        <v>0.20503084424894169</v>
      </c>
      <c r="C233" s="12">
        <f>STDEV(Dados!E232:E261)*SQRT(252)</f>
        <v>0.20768852448874572</v>
      </c>
    </row>
    <row r="234" spans="1:3" ht="15" customHeight="1" x14ac:dyDescent="0.2">
      <c r="A234" s="11">
        <f>Dados!A262</f>
        <v>44820</v>
      </c>
      <c r="B234" s="12">
        <f>STDEV(Dados!D233:D262)*SQRT(252)</f>
        <v>0.19059562859532708</v>
      </c>
      <c r="C234" s="12">
        <f>STDEV(Dados!E233:E262)*SQRT(252)</f>
        <v>0.20149652278183924</v>
      </c>
    </row>
    <row r="235" spans="1:3" ht="15" customHeight="1" x14ac:dyDescent="0.2">
      <c r="A235" s="11">
        <f>Dados!A263</f>
        <v>44823</v>
      </c>
      <c r="B235" s="12">
        <f>STDEV(Dados!D234:D263)*SQRT(252)</f>
        <v>0.19890879421041999</v>
      </c>
      <c r="C235" s="12">
        <f>STDEV(Dados!E234:E263)*SQRT(252)</f>
        <v>0.2110310484514501</v>
      </c>
    </row>
    <row r="236" spans="1:3" ht="15" customHeight="1" x14ac:dyDescent="0.2">
      <c r="A236" s="11">
        <f>Dados!A264</f>
        <v>44824</v>
      </c>
      <c r="B236" s="12">
        <f>STDEV(Dados!D235:D264)*SQRT(252)</f>
        <v>0.19636963830031298</v>
      </c>
      <c r="C236" s="12">
        <f>STDEV(Dados!E235:E264)*SQRT(252)</f>
        <v>0.20580587910872272</v>
      </c>
    </row>
    <row r="237" spans="1:3" ht="15" customHeight="1" x14ac:dyDescent="0.2">
      <c r="A237" s="11">
        <f>Dados!A265</f>
        <v>44825</v>
      </c>
      <c r="B237" s="12">
        <f>STDEV(Dados!D236:D265)*SQRT(252)</f>
        <v>0.19724052613939255</v>
      </c>
      <c r="C237" s="12">
        <f>STDEV(Dados!E236:E265)*SQRT(252)</f>
        <v>0.20661148779043392</v>
      </c>
    </row>
    <row r="238" spans="1:3" ht="15" customHeight="1" x14ac:dyDescent="0.2">
      <c r="A238" s="11">
        <f>Dados!A266</f>
        <v>44826</v>
      </c>
      <c r="B238" s="12">
        <f>STDEV(Dados!D237:D266)*SQRT(252)</f>
        <v>0.19541359284431647</v>
      </c>
      <c r="C238" s="12">
        <f>STDEV(Dados!E237:E266)*SQRT(252)</f>
        <v>0.20948321686753532</v>
      </c>
    </row>
    <row r="239" spans="1:3" ht="15" customHeight="1" x14ac:dyDescent="0.2">
      <c r="A239" s="11">
        <f>Dados!A267</f>
        <v>44827</v>
      </c>
      <c r="B239" s="12">
        <f>STDEV(Dados!D238:D267)*SQRT(252)</f>
        <v>0.20063446787746927</v>
      </c>
      <c r="C239" s="12">
        <f>STDEV(Dados!E238:E267)*SQRT(252)</f>
        <v>0.21843332716107705</v>
      </c>
    </row>
    <row r="240" spans="1:3" ht="15" customHeight="1" x14ac:dyDescent="0.2">
      <c r="A240" s="11">
        <f>Dados!A268</f>
        <v>44830</v>
      </c>
      <c r="B240" s="12">
        <f>STDEV(Dados!D239:D268)*SQRT(252)</f>
        <v>0.20274697957547139</v>
      </c>
      <c r="C240" s="12">
        <f>STDEV(Dados!E239:E268)*SQRT(252)</f>
        <v>0.21401850144966711</v>
      </c>
    </row>
    <row r="241" spans="1:3" ht="15" customHeight="1" x14ac:dyDescent="0.2">
      <c r="A241" s="11">
        <f>Dados!A269</f>
        <v>44831</v>
      </c>
      <c r="B241" s="12">
        <f>STDEV(Dados!D240:D269)*SQRT(252)</f>
        <v>0.20282905997497541</v>
      </c>
      <c r="C241" s="12">
        <f>STDEV(Dados!E240:E269)*SQRT(252)</f>
        <v>0.21437410434460466</v>
      </c>
    </row>
    <row r="242" spans="1:3" ht="15" customHeight="1" x14ac:dyDescent="0.2">
      <c r="A242" s="11">
        <f>Dados!A270</f>
        <v>44832</v>
      </c>
      <c r="B242" s="12">
        <f>STDEV(Dados!D241:D270)*SQRT(252)</f>
        <v>0.20227790139922719</v>
      </c>
      <c r="C242" s="12">
        <f>STDEV(Dados!E241:E270)*SQRT(252)</f>
        <v>0.2138090893292359</v>
      </c>
    </row>
    <row r="243" spans="1:3" ht="15" customHeight="1" x14ac:dyDescent="0.2">
      <c r="A243" s="11">
        <f>Dados!A271</f>
        <v>44833</v>
      </c>
      <c r="B243" s="12">
        <f>STDEV(Dados!D242:D271)*SQRT(252)</f>
        <v>0.20254508882486971</v>
      </c>
      <c r="C243" s="12">
        <f>STDEV(Dados!E242:E271)*SQRT(252)</f>
        <v>0.21421455601973216</v>
      </c>
    </row>
    <row r="244" spans="1:3" ht="15" customHeight="1" x14ac:dyDescent="0.2">
      <c r="A244" s="11">
        <f>Dados!A272</f>
        <v>44834</v>
      </c>
      <c r="B244" s="12">
        <f>STDEV(Dados!D243:D272)*SQRT(252)</f>
        <v>0.20946270686444945</v>
      </c>
      <c r="C244" s="12">
        <f>STDEV(Dados!E243:E272)*SQRT(252)</f>
        <v>0.22482221825948737</v>
      </c>
    </row>
    <row r="245" spans="1:3" ht="15" customHeight="1" x14ac:dyDescent="0.2">
      <c r="A245" s="11">
        <f>Dados!A273</f>
        <v>44837</v>
      </c>
      <c r="B245" s="12">
        <f>STDEV(Dados!D244:D273)*SQRT(252)</f>
        <v>0.26308376702116687</v>
      </c>
      <c r="C245" s="12">
        <f>STDEV(Dados!E244:E273)*SQRT(252)</f>
        <v>0.26830777796148148</v>
      </c>
    </row>
    <row r="246" spans="1:3" ht="15" customHeight="1" x14ac:dyDescent="0.2">
      <c r="A246" s="11">
        <f>Dados!A274</f>
        <v>44838</v>
      </c>
      <c r="B246" s="12">
        <f>STDEV(Dados!D245:D274)*SQRT(252)</f>
        <v>0.2616936866678608</v>
      </c>
      <c r="C246" s="12">
        <f>STDEV(Dados!E245:E274)*SQRT(252)</f>
        <v>0.2665291947644774</v>
      </c>
    </row>
    <row r="247" spans="1:3" ht="15" customHeight="1" x14ac:dyDescent="0.2">
      <c r="A247" s="11">
        <f>Dados!A275</f>
        <v>44839</v>
      </c>
      <c r="B247" s="12">
        <f>STDEV(Dados!D246:D275)*SQRT(252)</f>
        <v>0.25957374072825717</v>
      </c>
      <c r="C247" s="12">
        <f>STDEV(Dados!E246:E275)*SQRT(252)</f>
        <v>0.26095088974243064</v>
      </c>
    </row>
    <row r="248" spans="1:3" ht="15" customHeight="1" x14ac:dyDescent="0.2">
      <c r="A248" s="11">
        <f>Dados!A276</f>
        <v>44840</v>
      </c>
      <c r="B248" s="12">
        <f>STDEV(Dados!D247:D276)*SQRT(252)</f>
        <v>0.25977856177952219</v>
      </c>
      <c r="C248" s="12">
        <f>STDEV(Dados!E247:E276)*SQRT(252)</f>
        <v>0.26098944822447279</v>
      </c>
    </row>
    <row r="249" spans="1:3" ht="15" customHeight="1" x14ac:dyDescent="0.2">
      <c r="A249" s="11">
        <f>Dados!A277</f>
        <v>44841</v>
      </c>
      <c r="B249" s="12">
        <f>STDEV(Dados!D248:D277)*SQRT(252)</f>
        <v>0.26244855032241421</v>
      </c>
      <c r="C249" s="12">
        <f>STDEV(Dados!E248:E277)*SQRT(252)</f>
        <v>0.26274257527889572</v>
      </c>
    </row>
    <row r="250" spans="1:3" ht="15" customHeight="1" x14ac:dyDescent="0.2">
      <c r="A250" s="11">
        <f>Dados!A278</f>
        <v>44844</v>
      </c>
      <c r="B250" s="12">
        <f>STDEV(Dados!D249:D278)*SQRT(252)</f>
        <v>0.25970383811416248</v>
      </c>
      <c r="C250" s="12">
        <f>STDEV(Dados!E249:E278)*SQRT(252)</f>
        <v>0.26076987369015375</v>
      </c>
    </row>
    <row r="251" spans="1:3" ht="15" customHeight="1" x14ac:dyDescent="0.2">
      <c r="A251" s="11">
        <f>Dados!A279</f>
        <v>44845</v>
      </c>
      <c r="B251" s="12">
        <f>STDEV(Dados!D250:D279)*SQRT(252)</f>
        <v>0.261803962655069</v>
      </c>
      <c r="C251" s="12">
        <f>STDEV(Dados!E250:E279)*SQRT(252)</f>
        <v>0.26261148469045936</v>
      </c>
    </row>
    <row r="252" spans="1:3" ht="15" customHeight="1" x14ac:dyDescent="0.2">
      <c r="A252" s="11">
        <f>Dados!A280</f>
        <v>44847</v>
      </c>
      <c r="B252" s="12">
        <f>STDEV(Dados!D251:D280)*SQRT(252)</f>
        <v>0.26051606176875469</v>
      </c>
      <c r="C252" s="12">
        <f>STDEV(Dados!E251:E280)*SQRT(252)</f>
        <v>0.25775628840355702</v>
      </c>
    </row>
    <row r="253" spans="1:3" ht="15" customHeight="1" x14ac:dyDescent="0.2">
      <c r="A253" s="11">
        <f>Dados!A281</f>
        <v>44848</v>
      </c>
      <c r="B253" s="12">
        <f>STDEV(Dados!D252:D281)*SQRT(252)</f>
        <v>0.26211014266202687</v>
      </c>
      <c r="C253" s="12">
        <f>STDEV(Dados!E252:E281)*SQRT(252)</f>
        <v>0.26344518816986334</v>
      </c>
    </row>
    <row r="254" spans="1:3" ht="15" customHeight="1" x14ac:dyDescent="0.2">
      <c r="A254" s="11">
        <f>Dados!A282</f>
        <v>44851</v>
      </c>
      <c r="B254" s="12">
        <f>STDEV(Dados!D253:D282)*SQRT(252)</f>
        <v>0.26481424723395414</v>
      </c>
      <c r="C254" s="12">
        <f>STDEV(Dados!E253:E282)*SQRT(252)</f>
        <v>0.26533387685376736</v>
      </c>
    </row>
    <row r="255" spans="1:3" ht="15" customHeight="1" x14ac:dyDescent="0.2">
      <c r="A255" s="11">
        <f>Dados!A283</f>
        <v>44852</v>
      </c>
      <c r="B255" s="12">
        <f>STDEV(Dados!D254:D283)*SQRT(252)</f>
        <v>0.2690992479420104</v>
      </c>
      <c r="C255" s="12">
        <f>STDEV(Dados!E254:E283)*SQRT(252)</f>
        <v>0.2700393698723188</v>
      </c>
    </row>
    <row r="256" spans="1:3" ht="15" customHeight="1" x14ac:dyDescent="0.2">
      <c r="A256" s="11">
        <f>Dados!A284</f>
        <v>44853</v>
      </c>
      <c r="B256" s="12">
        <f>STDEV(Dados!D255:D284)*SQRT(252)</f>
        <v>0.26835639763455738</v>
      </c>
      <c r="C256" s="12">
        <f>STDEV(Dados!E255:E284)*SQRT(252)</f>
        <v>0.26836581734498127</v>
      </c>
    </row>
    <row r="257" spans="1:3" ht="15" customHeight="1" x14ac:dyDescent="0.2">
      <c r="A257" s="11">
        <f>Dados!A285</f>
        <v>44854</v>
      </c>
      <c r="B257" s="12">
        <f>STDEV(Dados!D256:D285)*SQRT(252)</f>
        <v>0.26098665586766756</v>
      </c>
      <c r="C257" s="12">
        <f>STDEV(Dados!E256:E285)*SQRT(252)</f>
        <v>0.25974812710407535</v>
      </c>
    </row>
    <row r="258" spans="1:3" ht="15" customHeight="1" x14ac:dyDescent="0.2">
      <c r="A258" s="11">
        <f>Dados!A286</f>
        <v>44855</v>
      </c>
      <c r="B258" s="12">
        <f>STDEV(Dados!D257:D286)*SQRT(252)</f>
        <v>0.26784669897092311</v>
      </c>
      <c r="C258" s="12">
        <f>STDEV(Dados!E257:E286)*SQRT(252)</f>
        <v>0.26681368258053334</v>
      </c>
    </row>
    <row r="259" spans="1:3" ht="15" customHeight="1" x14ac:dyDescent="0.2">
      <c r="A259" s="11">
        <f>Dados!A287</f>
        <v>44858</v>
      </c>
      <c r="B259" s="12">
        <f>STDEV(Dados!D258:D287)*SQRT(252)</f>
        <v>0.27934943093873305</v>
      </c>
      <c r="C259" s="12">
        <f>STDEV(Dados!E258:E287)*SQRT(252)</f>
        <v>0.2804648682996117</v>
      </c>
    </row>
    <row r="260" spans="1:3" ht="15" customHeight="1" x14ac:dyDescent="0.2">
      <c r="A260" s="11">
        <f>Dados!A288</f>
        <v>44859</v>
      </c>
      <c r="B260" s="12">
        <f>STDEV(Dados!D259:D288)*SQRT(252)</f>
        <v>0.27947921656224523</v>
      </c>
      <c r="C260" s="12">
        <f>STDEV(Dados!E259:E288)*SQRT(252)</f>
        <v>0.28169994028477158</v>
      </c>
    </row>
    <row r="261" spans="1:3" ht="15" customHeight="1" x14ac:dyDescent="0.2">
      <c r="A261" s="11">
        <f>Dados!A289</f>
        <v>44860</v>
      </c>
      <c r="B261" s="12">
        <f>STDEV(Dados!D260:D289)*SQRT(252)</f>
        <v>0.28159581024431585</v>
      </c>
      <c r="C261" s="12">
        <f>STDEV(Dados!E260:E289)*SQRT(252)</f>
        <v>0.27732107740397288</v>
      </c>
    </row>
    <row r="262" spans="1:3" ht="15" customHeight="1" x14ac:dyDescent="0.2">
      <c r="A262" s="11">
        <f>Dados!A290</f>
        <v>44861</v>
      </c>
      <c r="B262" s="12">
        <f>STDEV(Dados!D261:D290)*SQRT(252)</f>
        <v>0.2931380247745945</v>
      </c>
      <c r="C262" s="12">
        <f>STDEV(Dados!E261:E290)*SQRT(252)</f>
        <v>0.28096047672006175</v>
      </c>
    </row>
    <row r="263" spans="1:3" ht="15" customHeight="1" x14ac:dyDescent="0.2">
      <c r="A263" s="11">
        <f>Dados!A291</f>
        <v>44862</v>
      </c>
      <c r="B263" s="12">
        <f>STDEV(Dados!D262:D291)*SQRT(252)</f>
        <v>0.29256868151508786</v>
      </c>
      <c r="C263" s="12">
        <f>STDEV(Dados!E262:E291)*SQRT(252)</f>
        <v>0.28034601529791975</v>
      </c>
    </row>
    <row r="264" spans="1:3" ht="15" customHeight="1" x14ac:dyDescent="0.2">
      <c r="A264" s="11">
        <f>Dados!A292</f>
        <v>44865</v>
      </c>
      <c r="B264" s="12">
        <f>STDEV(Dados!D263:D292)*SQRT(252)</f>
        <v>0.29737241979250228</v>
      </c>
      <c r="C264" s="12">
        <f>STDEV(Dados!E263:E292)*SQRT(252)</f>
        <v>0.28137754037794449</v>
      </c>
    </row>
    <row r="265" spans="1:3" ht="15" customHeight="1" x14ac:dyDescent="0.2">
      <c r="A265" s="11">
        <f>Dados!A293</f>
        <v>44866</v>
      </c>
      <c r="B265" s="12">
        <f>STDEV(Dados!D264:D293)*SQRT(252)</f>
        <v>0.29256400809179128</v>
      </c>
      <c r="C265" s="12">
        <f>STDEV(Dados!E264:E293)*SQRT(252)</f>
        <v>0.27485693743103679</v>
      </c>
    </row>
    <row r="266" spans="1:3" ht="15" customHeight="1" x14ac:dyDescent="0.2">
      <c r="A266" s="11">
        <f>Dados!A294</f>
        <v>44868</v>
      </c>
      <c r="B266" s="12">
        <f>STDEV(Dados!D265:D294)*SQRT(252)</f>
        <v>0.29173714942847917</v>
      </c>
      <c r="C266" s="12">
        <f>STDEV(Dados!E265:E294)*SQRT(252)</f>
        <v>0.27453657960163858</v>
      </c>
    </row>
    <row r="267" spans="1:3" ht="15" customHeight="1" x14ac:dyDescent="0.2">
      <c r="A267" s="11">
        <f>Dados!A295</f>
        <v>44869</v>
      </c>
      <c r="B267" s="12">
        <f>STDEV(Dados!D266:D295)*SQRT(252)</f>
        <v>0.29107170618618677</v>
      </c>
      <c r="C267" s="12">
        <f>STDEV(Dados!E266:E295)*SQRT(252)</f>
        <v>0.27515465831145797</v>
      </c>
    </row>
    <row r="268" spans="1:3" ht="15" customHeight="1" x14ac:dyDescent="0.2">
      <c r="A268" s="11">
        <f>Dados!A296</f>
        <v>44872</v>
      </c>
      <c r="B268" s="12">
        <f>STDEV(Dados!D267:D296)*SQRT(252)</f>
        <v>0.29913742649644215</v>
      </c>
      <c r="C268" s="12">
        <f>STDEV(Dados!E267:E296)*SQRT(252)</f>
        <v>0.28012036078508179</v>
      </c>
    </row>
    <row r="269" spans="1:3" ht="15" customHeight="1" x14ac:dyDescent="0.2">
      <c r="A269" s="11">
        <f>Dados!A297</f>
        <v>44873</v>
      </c>
      <c r="B269" s="12">
        <f>STDEV(Dados!D268:D297)*SQRT(252)</f>
        <v>0.29436450027105715</v>
      </c>
      <c r="C269" s="12">
        <f>STDEV(Dados!E268:E297)*SQRT(252)</f>
        <v>0.27334558074171927</v>
      </c>
    </row>
    <row r="270" spans="1:3" ht="15" customHeight="1" x14ac:dyDescent="0.2">
      <c r="A270" s="11">
        <f>Dados!A298</f>
        <v>44874</v>
      </c>
      <c r="B270" s="12">
        <f>STDEV(Dados!D269:D298)*SQRT(252)</f>
        <v>0.29491410784549621</v>
      </c>
      <c r="C270" s="12">
        <f>STDEV(Dados!E269:E298)*SQRT(252)</f>
        <v>0.27248900906879892</v>
      </c>
    </row>
    <row r="271" spans="1:3" ht="15" customHeight="1" x14ac:dyDescent="0.2">
      <c r="A271" s="11">
        <f>Dados!A299</f>
        <v>44875</v>
      </c>
      <c r="B271" s="12">
        <f>STDEV(Dados!D270:D299)*SQRT(252)</f>
        <v>0.32411041562384513</v>
      </c>
      <c r="C271" s="12">
        <f>STDEV(Dados!E270:E299)*SQRT(252)</f>
        <v>0.29044425964229298</v>
      </c>
    </row>
    <row r="272" spans="1:3" ht="15" customHeight="1" x14ac:dyDescent="0.2">
      <c r="A272" s="11">
        <f>Dados!A300</f>
        <v>44876</v>
      </c>
      <c r="B272" s="12">
        <f>STDEV(Dados!D271:D300)*SQRT(252)</f>
        <v>0.32439820376908124</v>
      </c>
      <c r="C272" s="12">
        <f>STDEV(Dados!E271:E300)*SQRT(252)</f>
        <v>0.29730025161769069</v>
      </c>
    </row>
    <row r="273" spans="1:3" ht="15" customHeight="1" x14ac:dyDescent="0.2">
      <c r="A273" s="11">
        <f>Dados!A301</f>
        <v>44879</v>
      </c>
      <c r="B273" s="12">
        <f>STDEV(Dados!D272:D301)*SQRT(252)</f>
        <v>0.32312565863748111</v>
      </c>
      <c r="C273" s="12">
        <f>STDEV(Dados!E272:E301)*SQRT(252)</f>
        <v>0.29684363610015091</v>
      </c>
    </row>
    <row r="274" spans="1:3" ht="15" customHeight="1" x14ac:dyDescent="0.2">
      <c r="A274" s="11">
        <f>Dados!A302</f>
        <v>44881</v>
      </c>
      <c r="B274" s="12">
        <f>STDEV(Dados!D273:D302)*SQRT(252)</f>
        <v>0.32993844249339838</v>
      </c>
      <c r="C274" s="12">
        <f>STDEV(Dados!E273:E302)*SQRT(252)</f>
        <v>0.30105448626490589</v>
      </c>
    </row>
    <row r="275" spans="1:3" ht="15" customHeight="1" x14ac:dyDescent="0.2">
      <c r="A275" s="11">
        <f>Dados!A303</f>
        <v>44882</v>
      </c>
      <c r="B275" s="12">
        <f>STDEV(Dados!D274:D303)*SQRT(252)</f>
        <v>0.28121220721320894</v>
      </c>
      <c r="C275" s="12">
        <f>STDEV(Dados!E274:E303)*SQRT(252)</f>
        <v>0.25422975873889275</v>
      </c>
    </row>
    <row r="276" spans="1:3" ht="15" customHeight="1" x14ac:dyDescent="0.2">
      <c r="A276" s="11">
        <f>Dados!A304</f>
        <v>44883</v>
      </c>
      <c r="B276" s="12">
        <f>STDEV(Dados!D275:D304)*SQRT(252)</f>
        <v>0.2812285598339096</v>
      </c>
      <c r="C276" s="12">
        <f>STDEV(Dados!E275:E304)*SQRT(252)</f>
        <v>0.25462167183046475</v>
      </c>
    </row>
    <row r="277" spans="1:3" ht="15" customHeight="1" x14ac:dyDescent="0.2">
      <c r="A277" s="11">
        <f>Dados!A305</f>
        <v>44886</v>
      </c>
      <c r="B277" s="12">
        <f>STDEV(Dados!D276:D305)*SQRT(252)</f>
        <v>0.28545222662035497</v>
      </c>
      <c r="C277" s="12">
        <f>STDEV(Dados!E276:E305)*SQRT(252)</f>
        <v>0.25452930318575812</v>
      </c>
    </row>
    <row r="278" spans="1:3" ht="15" customHeight="1" x14ac:dyDescent="0.2">
      <c r="A278" s="11">
        <f>Dados!A306</f>
        <v>44887</v>
      </c>
      <c r="B278" s="12">
        <f>STDEV(Dados!D277:D306)*SQRT(252)</f>
        <v>0.28481728502681503</v>
      </c>
      <c r="C278" s="12">
        <f>STDEV(Dados!E277:E306)*SQRT(252)</f>
        <v>0.25431778935249427</v>
      </c>
    </row>
    <row r="279" spans="1:3" ht="15" customHeight="1" x14ac:dyDescent="0.2">
      <c r="A279" s="11">
        <f>Dados!A307</f>
        <v>44888</v>
      </c>
      <c r="B279" s="12">
        <f>STDEV(Dados!D278:D307)*SQRT(252)</f>
        <v>0.28330867526351255</v>
      </c>
      <c r="C279" s="12">
        <f>STDEV(Dados!E278:E307)*SQRT(252)</f>
        <v>0.25328995524641662</v>
      </c>
    </row>
    <row r="280" spans="1:3" ht="15" customHeight="1" x14ac:dyDescent="0.2">
      <c r="A280" s="11">
        <f>Dados!A308</f>
        <v>44889</v>
      </c>
      <c r="B280" s="12">
        <f>STDEV(Dados!D279:D308)*SQRT(252)</f>
        <v>0.29975228474897458</v>
      </c>
      <c r="C280" s="12">
        <f>STDEV(Dados!E279:E308)*SQRT(252)</f>
        <v>0.26708949723996411</v>
      </c>
    </row>
    <row r="281" spans="1:3" ht="15" customHeight="1" x14ac:dyDescent="0.2">
      <c r="A281" s="11">
        <f>Dados!A309</f>
        <v>44890</v>
      </c>
      <c r="B281" s="12">
        <f>STDEV(Dados!D280:D309)*SQRT(252)</f>
        <v>0.30903065831658194</v>
      </c>
      <c r="C281" s="12">
        <f>STDEV(Dados!E280:E309)*SQRT(252)</f>
        <v>0.27553518663098103</v>
      </c>
    </row>
    <row r="282" spans="1:3" ht="15" customHeight="1" x14ac:dyDescent="0.2">
      <c r="A282" s="11">
        <f>Dados!A310</f>
        <v>44893</v>
      </c>
      <c r="B282" s="12">
        <f>STDEV(Dados!D281:D310)*SQRT(252)</f>
        <v>0.30890647133377991</v>
      </c>
      <c r="C282" s="12">
        <f>STDEV(Dados!E281:E310)*SQRT(252)</f>
        <v>0.27540232452494601</v>
      </c>
    </row>
    <row r="283" spans="1:3" ht="15" customHeight="1" x14ac:dyDescent="0.2">
      <c r="A283" s="11">
        <f>Dados!A311</f>
        <v>44894</v>
      </c>
      <c r="B283" s="12">
        <f>STDEV(Dados!D282:D311)*SQRT(252)</f>
        <v>0.30873570693025099</v>
      </c>
      <c r="C283" s="12">
        <f>STDEV(Dados!E282:E311)*SQRT(252)</f>
        <v>0.27643860326905545</v>
      </c>
    </row>
    <row r="284" spans="1:3" ht="15" customHeight="1" x14ac:dyDescent="0.2">
      <c r="A284" s="11">
        <f>Dados!A312</f>
        <v>44895</v>
      </c>
      <c r="B284" s="12">
        <f>STDEV(Dados!D283:D312)*SQRT(252)</f>
        <v>0.30662044068286542</v>
      </c>
      <c r="C284" s="12">
        <f>STDEV(Dados!E283:E312)*SQRT(252)</f>
        <v>0.27659849452722518</v>
      </c>
    </row>
    <row r="285" spans="1:3" ht="15" customHeight="1" x14ac:dyDescent="0.2">
      <c r="A285" s="11">
        <f>Dados!A313</f>
        <v>44896</v>
      </c>
      <c r="B285" s="12">
        <f>STDEV(Dados!D284:D313)*SQRT(252)</f>
        <v>0.30347898959429664</v>
      </c>
      <c r="C285" s="12">
        <f>STDEV(Dados!E284:E313)*SQRT(252)</f>
        <v>0.27338736645352746</v>
      </c>
    </row>
    <row r="286" spans="1:3" ht="15" customHeight="1" x14ac:dyDescent="0.2">
      <c r="A286" s="11">
        <f>Dados!A314</f>
        <v>44897</v>
      </c>
      <c r="B286" s="12">
        <f>STDEV(Dados!D285:D314)*SQRT(252)</f>
        <v>0.30422554247268963</v>
      </c>
      <c r="C286" s="12">
        <f>STDEV(Dados!E285:E314)*SQRT(252)</f>
        <v>0.27451411694502953</v>
      </c>
    </row>
    <row r="287" spans="1:3" ht="15" customHeight="1" x14ac:dyDescent="0.2">
      <c r="A287" s="11">
        <f>Dados!A315</f>
        <v>44900</v>
      </c>
      <c r="B287" s="12">
        <f>STDEV(Dados!D286:D315)*SQRT(252)</f>
        <v>0.31308812885346288</v>
      </c>
      <c r="C287" s="12">
        <f>STDEV(Dados!E286:E315)*SQRT(252)</f>
        <v>0.28003480067881309</v>
      </c>
    </row>
    <row r="288" spans="1:3" ht="15" customHeight="1" x14ac:dyDescent="0.2">
      <c r="A288" s="11">
        <f>Dados!A316</f>
        <v>44901</v>
      </c>
      <c r="B288" s="12">
        <f>STDEV(Dados!D287:D316)*SQRT(252)</f>
        <v>0.30594395313594269</v>
      </c>
      <c r="C288" s="12">
        <f>STDEV(Dados!E287:E316)*SQRT(252)</f>
        <v>0.27101486014000264</v>
      </c>
    </row>
    <row r="289" spans="1:3" ht="15" customHeight="1" x14ac:dyDescent="0.2">
      <c r="A289" s="11">
        <f>Dados!A317</f>
        <v>44902</v>
      </c>
      <c r="B289" s="12">
        <f>STDEV(Dados!D288:D317)*SQRT(252)</f>
        <v>0.29776078958881269</v>
      </c>
      <c r="C289" s="12">
        <f>STDEV(Dados!E288:E317)*SQRT(252)</f>
        <v>0.25642542127238738</v>
      </c>
    </row>
    <row r="290" spans="1:3" ht="15" customHeight="1" x14ac:dyDescent="0.2">
      <c r="A290" s="11">
        <f>Dados!A318</f>
        <v>44903</v>
      </c>
      <c r="B290" s="12">
        <f>STDEV(Dados!D289:D318)*SQRT(252)</f>
        <v>0.30362907452025151</v>
      </c>
      <c r="C290" s="12">
        <f>STDEV(Dados!E289:E318)*SQRT(252)</f>
        <v>0.25841676317426815</v>
      </c>
    </row>
    <row r="291" spans="1:3" ht="15" customHeight="1" x14ac:dyDescent="0.2">
      <c r="A291" s="11">
        <f>Dados!A319</f>
        <v>44904</v>
      </c>
      <c r="B291" s="12">
        <f>STDEV(Dados!D290:D319)*SQRT(252)</f>
        <v>0.29723793518573965</v>
      </c>
      <c r="C291" s="12">
        <f>STDEV(Dados!E290:E319)*SQRT(252)</f>
        <v>0.25520326297310392</v>
      </c>
    </row>
    <row r="292" spans="1:3" ht="15" customHeight="1" x14ac:dyDescent="0.2">
      <c r="A292" s="11">
        <f>Dados!A320</f>
        <v>44907</v>
      </c>
      <c r="B292" s="12">
        <f>STDEV(Dados!D291:D320)*SQRT(252)</f>
        <v>0.28485512043306033</v>
      </c>
      <c r="C292" s="12">
        <f>STDEV(Dados!E291:E320)*SQRT(252)</f>
        <v>0.25491362798884637</v>
      </c>
    </row>
    <row r="293" spans="1:3" ht="15" customHeight="1" x14ac:dyDescent="0.2">
      <c r="A293" s="11">
        <f>Dados!A321</f>
        <v>44908</v>
      </c>
      <c r="B293" s="12">
        <f>STDEV(Dados!D292:D321)*SQRT(252)</f>
        <v>0.28649738253610102</v>
      </c>
      <c r="C293" s="12">
        <f>STDEV(Dados!E292:E321)*SQRT(252)</f>
        <v>0.25823231445623662</v>
      </c>
    </row>
    <row r="294" spans="1:3" ht="15" customHeight="1" x14ac:dyDescent="0.2">
      <c r="A294" s="11">
        <f>Dados!A322</f>
        <v>44909</v>
      </c>
      <c r="B294" s="12">
        <f>STDEV(Dados!D293:D322)*SQRT(252)</f>
        <v>0.27659662405495844</v>
      </c>
      <c r="C294" s="12">
        <f>STDEV(Dados!E293:E322)*SQRT(252)</f>
        <v>0.25411086787676834</v>
      </c>
    </row>
    <row r="295" spans="1:3" ht="15" customHeight="1" x14ac:dyDescent="0.2">
      <c r="A295" s="11">
        <f>Dados!A323</f>
        <v>44910</v>
      </c>
      <c r="B295" s="12">
        <f>STDEV(Dados!D294:D323)*SQRT(252)</f>
        <v>0.27468972089663329</v>
      </c>
      <c r="C295" s="12">
        <f>STDEV(Dados!E294:E323)*SQRT(252)</f>
        <v>0.25207890967048768</v>
      </c>
    </row>
    <row r="296" spans="1:3" ht="15" customHeight="1" x14ac:dyDescent="0.2">
      <c r="A296" s="11">
        <f>Dados!A324</f>
        <v>44911</v>
      </c>
      <c r="B296" s="12">
        <f>STDEV(Dados!D295:D324)*SQRT(252)</f>
        <v>0.2718692224425161</v>
      </c>
      <c r="C296" s="12">
        <f>STDEV(Dados!E295:E324)*SQRT(252)</f>
        <v>0.25215939824297529</v>
      </c>
    </row>
    <row r="297" spans="1:3" ht="15" customHeight="1" x14ac:dyDescent="0.2">
      <c r="A297" s="11">
        <f>Dados!A325</f>
        <v>44914</v>
      </c>
      <c r="B297" s="12">
        <f>STDEV(Dados!D296:D325)*SQRT(252)</f>
        <v>0.28553961664925026</v>
      </c>
      <c r="C297" s="12">
        <f>STDEV(Dados!E296:E325)*SQRT(252)</f>
        <v>0.25687624532290143</v>
      </c>
    </row>
    <row r="298" spans="1:3" ht="15" customHeight="1" x14ac:dyDescent="0.2">
      <c r="A298" s="11">
        <f>Dados!A326</f>
        <v>44915</v>
      </c>
      <c r="B298" s="12">
        <f>STDEV(Dados!D297:D326)*SQRT(252)</f>
        <v>0.29094095896619893</v>
      </c>
      <c r="C298" s="12">
        <f>STDEV(Dados!E297:E326)*SQRT(252)</f>
        <v>0.25876864228722735</v>
      </c>
    </row>
    <row r="299" spans="1:3" ht="15" customHeight="1" x14ac:dyDescent="0.2">
      <c r="A299" s="11">
        <f>Dados!A327</f>
        <v>44916</v>
      </c>
      <c r="B299" s="12">
        <f>STDEV(Dados!D298:D327)*SQRT(252)</f>
        <v>0.29098646382715349</v>
      </c>
      <c r="C299" s="12">
        <f>STDEV(Dados!E298:E327)*SQRT(252)</f>
        <v>0.25825124987100639</v>
      </c>
    </row>
    <row r="300" spans="1:3" ht="15" customHeight="1" x14ac:dyDescent="0.2">
      <c r="A300" s="11">
        <f>Dados!A328</f>
        <v>44917</v>
      </c>
      <c r="B300" s="12">
        <f>STDEV(Dados!D299:D328)*SQRT(252)</f>
        <v>0.28282656138130613</v>
      </c>
      <c r="C300" s="12">
        <f>STDEV(Dados!E299:E328)*SQRT(252)</f>
        <v>0.25144752403022286</v>
      </c>
    </row>
    <row r="301" spans="1:3" ht="15" customHeight="1" x14ac:dyDescent="0.2">
      <c r="A301" s="11">
        <f>Dados!A329</f>
        <v>44918</v>
      </c>
      <c r="B301" s="12">
        <f>STDEV(Dados!D300:D329)*SQRT(252)</f>
        <v>0.26266379426636494</v>
      </c>
      <c r="C301" s="12">
        <f>STDEV(Dados!E300:E329)*SQRT(252)</f>
        <v>0.23956111251999898</v>
      </c>
    </row>
    <row r="302" spans="1:3" ht="15" customHeight="1" x14ac:dyDescent="0.2">
      <c r="A302" s="11">
        <f>Dados!A330</f>
        <v>44921</v>
      </c>
      <c r="B302" s="12">
        <f>STDEV(Dados!D301:D330)*SQRT(252)</f>
        <v>0.26459067996592306</v>
      </c>
      <c r="C302" s="12">
        <f>STDEV(Dados!E301:E330)*SQRT(252)</f>
        <v>0.23116637679112684</v>
      </c>
    </row>
    <row r="303" spans="1:3" ht="15" customHeight="1" x14ac:dyDescent="0.2">
      <c r="A303" s="11">
        <f>Dados!A331</f>
        <v>44922</v>
      </c>
      <c r="B303" s="12">
        <f>STDEV(Dados!D302:D331)*SQRT(252)</f>
        <v>0.26522467954880735</v>
      </c>
      <c r="C303" s="12">
        <f>STDEV(Dados!E302:E331)*SQRT(252)</f>
        <v>0.22954480981693196</v>
      </c>
    </row>
    <row r="304" spans="1:3" ht="15" customHeight="1" x14ac:dyDescent="0.2">
      <c r="A304" s="11">
        <f>Dados!A332</f>
        <v>44923</v>
      </c>
      <c r="B304" s="12">
        <f>STDEV(Dados!D303:D332)*SQRT(252)</f>
        <v>0.26310108641790003</v>
      </c>
      <c r="C304" s="12">
        <f>STDEV(Dados!E303:E332)*SQRT(252)</f>
        <v>0.22193102565307543</v>
      </c>
    </row>
    <row r="305" spans="1:3" ht="15" customHeight="1" x14ac:dyDescent="0.2">
      <c r="A305" s="11">
        <f>Dados!A333</f>
        <v>44924</v>
      </c>
      <c r="B305" s="12">
        <f>STDEV(Dados!D304:D333)*SQRT(252)</f>
        <v>0.26256469103066377</v>
      </c>
      <c r="C305" s="12">
        <f>STDEV(Dados!E304:E333)*SQRT(252)</f>
        <v>0.22186676945732164</v>
      </c>
    </row>
    <row r="306" spans="1:3" ht="15" customHeight="1" x14ac:dyDescent="0.2">
      <c r="A306" s="11">
        <f>Dados!A334</f>
        <v>44928</v>
      </c>
      <c r="B306" s="12">
        <f>STDEV(Dados!D305:D334)*SQRT(252)</f>
        <v>0.28158899989409031</v>
      </c>
      <c r="C306" s="12">
        <f>STDEV(Dados!E305:E334)*SQRT(252)</f>
        <v>0.23866905350187997</v>
      </c>
    </row>
    <row r="307" spans="1:3" ht="15" customHeight="1" x14ac:dyDescent="0.2">
      <c r="A307" s="11">
        <f>Dados!A335</f>
        <v>44929</v>
      </c>
      <c r="B307" s="12">
        <f>STDEV(Dados!D306:D335)*SQRT(252)</f>
        <v>0.2850200525576202</v>
      </c>
      <c r="C307" s="12">
        <f>STDEV(Dados!E306:E335)*SQRT(252)</f>
        <v>0.24412817690678529</v>
      </c>
    </row>
    <row r="308" spans="1:3" ht="15" customHeight="1" x14ac:dyDescent="0.2">
      <c r="A308" s="11">
        <f>Dados!A336</f>
        <v>44930</v>
      </c>
      <c r="B308" s="12">
        <f>STDEV(Dados!D307:D336)*SQRT(252)</f>
        <v>0.28829621868421762</v>
      </c>
      <c r="C308" s="12">
        <f>STDEV(Dados!E307:E336)*SQRT(252)</f>
        <v>0.24648611270050391</v>
      </c>
    </row>
    <row r="309" spans="1:3" ht="15" customHeight="1" x14ac:dyDescent="0.2">
      <c r="A309" s="11">
        <f>Dados!A337</f>
        <v>44931</v>
      </c>
      <c r="B309" s="12">
        <f>STDEV(Dados!D308:D337)*SQRT(252)</f>
        <v>0.29578504002251038</v>
      </c>
      <c r="C309" s="12">
        <f>STDEV(Dados!E308:E337)*SQRT(252)</f>
        <v>0.25517890823110567</v>
      </c>
    </row>
    <row r="310" spans="1:3" ht="15" customHeight="1" x14ac:dyDescent="0.2">
      <c r="A310" s="11">
        <f>Dados!A338</f>
        <v>44932</v>
      </c>
      <c r="B310" s="12">
        <f>STDEV(Dados!D309:D338)*SQRT(252)</f>
        <v>0.28359422223990233</v>
      </c>
      <c r="C310" s="12">
        <f>STDEV(Dados!E309:E338)*SQRT(252)</f>
        <v>0.24468582316949092</v>
      </c>
    </row>
    <row r="311" spans="1:3" ht="15" customHeight="1" x14ac:dyDescent="0.2">
      <c r="A311" s="11">
        <f>Dados!A339</f>
        <v>44935</v>
      </c>
      <c r="B311" s="12">
        <f>STDEV(Dados!D310:D339)*SQRT(252)</f>
        <v>0.27181426847585821</v>
      </c>
      <c r="C311" s="12">
        <f>STDEV(Dados!E310:E339)*SQRT(252)</f>
        <v>0.2329776655194776</v>
      </c>
    </row>
    <row r="312" spans="1:3" ht="15" customHeight="1" x14ac:dyDescent="0.2">
      <c r="A312" s="11">
        <f>Dados!A340</f>
        <v>44936</v>
      </c>
      <c r="B312" s="12">
        <f>STDEV(Dados!D311:D340)*SQRT(252)</f>
        <v>0.27735217645986443</v>
      </c>
      <c r="C312" s="12">
        <f>STDEV(Dados!E311:E340)*SQRT(252)</f>
        <v>0.23705842080035558</v>
      </c>
    </row>
    <row r="313" spans="1:3" ht="15" customHeight="1" x14ac:dyDescent="0.2">
      <c r="A313" s="11">
        <f>Dados!A341</f>
        <v>44937</v>
      </c>
      <c r="B313" s="12">
        <f>STDEV(Dados!D312:D341)*SQRT(252)</f>
        <v>0.27966728273987779</v>
      </c>
      <c r="C313" s="12">
        <f>STDEV(Dados!E312:E341)*SQRT(252)</f>
        <v>0.23449710351782646</v>
      </c>
    </row>
    <row r="314" spans="1:3" ht="15" customHeight="1" x14ac:dyDescent="0.2">
      <c r="A314" s="11">
        <f>Dados!A342</f>
        <v>44938</v>
      </c>
      <c r="B314" s="12">
        <f>STDEV(Dados!D313:D342)*SQRT(252)</f>
        <v>0.2803614365300256</v>
      </c>
      <c r="C314" s="12">
        <f>STDEV(Dados!E313:E342)*SQRT(252)</f>
        <v>0.23155287362501958</v>
      </c>
    </row>
    <row r="315" spans="1:3" ht="15" customHeight="1" x14ac:dyDescent="0.2">
      <c r="A315" s="11">
        <f>Dados!A343</f>
        <v>44939</v>
      </c>
      <c r="B315" s="12">
        <f>STDEV(Dados!D314:D343)*SQRT(252)</f>
        <v>0.27755098884303703</v>
      </c>
      <c r="C315" s="12">
        <f>STDEV(Dados!E314:E343)*SQRT(252)</f>
        <v>0.22922106490448965</v>
      </c>
    </row>
    <row r="316" spans="1:3" ht="15" customHeight="1" x14ac:dyDescent="0.2">
      <c r="A316" s="11">
        <f>Dados!A344</f>
        <v>44942</v>
      </c>
      <c r="B316" s="12">
        <f>STDEV(Dados!D315:D344)*SQRT(252)</f>
        <v>0.27916942518146054</v>
      </c>
      <c r="C316" s="12">
        <f>STDEV(Dados!E315:E344)*SQRT(252)</f>
        <v>0.23184363852396697</v>
      </c>
    </row>
    <row r="317" spans="1:3" ht="15" customHeight="1" x14ac:dyDescent="0.2">
      <c r="A317" s="11">
        <f>Dados!A345</f>
        <v>44943</v>
      </c>
      <c r="B317" s="12">
        <f>STDEV(Dados!D316:D345)*SQRT(252)</f>
        <v>0.27297786917112493</v>
      </c>
      <c r="C317" s="12">
        <f>STDEV(Dados!E316:E345)*SQRT(252)</f>
        <v>0.22988571907673866</v>
      </c>
    </row>
    <row r="318" spans="1:3" ht="15" customHeight="1" x14ac:dyDescent="0.2">
      <c r="A318" s="11">
        <f>Dados!A346</f>
        <v>44944</v>
      </c>
      <c r="B318" s="12">
        <f>STDEV(Dados!D317:D346)*SQRT(252)</f>
        <v>0.27234118012803255</v>
      </c>
      <c r="C318" s="12">
        <f>STDEV(Dados!E317:E346)*SQRT(252)</f>
        <v>0.22985575745026637</v>
      </c>
    </row>
    <row r="319" spans="1:3" ht="15" customHeight="1" x14ac:dyDescent="0.2">
      <c r="A319" s="11">
        <f>Dados!A347</f>
        <v>44945</v>
      </c>
      <c r="B319" s="12">
        <f>STDEV(Dados!D318:D347)*SQRT(252)</f>
        <v>0.27236787798480494</v>
      </c>
      <c r="C319" s="12">
        <f>STDEV(Dados!E318:E347)*SQRT(252)</f>
        <v>0.22804652254423938</v>
      </c>
    </row>
    <row r="320" spans="1:3" ht="15" customHeight="1" x14ac:dyDescent="0.2">
      <c r="A320" s="11">
        <f>Dados!A348</f>
        <v>44946</v>
      </c>
      <c r="B320" s="12">
        <f>STDEV(Dados!D319:D348)*SQRT(252)</f>
        <v>0.26367722989784348</v>
      </c>
      <c r="C320" s="12">
        <f>STDEV(Dados!E319:E348)*SQRT(252)</f>
        <v>0.22332344940612392</v>
      </c>
    </row>
    <row r="321" spans="1:3" ht="15" customHeight="1" x14ac:dyDescent="0.2">
      <c r="A321" s="11">
        <f>Dados!A349</f>
        <v>44949</v>
      </c>
      <c r="B321" s="12">
        <f>STDEV(Dados!D320:D349)*SQRT(252)</f>
        <v>0.26350037312593261</v>
      </c>
      <c r="C321" s="12">
        <f>STDEV(Dados!E320:E349)*SQRT(252)</f>
        <v>0.22362226763335977</v>
      </c>
    </row>
    <row r="322" spans="1:3" ht="15" customHeight="1" x14ac:dyDescent="0.2">
      <c r="A322" s="11">
        <f>Dados!A350</f>
        <v>44950</v>
      </c>
      <c r="B322" s="12">
        <f>STDEV(Dados!D321:D350)*SQRT(252)</f>
        <v>0.26023434179036919</v>
      </c>
      <c r="C322" s="12">
        <f>STDEV(Dados!E321:E350)*SQRT(252)</f>
        <v>0.21566255578301721</v>
      </c>
    </row>
    <row r="323" spans="1:3" ht="15" customHeight="1" x14ac:dyDescent="0.2">
      <c r="A323" s="11">
        <f>Dados!A351</f>
        <v>44951</v>
      </c>
      <c r="B323" s="12">
        <f>STDEV(Dados!D322:D351)*SQRT(252)</f>
        <v>0.25003080577109726</v>
      </c>
      <c r="C323" s="12">
        <f>STDEV(Dados!E322:E351)*SQRT(252)</f>
        <v>0.20875373883530321</v>
      </c>
    </row>
    <row r="324" spans="1:3" ht="15" customHeight="1" x14ac:dyDescent="0.2">
      <c r="A324" s="11">
        <f>Dados!A352</f>
        <v>44952</v>
      </c>
      <c r="B324" s="12">
        <f>STDEV(Dados!D323:D352)*SQRT(252)</f>
        <v>0.25049010380980036</v>
      </c>
      <c r="C324" s="12">
        <f>STDEV(Dados!E323:E352)*SQRT(252)</f>
        <v>0.20906152185870752</v>
      </c>
    </row>
    <row r="325" spans="1:3" ht="15" customHeight="1" x14ac:dyDescent="0.2">
      <c r="A325" s="11">
        <f>Dados!A353</f>
        <v>44953</v>
      </c>
      <c r="B325" s="12">
        <f>STDEV(Dados!D324:D353)*SQRT(252)</f>
        <v>0.25476704212778595</v>
      </c>
      <c r="C325" s="12">
        <f>STDEV(Dados!E324:E353)*SQRT(252)</f>
        <v>0.21653335632566453</v>
      </c>
    </row>
    <row r="326" spans="1:3" ht="15" customHeight="1" x14ac:dyDescent="0.2">
      <c r="A326" s="11">
        <f>Dados!A354</f>
        <v>44956</v>
      </c>
      <c r="B326" s="12">
        <f>STDEV(Dados!D325:D354)*SQRT(252)</f>
        <v>0.25360428805009483</v>
      </c>
      <c r="C326" s="12">
        <f>STDEV(Dados!E325:E354)*SQRT(252)</f>
        <v>0.21414903003000144</v>
      </c>
    </row>
    <row r="327" spans="1:3" ht="15" customHeight="1" x14ac:dyDescent="0.2">
      <c r="A327" s="11">
        <f>Dados!A355</f>
        <v>44957</v>
      </c>
      <c r="B327" s="12">
        <f>STDEV(Dados!D326:D355)*SQRT(252)</f>
        <v>0.24629124623630944</v>
      </c>
      <c r="C327" s="12">
        <f>STDEV(Dados!E326:E355)*SQRT(252)</f>
        <v>0.2104619413398876</v>
      </c>
    </row>
    <row r="328" spans="1:3" ht="15" customHeight="1" x14ac:dyDescent="0.2">
      <c r="A328" s="11">
        <f>Dados!A356</f>
        <v>44958</v>
      </c>
      <c r="B328" s="12">
        <f>STDEV(Dados!D327:D356)*SQRT(252)</f>
        <v>0.24109257881678142</v>
      </c>
      <c r="C328" s="12">
        <f>STDEV(Dados!E327:E356)*SQRT(252)</f>
        <v>0.2079298368287554</v>
      </c>
    </row>
    <row r="329" spans="1:3" ht="15" customHeight="1" x14ac:dyDescent="0.2">
      <c r="A329" s="11">
        <f>Dados!A357</f>
        <v>44959</v>
      </c>
      <c r="B329" s="12">
        <f>STDEV(Dados!D328:D357)*SQRT(252)</f>
        <v>0.24242773494175771</v>
      </c>
      <c r="C329" s="12">
        <f>STDEV(Dados!E328:E357)*SQRT(252)</f>
        <v>0.21470187396980422</v>
      </c>
    </row>
    <row r="330" spans="1:3" ht="15" customHeight="1" x14ac:dyDescent="0.2">
      <c r="A330" s="11">
        <f>Dados!A358</f>
        <v>44960</v>
      </c>
      <c r="B330" s="12">
        <f>STDEV(Dados!D329:D358)*SQRT(252)</f>
        <v>0.24955880548738382</v>
      </c>
      <c r="C330" s="12">
        <f>STDEV(Dados!E329:E358)*SQRT(252)</f>
        <v>0.21942090465088973</v>
      </c>
    </row>
    <row r="331" spans="1:3" ht="15" customHeight="1" x14ac:dyDescent="0.2">
      <c r="A331" s="11">
        <f>Dados!A359</f>
        <v>44963</v>
      </c>
      <c r="B331" s="12">
        <f>STDEV(Dados!D330:D359)*SQRT(252)</f>
        <v>0.240181976136875</v>
      </c>
      <c r="C331" s="12">
        <f>STDEV(Dados!E330:E359)*SQRT(252)</f>
        <v>0.21162031786888422</v>
      </c>
    </row>
    <row r="332" spans="1:3" ht="15" customHeight="1" x14ac:dyDescent="0.2">
      <c r="A332" s="11">
        <f>Dados!A360</f>
        <v>44964</v>
      </c>
      <c r="B332" s="12">
        <f>STDEV(Dados!D331:D360)*SQRT(252)</f>
        <v>0.23953999695299399</v>
      </c>
      <c r="C332" s="12">
        <f>STDEV(Dados!E331:E360)*SQRT(252)</f>
        <v>0.2114339437896991</v>
      </c>
    </row>
    <row r="333" spans="1:3" ht="15" customHeight="1" x14ac:dyDescent="0.2">
      <c r="A333" s="11">
        <f>Dados!A361</f>
        <v>44965</v>
      </c>
      <c r="B333" s="12">
        <f>STDEV(Dados!D332:D361)*SQRT(252)</f>
        <v>0.24727640466939874</v>
      </c>
      <c r="C333" s="12">
        <f>STDEV(Dados!E332:E361)*SQRT(252)</f>
        <v>0.21899131130761454</v>
      </c>
    </row>
    <row r="334" spans="1:3" ht="15" customHeight="1" x14ac:dyDescent="0.2">
      <c r="A334" s="11">
        <f>Dados!A362</f>
        <v>44966</v>
      </c>
      <c r="B334" s="12">
        <f>STDEV(Dados!D333:D362)*SQRT(252)</f>
        <v>0.24617103356744907</v>
      </c>
      <c r="C334" s="12">
        <f>STDEV(Dados!E333:E362)*SQRT(252)</f>
        <v>0.22055913500257932</v>
      </c>
    </row>
    <row r="335" spans="1:3" ht="15" customHeight="1" x14ac:dyDescent="0.2">
      <c r="A335" s="11">
        <f>Dados!A363</f>
        <v>44967</v>
      </c>
      <c r="B335" s="12">
        <f>STDEV(Dados!D334:D363)*SQRT(252)</f>
        <v>0.24614291301764413</v>
      </c>
      <c r="C335" s="12">
        <f>STDEV(Dados!E334:E363)*SQRT(252)</f>
        <v>0.22027883562714135</v>
      </c>
    </row>
    <row r="336" spans="1:3" ht="15" customHeight="1" x14ac:dyDescent="0.2">
      <c r="A336" s="11">
        <f>Dados!A364</f>
        <v>44970</v>
      </c>
      <c r="B336" s="12">
        <f>STDEV(Dados!D335:D364)*SQRT(252)</f>
        <v>0.22468286877864507</v>
      </c>
      <c r="C336" s="12">
        <f>STDEV(Dados!E335:E364)*SQRT(252)</f>
        <v>0.20115773588060848</v>
      </c>
    </row>
    <row r="337" spans="1:3" ht="15" customHeight="1" x14ac:dyDescent="0.2">
      <c r="A337" s="11">
        <f>Dados!A365</f>
        <v>44971</v>
      </c>
      <c r="B337" s="12">
        <f>STDEV(Dados!D336:D365)*SQRT(252)</f>
        <v>0.21528311618878943</v>
      </c>
      <c r="C337" s="12">
        <f>STDEV(Dados!E336:E365)*SQRT(252)</f>
        <v>0.19276225560726351</v>
      </c>
    </row>
    <row r="338" spans="1:3" ht="15" customHeight="1" x14ac:dyDescent="0.2">
      <c r="A338" s="11">
        <f>Dados!A366</f>
        <v>44972</v>
      </c>
      <c r="B338" s="12">
        <f>STDEV(Dados!D337:D366)*SQRT(252)</f>
        <v>0.21702922352693316</v>
      </c>
      <c r="C338" s="12">
        <f>STDEV(Dados!E337:E366)*SQRT(252)</f>
        <v>0.19550946639379485</v>
      </c>
    </row>
    <row r="339" spans="1:3" ht="15" customHeight="1" x14ac:dyDescent="0.2">
      <c r="A339" s="11">
        <f>Dados!A367</f>
        <v>44973</v>
      </c>
      <c r="B339" s="12">
        <f>STDEV(Dados!D338:D367)*SQRT(252)</f>
        <v>0.20893650288650706</v>
      </c>
      <c r="C339" s="12">
        <f>STDEV(Dados!E338:E367)*SQRT(252)</f>
        <v>0.18589261354776174</v>
      </c>
    </row>
    <row r="340" spans="1:3" ht="15" customHeight="1" x14ac:dyDescent="0.2">
      <c r="A340" s="11">
        <f>Dados!A368</f>
        <v>44974</v>
      </c>
      <c r="B340" s="12">
        <f>STDEV(Dados!D339:D368)*SQRT(252)</f>
        <v>0.20501367151932631</v>
      </c>
      <c r="C340" s="12">
        <f>STDEV(Dados!E339:E368)*SQRT(252)</f>
        <v>0.18387564268489828</v>
      </c>
    </row>
    <row r="341" spans="1:3" ht="15" customHeight="1" x14ac:dyDescent="0.2">
      <c r="A341" s="11">
        <f>Dados!A369</f>
        <v>44979</v>
      </c>
      <c r="B341" s="12">
        <f>STDEV(Dados!D340:D369)*SQRT(252)</f>
        <v>0.21258006626874057</v>
      </c>
      <c r="C341" s="12">
        <f>STDEV(Dados!E340:E369)*SQRT(252)</f>
        <v>0.19167722236342291</v>
      </c>
    </row>
    <row r="342" spans="1:3" ht="15" customHeight="1" x14ac:dyDescent="0.2">
      <c r="A342" s="11">
        <f>Dados!A370</f>
        <v>44980</v>
      </c>
      <c r="B342" s="12">
        <f>STDEV(Dados!D341:D370)*SQRT(252)</f>
        <v>0.20519453347127631</v>
      </c>
      <c r="C342" s="12">
        <f>STDEV(Dados!E341:E370)*SQRT(252)</f>
        <v>0.18624246525727353</v>
      </c>
    </row>
    <row r="343" spans="1:3" ht="15" customHeight="1" x14ac:dyDescent="0.2">
      <c r="A343" s="11">
        <f>Dados!A371</f>
        <v>44981</v>
      </c>
      <c r="B343" s="12">
        <f>STDEV(Dados!D342:D371)*SQRT(252)</f>
        <v>0.20092331762480123</v>
      </c>
      <c r="C343" s="12">
        <f>STDEV(Dados!E342:E371)*SQRT(252)</f>
        <v>0.18516518232937415</v>
      </c>
    </row>
    <row r="344" spans="1:3" ht="15" customHeight="1" x14ac:dyDescent="0.2">
      <c r="A344" s="11">
        <f>Dados!A372</f>
        <v>44984</v>
      </c>
      <c r="B344" s="12">
        <f>STDEV(Dados!D343:D372)*SQRT(252)</f>
        <v>0.19826173801725616</v>
      </c>
      <c r="C344" s="12">
        <f>STDEV(Dados!E343:E372)*SQRT(252)</f>
        <v>0.18482417181145963</v>
      </c>
    </row>
    <row r="345" spans="1:3" ht="15" customHeight="1" x14ac:dyDescent="0.2">
      <c r="A345" s="11">
        <f>Dados!A373</f>
        <v>44985</v>
      </c>
      <c r="B345" s="12">
        <f>STDEV(Dados!D344:D373)*SQRT(252)</f>
        <v>0.19655179541125936</v>
      </c>
      <c r="C345" s="12">
        <f>STDEV(Dados!E344:E373)*SQRT(252)</f>
        <v>0.18454374016362166</v>
      </c>
    </row>
    <row r="346" spans="1:3" ht="15" customHeight="1" x14ac:dyDescent="0.2">
      <c r="A346" s="11">
        <f>Dados!A374</f>
        <v>44986</v>
      </c>
      <c r="B346" s="12">
        <f>STDEV(Dados!D345:D374)*SQRT(252)</f>
        <v>0.19520262778453421</v>
      </c>
      <c r="C346" s="12">
        <f>STDEV(Dados!E345:E374)*SQRT(252)</f>
        <v>0.18031119060788575</v>
      </c>
    </row>
    <row r="347" spans="1:3" ht="15" customHeight="1" x14ac:dyDescent="0.2">
      <c r="A347" s="11">
        <f>Dados!A375</f>
        <v>44987</v>
      </c>
      <c r="B347" s="12">
        <f>STDEV(Dados!D346:D375)*SQRT(252)</f>
        <v>0.18441493087073277</v>
      </c>
      <c r="C347" s="12">
        <f>STDEV(Dados!E346:E375)*SQRT(252)</f>
        <v>0.1697500682117794</v>
      </c>
    </row>
    <row r="348" spans="1:3" ht="15" customHeight="1" x14ac:dyDescent="0.2">
      <c r="A348" s="11">
        <f>Dados!A376</f>
        <v>44988</v>
      </c>
      <c r="B348" s="12">
        <f>STDEV(Dados!D347:D376)*SQRT(252)</f>
        <v>0.18282260608355203</v>
      </c>
      <c r="C348" s="12">
        <f>STDEV(Dados!E347:E376)*SQRT(252)</f>
        <v>0.16892895604423805</v>
      </c>
    </row>
    <row r="349" spans="1:3" ht="15" customHeight="1" x14ac:dyDescent="0.2">
      <c r="A349" s="11">
        <f>Dados!A377</f>
        <v>44991</v>
      </c>
      <c r="B349" s="12">
        <f>STDEV(Dados!D348:D377)*SQRT(252)</f>
        <v>0.19219911979132753</v>
      </c>
      <c r="C349" s="12">
        <f>STDEV(Dados!E348:E377)*SQRT(252)</f>
        <v>0.16983454372495096</v>
      </c>
    </row>
    <row r="350" spans="1:3" ht="15" customHeight="1" x14ac:dyDescent="0.2">
      <c r="A350" s="11">
        <f>Dados!A378</f>
        <v>44992</v>
      </c>
      <c r="B350" s="12">
        <f>STDEV(Dados!D349:D378)*SQRT(252)</f>
        <v>0.18998208055995824</v>
      </c>
      <c r="C350" s="12">
        <f>STDEV(Dados!E349:E378)*SQRT(252)</f>
        <v>0.16920416000064978</v>
      </c>
    </row>
    <row r="351" spans="1:3" ht="15" customHeight="1" x14ac:dyDescent="0.2">
      <c r="A351" s="11">
        <f>Dados!A379</f>
        <v>44993</v>
      </c>
      <c r="B351" s="12">
        <f>STDEV(Dados!D350:D379)*SQRT(252)</f>
        <v>0.20601704111967367</v>
      </c>
      <c r="C351" s="12">
        <f>STDEV(Dados!E350:E379)*SQRT(252)</f>
        <v>0.18331685048843646</v>
      </c>
    </row>
    <row r="352" spans="1:3" ht="15" customHeight="1" x14ac:dyDescent="0.2">
      <c r="A352" s="11">
        <f>Dados!A380</f>
        <v>44994</v>
      </c>
      <c r="B352" s="12">
        <f>STDEV(Dados!D351:D380)*SQRT(252)</f>
        <v>0.20232288968186746</v>
      </c>
      <c r="C352" s="12">
        <f>STDEV(Dados!E351:E380)*SQRT(252)</f>
        <v>0.18233742414908272</v>
      </c>
    </row>
    <row r="353" spans="1:3" ht="15" customHeight="1" x14ac:dyDescent="0.2">
      <c r="A353" s="11">
        <f>Dados!A381</f>
        <v>44995</v>
      </c>
      <c r="B353" s="12">
        <f>STDEV(Dados!D352:D381)*SQRT(252)</f>
        <v>0.20427172408130465</v>
      </c>
      <c r="C353" s="12">
        <f>STDEV(Dados!E352:E381)*SQRT(252)</f>
        <v>0.18073234190534687</v>
      </c>
    </row>
    <row r="354" spans="1:3" ht="15" customHeight="1" x14ac:dyDescent="0.2">
      <c r="A354" s="11">
        <f>Dados!A382</f>
        <v>44998</v>
      </c>
      <c r="B354" s="12">
        <f>STDEV(Dados!D353:D382)*SQRT(252)</f>
        <v>0.20428417372407787</v>
      </c>
      <c r="C354" s="12">
        <f>STDEV(Dados!E353:E382)*SQRT(252)</f>
        <v>0.18063190473230997</v>
      </c>
    </row>
    <row r="355" spans="1:3" ht="15" customHeight="1" x14ac:dyDescent="0.2">
      <c r="A355" s="11">
        <f>Dados!A383</f>
        <v>44999</v>
      </c>
      <c r="B355" s="12">
        <f>STDEV(Dados!D354:D383)*SQRT(252)</f>
        <v>0.20146214640164203</v>
      </c>
      <c r="C355" s="12">
        <f>STDEV(Dados!E354:E383)*SQRT(252)</f>
        <v>0.17637467231831586</v>
      </c>
    </row>
    <row r="356" spans="1:3" ht="15" customHeight="1" x14ac:dyDescent="0.2">
      <c r="A356" s="11">
        <f>Dados!A384</f>
        <v>45000</v>
      </c>
      <c r="B356" s="12">
        <f>STDEV(Dados!D355:D384)*SQRT(252)</f>
        <v>0.20301706793529389</v>
      </c>
      <c r="C356" s="12">
        <f>STDEV(Dados!E355:E384)*SQRT(252)</f>
        <v>0.17621793064841021</v>
      </c>
    </row>
    <row r="357" spans="1:3" ht="15" customHeight="1" x14ac:dyDescent="0.2">
      <c r="A357" s="11">
        <f>Dados!A385</f>
        <v>45001</v>
      </c>
      <c r="B357" s="12">
        <f>STDEV(Dados!D356:D385)*SQRT(252)</f>
        <v>0.20148467503132853</v>
      </c>
      <c r="C357" s="12">
        <f>STDEV(Dados!E356:E385)*SQRT(252)</f>
        <v>0.17452373895743276</v>
      </c>
    </row>
    <row r="358" spans="1:3" ht="15" customHeight="1" x14ac:dyDescent="0.2">
      <c r="A358" s="11">
        <f>Dados!A386</f>
        <v>45002</v>
      </c>
      <c r="B358" s="12">
        <f>STDEV(Dados!D357:D386)*SQRT(252)</f>
        <v>0.20652564655747305</v>
      </c>
      <c r="C358" s="12">
        <f>STDEV(Dados!E357:E386)*SQRT(252)</f>
        <v>0.17557003859693016</v>
      </c>
    </row>
    <row r="359" spans="1:3" ht="15" customHeight="1" x14ac:dyDescent="0.2">
      <c r="A359" s="11">
        <f>Dados!A387</f>
        <v>45005</v>
      </c>
      <c r="B359" s="12">
        <f>STDEV(Dados!D358:D387)*SQRT(252)</f>
        <v>0.20874501778200091</v>
      </c>
      <c r="C359" s="12">
        <f>STDEV(Dados!E358:E387)*SQRT(252)</f>
        <v>0.17177840066635441</v>
      </c>
    </row>
    <row r="360" spans="1:3" ht="15" customHeight="1" x14ac:dyDescent="0.2">
      <c r="A360" s="11">
        <f>Dados!A388</f>
        <v>45006</v>
      </c>
      <c r="B360" s="12">
        <f>STDEV(Dados!D359:D388)*SQRT(252)</f>
        <v>0.20235073105587253</v>
      </c>
      <c r="C360" s="12">
        <f>STDEV(Dados!E359:E388)*SQRT(252)</f>
        <v>0.16830453527982447</v>
      </c>
    </row>
    <row r="361" spans="1:3" ht="15" customHeight="1" x14ac:dyDescent="0.2">
      <c r="A361" s="11">
        <f>Dados!A389</f>
        <v>45007</v>
      </c>
      <c r="B361" s="12">
        <f>STDEV(Dados!D360:D389)*SQRT(252)</f>
        <v>0.20254756085911332</v>
      </c>
      <c r="C361" s="12">
        <f>STDEV(Dados!E360:E389)*SQRT(252)</f>
        <v>0.16849723616899281</v>
      </c>
    </row>
    <row r="362" spans="1:3" ht="15" customHeight="1" x14ac:dyDescent="0.2">
      <c r="A362" s="11">
        <f>Dados!A390</f>
        <v>45008</v>
      </c>
      <c r="B362" s="12">
        <f>STDEV(Dados!D361:D390)*SQRT(252)</f>
        <v>0.20885866039027656</v>
      </c>
      <c r="C362" s="12">
        <f>STDEV(Dados!E361:E390)*SQRT(252)</f>
        <v>0.1780343933430287</v>
      </c>
    </row>
    <row r="363" spans="1:3" ht="15" customHeight="1" x14ac:dyDescent="0.2">
      <c r="A363" s="11">
        <f>Dados!A391</f>
        <v>45009</v>
      </c>
      <c r="B363" s="12">
        <f>STDEV(Dados!D362:D391)*SQRT(252)</f>
        <v>0.20055372175462097</v>
      </c>
      <c r="C363" s="12">
        <f>STDEV(Dados!E362:E391)*SQRT(252)</f>
        <v>0.16889550319391183</v>
      </c>
    </row>
    <row r="364" spans="1:3" ht="15" customHeight="1" x14ac:dyDescent="0.2">
      <c r="A364" s="11">
        <f>Dados!A392</f>
        <v>45012</v>
      </c>
      <c r="B364" s="12">
        <f>STDEV(Dados!D363:D392)*SQRT(252)</f>
        <v>0.19543288265909436</v>
      </c>
      <c r="C364" s="12">
        <f>STDEV(Dados!E363:E392)*SQRT(252)</f>
        <v>0.16676890576252057</v>
      </c>
    </row>
    <row r="365" spans="1:3" ht="15" customHeight="1" x14ac:dyDescent="0.2">
      <c r="A365" s="11">
        <f>Dados!A393</f>
        <v>45013</v>
      </c>
      <c r="B365" s="12">
        <f>STDEV(Dados!D364:D393)*SQRT(252)</f>
        <v>0.20132337907689191</v>
      </c>
      <c r="C365" s="12">
        <f>STDEV(Dados!E364:E393)*SQRT(252)</f>
        <v>0.17434854165393948</v>
      </c>
    </row>
    <row r="366" spans="1:3" ht="15" customHeight="1" x14ac:dyDescent="0.2">
      <c r="A366" s="11">
        <f>Dados!A394</f>
        <v>45014</v>
      </c>
      <c r="B366" s="12">
        <f>STDEV(Dados!D365:D394)*SQRT(252)</f>
        <v>0.19885967350003794</v>
      </c>
      <c r="C366" s="12">
        <f>STDEV(Dados!E365:E394)*SQRT(252)</f>
        <v>0.17391502357865979</v>
      </c>
    </row>
    <row r="367" spans="1:3" ht="15" customHeight="1" x14ac:dyDescent="0.2">
      <c r="A367" s="11">
        <f>Dados!A395</f>
        <v>45015</v>
      </c>
      <c r="B367" s="12">
        <f>STDEV(Dados!D366:D395)*SQRT(252)</f>
        <v>0.20587484638734774</v>
      </c>
      <c r="C367" s="12">
        <f>STDEV(Dados!E366:E395)*SQRT(252)</f>
        <v>0.18279199976960195</v>
      </c>
    </row>
    <row r="368" spans="1:3" ht="15" customHeight="1" x14ac:dyDescent="0.2">
      <c r="A368" s="11">
        <f>Dados!A396</f>
        <v>45016</v>
      </c>
      <c r="B368" s="12">
        <f>STDEV(Dados!D367:D396)*SQRT(252)</f>
        <v>0.20436805078639383</v>
      </c>
      <c r="C368" s="12">
        <f>STDEV(Dados!E367:E396)*SQRT(252)</f>
        <v>0.18114751328915157</v>
      </c>
    </row>
    <row r="369" spans="1:3" ht="15" customHeight="1" x14ac:dyDescent="0.2">
      <c r="A369" s="11">
        <f>Dados!A397</f>
        <v>45019</v>
      </c>
      <c r="B369" s="12">
        <f>STDEV(Dados!D368:D397)*SQRT(252)</f>
        <v>0.20541650015343282</v>
      </c>
      <c r="C369" s="12">
        <f>STDEV(Dados!E368:E397)*SQRT(252)</f>
        <v>0.18041099768437538</v>
      </c>
    </row>
    <row r="370" spans="1:3" ht="15" customHeight="1" x14ac:dyDescent="0.2">
      <c r="A370" s="11">
        <f>Dados!A398</f>
        <v>45020</v>
      </c>
      <c r="B370" s="12">
        <f>STDEV(Dados!D369:D398)*SQRT(252)</f>
        <v>0.20845738473801567</v>
      </c>
      <c r="C370" s="12">
        <f>STDEV(Dados!E369:E398)*SQRT(252)</f>
        <v>0.18080834122482037</v>
      </c>
    </row>
    <row r="371" spans="1:3" ht="15" customHeight="1" x14ac:dyDescent="0.2">
      <c r="A371" s="11">
        <f>Dados!A399</f>
        <v>45021</v>
      </c>
      <c r="B371" s="12">
        <f>STDEV(Dados!D370:D399)*SQRT(252)</f>
        <v>0.20207902239669787</v>
      </c>
      <c r="C371" s="12">
        <f>STDEV(Dados!E370:E399)*SQRT(252)</f>
        <v>0.17517612430606819</v>
      </c>
    </row>
    <row r="372" spans="1:3" ht="15" customHeight="1" x14ac:dyDescent="0.2">
      <c r="A372" s="11">
        <f>Dados!A400</f>
        <v>45022</v>
      </c>
      <c r="B372" s="12">
        <f>STDEV(Dados!D371:D400)*SQRT(252)</f>
        <v>0.2014483098282559</v>
      </c>
      <c r="C372" s="12">
        <f>STDEV(Dados!E371:E400)*SQRT(252)</f>
        <v>0.17423330430387396</v>
      </c>
    </row>
    <row r="373" spans="1:3" ht="15" customHeight="1" x14ac:dyDescent="0.2">
      <c r="A373" s="11">
        <f>Dados!A401</f>
        <v>45026</v>
      </c>
      <c r="B373" s="12">
        <f>STDEV(Dados!D372:D401)*SQRT(252)</f>
        <v>0.1985278087103014</v>
      </c>
      <c r="C373" s="12">
        <f>STDEV(Dados!E372:E401)*SQRT(252)</f>
        <v>0.17202014113894895</v>
      </c>
    </row>
    <row r="374" spans="1:3" ht="15" customHeight="1" x14ac:dyDescent="0.2">
      <c r="A374" s="11">
        <f>Dados!A402</f>
        <v>45027</v>
      </c>
      <c r="B374" s="12">
        <f>STDEV(Dados!D373:D402)*SQRT(252)</f>
        <v>0.23185539364175534</v>
      </c>
      <c r="C374" s="12">
        <f>STDEV(Dados!E373:E402)*SQRT(252)</f>
        <v>0.21287356192220133</v>
      </c>
    </row>
    <row r="375" spans="1:3" ht="15" customHeight="1" x14ac:dyDescent="0.2">
      <c r="A375" s="11">
        <f>Dados!A403</f>
        <v>45028</v>
      </c>
      <c r="B375" s="12">
        <f>STDEV(Dados!D374:D403)*SQRT(252)</f>
        <v>0.23399065849350806</v>
      </c>
      <c r="C375" s="12">
        <f>STDEV(Dados!E374:E403)*SQRT(252)</f>
        <v>0.21236067090661234</v>
      </c>
    </row>
    <row r="376" spans="1:3" ht="15" customHeight="1" x14ac:dyDescent="0.2">
      <c r="A376" s="11">
        <f>Dados!A404</f>
        <v>45029</v>
      </c>
      <c r="B376" s="12">
        <f>STDEV(Dados!D375:D404)*SQRT(252)</f>
        <v>0.23142064964084519</v>
      </c>
      <c r="C376" s="12">
        <f>STDEV(Dados!E375:E404)*SQRT(252)</f>
        <v>0.21210655372470663</v>
      </c>
    </row>
    <row r="377" spans="1:3" ht="15" customHeight="1" x14ac:dyDescent="0.2">
      <c r="A377" s="11">
        <f>Dados!A405</f>
        <v>45030</v>
      </c>
      <c r="B377" s="12">
        <f>STDEV(Dados!D376:D405)*SQRT(252)</f>
        <v>0.22847406687926269</v>
      </c>
      <c r="C377" s="12">
        <f>STDEV(Dados!E376:E405)*SQRT(252)</f>
        <v>0.20974336379603323</v>
      </c>
    </row>
    <row r="378" spans="1:3" ht="15" customHeight="1" x14ac:dyDescent="0.2">
      <c r="A378" s="11">
        <f>Dados!A406</f>
        <v>45033</v>
      </c>
      <c r="B378" s="12">
        <f>STDEV(Dados!D377:D406)*SQRT(252)</f>
        <v>0.22854624224977904</v>
      </c>
      <c r="C378" s="12">
        <f>STDEV(Dados!E377:E406)*SQRT(252)</f>
        <v>0.20956604053052705</v>
      </c>
    </row>
    <row r="379" spans="1:3" ht="15" customHeight="1" x14ac:dyDescent="0.2">
      <c r="A379" s="11">
        <f>Dados!A407</f>
        <v>45034</v>
      </c>
      <c r="B379" s="12">
        <f>STDEV(Dados!D378:D407)*SQRT(252)</f>
        <v>0.22346846731908912</v>
      </c>
      <c r="C379" s="12">
        <f>STDEV(Dados!E378:E407)*SQRT(252)</f>
        <v>0.20843375867615641</v>
      </c>
    </row>
    <row r="380" spans="1:3" ht="15" customHeight="1" x14ac:dyDescent="0.2">
      <c r="A380" s="11">
        <f>Dados!A408</f>
        <v>45035</v>
      </c>
      <c r="B380" s="12">
        <f>STDEV(Dados!D379:D408)*SQRT(252)</f>
        <v>0.2313903398054124</v>
      </c>
      <c r="C380" s="12">
        <f>STDEV(Dados!E379:E408)*SQRT(252)</f>
        <v>0.21750383739478601</v>
      </c>
    </row>
    <row r="381" spans="1:3" ht="15" customHeight="1" x14ac:dyDescent="0.2">
      <c r="A381" s="11">
        <f>Dados!A409</f>
        <v>45036</v>
      </c>
      <c r="B381" s="12">
        <f>STDEV(Dados!D380:D409)*SQRT(252)</f>
        <v>0.21999492881485563</v>
      </c>
      <c r="C381" s="12">
        <f>STDEV(Dados!E380:E409)*SQRT(252)</f>
        <v>0.2077738080836492</v>
      </c>
    </row>
    <row r="382" spans="1:3" ht="15" customHeight="1" x14ac:dyDescent="0.2">
      <c r="A382" s="11">
        <f>Dados!A410</f>
        <v>45040</v>
      </c>
      <c r="B382" s="12">
        <f>STDEV(Dados!D381:D410)*SQRT(252)</f>
        <v>0.21784153832526318</v>
      </c>
      <c r="C382" s="12">
        <f>STDEV(Dados!E381:E410)*SQRT(252)</f>
        <v>0.20426853565482259</v>
      </c>
    </row>
    <row r="383" spans="1:3" ht="15" customHeight="1" x14ac:dyDescent="0.2">
      <c r="A383" s="11">
        <f>Dados!A411</f>
        <v>45041</v>
      </c>
      <c r="B383" s="12">
        <f>STDEV(Dados!D382:D411)*SQRT(252)</f>
        <v>0.21106521634158992</v>
      </c>
      <c r="C383" s="12">
        <f>STDEV(Dados!E382:E411)*SQRT(252)</f>
        <v>0.20124081440048741</v>
      </c>
    </row>
    <row r="384" spans="1:3" ht="15" customHeight="1" x14ac:dyDescent="0.2">
      <c r="A384" s="11">
        <f>Dados!A412</f>
        <v>45042</v>
      </c>
      <c r="B384" s="12">
        <f>STDEV(Dados!D383:D412)*SQRT(252)</f>
        <v>0.21307621316692288</v>
      </c>
      <c r="C384" s="12">
        <f>STDEV(Dados!E383:E412)*SQRT(252)</f>
        <v>0.20238997429199718</v>
      </c>
    </row>
    <row r="385" spans="1:3" ht="15" customHeight="1" x14ac:dyDescent="0.2">
      <c r="A385" s="11">
        <f>Dados!A413</f>
        <v>45043</v>
      </c>
      <c r="B385" s="12">
        <f>STDEV(Dados!D384:D413)*SQRT(252)</f>
        <v>0.213670241371269</v>
      </c>
      <c r="C385" s="12">
        <f>STDEV(Dados!E384:E413)*SQRT(252)</f>
        <v>0.20312186190693579</v>
      </c>
    </row>
    <row r="386" spans="1:3" ht="15" customHeight="1" x14ac:dyDescent="0.2">
      <c r="A386" s="11">
        <f>Dados!A414</f>
        <v>45044</v>
      </c>
      <c r="B386" s="12">
        <f>STDEV(Dados!D385:D414)*SQRT(252)</f>
        <v>0.21700520876023321</v>
      </c>
      <c r="C386" s="12">
        <f>STDEV(Dados!E385:E414)*SQRT(252)</f>
        <v>0.20727200415675495</v>
      </c>
    </row>
    <row r="387" spans="1:3" ht="15" customHeight="1" x14ac:dyDescent="0.2">
      <c r="A387" s="11">
        <f>Dados!A415</f>
        <v>45048</v>
      </c>
      <c r="B387" s="12">
        <f>STDEV(Dados!D386:D415)*SQRT(252)</f>
        <v>0.22348575405512466</v>
      </c>
      <c r="C387" s="12">
        <f>STDEV(Dados!E386:E415)*SQRT(252)</f>
        <v>0.21824848063494362</v>
      </c>
    </row>
    <row r="388" spans="1:3" ht="15" customHeight="1" x14ac:dyDescent="0.2">
      <c r="A388" s="11">
        <f>Dados!A416</f>
        <v>45049</v>
      </c>
      <c r="B388" s="12">
        <f>STDEV(Dados!D387:D416)*SQRT(252)</f>
        <v>0.21518690738973242</v>
      </c>
      <c r="C388" s="12">
        <f>STDEV(Dados!E387:E416)*SQRT(252)</f>
        <v>0.21440366377696307</v>
      </c>
    </row>
    <row r="389" spans="1:3" ht="15" customHeight="1" x14ac:dyDescent="0.2">
      <c r="A389" s="11">
        <f>Dados!A417</f>
        <v>45050</v>
      </c>
      <c r="B389" s="12">
        <f>STDEV(Dados!D388:D417)*SQRT(252)</f>
        <v>0.21257217532282074</v>
      </c>
      <c r="C389" s="12">
        <f>STDEV(Dados!E388:E417)*SQRT(252)</f>
        <v>0.21236249332639104</v>
      </c>
    </row>
    <row r="390" spans="1:3" ht="15" customHeight="1" x14ac:dyDescent="0.2">
      <c r="A390" s="11">
        <f>Dados!A418</f>
        <v>45051</v>
      </c>
      <c r="B390" s="12">
        <f>STDEV(Dados!D389:D418)*SQRT(252)</f>
        <v>0.22436943932021444</v>
      </c>
      <c r="C390" s="12">
        <f>STDEV(Dados!E389:E418)*SQRT(252)</f>
        <v>0.22764165412388176</v>
      </c>
    </row>
    <row r="391" spans="1:3" ht="15" customHeight="1" x14ac:dyDescent="0.2">
      <c r="A391" s="11">
        <f>Dados!A419</f>
        <v>45054</v>
      </c>
      <c r="B391" s="12">
        <f>STDEV(Dados!D390:D419)*SQRT(252)</f>
        <v>0.22303441400004037</v>
      </c>
      <c r="C391" s="12">
        <f>STDEV(Dados!E390:E419)*SQRT(252)</f>
        <v>0.22687380900729223</v>
      </c>
    </row>
    <row r="392" spans="1:3" ht="15" customHeight="1" x14ac:dyDescent="0.2">
      <c r="A392" s="11">
        <f>Dados!A420</f>
        <v>45055</v>
      </c>
      <c r="B392" s="12">
        <f>STDEV(Dados!D391:D420)*SQRT(252)</f>
        <v>0.21080103638001674</v>
      </c>
      <c r="C392" s="12">
        <f>STDEV(Dados!E391:E420)*SQRT(252)</f>
        <v>0.21513070615177993</v>
      </c>
    </row>
    <row r="393" spans="1:3" ht="15" customHeight="1" x14ac:dyDescent="0.2">
      <c r="A393" s="11">
        <f>Dados!A421</f>
        <v>45056</v>
      </c>
      <c r="B393" s="12">
        <f>STDEV(Dados!D392:D421)*SQRT(252)</f>
        <v>0.20929746298486138</v>
      </c>
      <c r="C393" s="12">
        <f>STDEV(Dados!E392:E421)*SQRT(252)</f>
        <v>0.2143310191991126</v>
      </c>
    </row>
    <row r="394" spans="1:3" ht="15" customHeight="1" x14ac:dyDescent="0.2">
      <c r="A394" s="11">
        <f>Dados!A422</f>
        <v>45057</v>
      </c>
      <c r="B394" s="12">
        <f>STDEV(Dados!D393:D422)*SQRT(252)</f>
        <v>0.21004378118887518</v>
      </c>
      <c r="C394" s="12">
        <f>STDEV(Dados!E393:E422)*SQRT(252)</f>
        <v>0.21412344526651303</v>
      </c>
    </row>
    <row r="395" spans="1:3" ht="15" customHeight="1" x14ac:dyDescent="0.2">
      <c r="A395" s="11">
        <f>Dados!A423</f>
        <v>45058</v>
      </c>
      <c r="B395" s="12">
        <f>STDEV(Dados!D394:D423)*SQRT(252)</f>
        <v>0.20851397333275709</v>
      </c>
      <c r="C395" s="12">
        <f>STDEV(Dados!E394:E423)*SQRT(252)</f>
        <v>0.2109107220137374</v>
      </c>
    </row>
    <row r="396" spans="1:3" ht="15" customHeight="1" x14ac:dyDescent="0.2">
      <c r="A396" s="11">
        <f>Dados!A424</f>
        <v>45061</v>
      </c>
      <c r="B396" s="12">
        <f>STDEV(Dados!D395:D424)*SQRT(252)</f>
        <v>0.20880335343808118</v>
      </c>
      <c r="C396" s="12">
        <f>STDEV(Dados!E395:E424)*SQRT(252)</f>
        <v>0.21080287230302713</v>
      </c>
    </row>
    <row r="397" spans="1:3" ht="15" customHeight="1" x14ac:dyDescent="0.2">
      <c r="A397" s="11">
        <f>Dados!A425</f>
        <v>45062</v>
      </c>
      <c r="B397" s="12">
        <f>STDEV(Dados!D396:D425)*SQRT(252)</f>
        <v>0.20647982688934868</v>
      </c>
      <c r="C397" s="12">
        <f>STDEV(Dados!E396:E425)*SQRT(252)</f>
        <v>0.20679706769446521</v>
      </c>
    </row>
    <row r="398" spans="1:3" ht="15" customHeight="1" x14ac:dyDescent="0.2">
      <c r="A398" s="11">
        <f>Dados!A426</f>
        <v>45063</v>
      </c>
      <c r="B398" s="12">
        <f>STDEV(Dados!D397:D426)*SQRT(252)</f>
        <v>0.19983519413730977</v>
      </c>
      <c r="C398" s="12">
        <f>STDEV(Dados!E397:E426)*SQRT(252)</f>
        <v>0.20052768413579652</v>
      </c>
    </row>
    <row r="399" spans="1:3" ht="15" customHeight="1" x14ac:dyDescent="0.2">
      <c r="A399" s="11">
        <f>Dados!A427</f>
        <v>45064</v>
      </c>
      <c r="B399" s="12">
        <f>STDEV(Dados!D398:D427)*SQRT(252)</f>
        <v>0.19620068742754376</v>
      </c>
      <c r="C399" s="12">
        <f>STDEV(Dados!E398:E427)*SQRT(252)</f>
        <v>0.19992403643626164</v>
      </c>
    </row>
    <row r="400" spans="1:3" ht="15" customHeight="1" x14ac:dyDescent="0.2">
      <c r="A400" s="11">
        <f>Dados!A428</f>
        <v>45065</v>
      </c>
      <c r="B400" s="12">
        <f>STDEV(Dados!D399:D428)*SQRT(252)</f>
        <v>0.19633886992292363</v>
      </c>
      <c r="C400" s="12">
        <f>STDEV(Dados!E399:E428)*SQRT(252)</f>
        <v>0.20010754772694747</v>
      </c>
    </row>
    <row r="401" spans="1:3" ht="15" customHeight="1" x14ac:dyDescent="0.2">
      <c r="A401" s="11">
        <f>Dados!A429</f>
        <v>45068</v>
      </c>
      <c r="B401" s="12">
        <f>STDEV(Dados!D400:D429)*SQRT(252)</f>
        <v>0.1941528332683137</v>
      </c>
      <c r="C401" s="12">
        <f>STDEV(Dados!E400:E429)*SQRT(252)</f>
        <v>0.1984369191368516</v>
      </c>
    </row>
    <row r="402" spans="1:3" ht="15" customHeight="1" x14ac:dyDescent="0.2">
      <c r="A402" s="11">
        <f>Dados!A430</f>
        <v>45069</v>
      </c>
      <c r="B402" s="12">
        <f>STDEV(Dados!D401:D430)*SQRT(252)</f>
        <v>0.19386365474530246</v>
      </c>
      <c r="C402" s="12">
        <f>STDEV(Dados!E401:E430)*SQRT(252)</f>
        <v>0.19866152669587644</v>
      </c>
    </row>
    <row r="403" spans="1:3" ht="15" customHeight="1" x14ac:dyDescent="0.2">
      <c r="A403" s="11">
        <f>Dados!A431</f>
        <v>45070</v>
      </c>
      <c r="B403" s="12">
        <f>STDEV(Dados!D402:D431)*SQRT(252)</f>
        <v>0.19818612996104712</v>
      </c>
      <c r="C403" s="12">
        <f>STDEV(Dados!E402:E431)*SQRT(252)</f>
        <v>0.20101321550904402</v>
      </c>
    </row>
    <row r="404" spans="1:3" ht="15" customHeight="1" x14ac:dyDescent="0.2">
      <c r="A404" s="11">
        <f>Dados!A432</f>
        <v>45071</v>
      </c>
      <c r="B404" s="12">
        <f>STDEV(Dados!D403:D432)*SQRT(252)</f>
        <v>0.1685835762914214</v>
      </c>
      <c r="C404" s="12">
        <f>STDEV(Dados!E403:E432)*SQRT(252)</f>
        <v>0.16470688037484046</v>
      </c>
    </row>
    <row r="405" spans="1:3" ht="15" customHeight="1" x14ac:dyDescent="0.2">
      <c r="A405" s="11">
        <f>Dados!A433</f>
        <v>45072</v>
      </c>
      <c r="B405" s="12">
        <f>STDEV(Dados!D404:D433)*SQRT(252)</f>
        <v>0.16609669464520221</v>
      </c>
      <c r="C405" s="12">
        <f>STDEV(Dados!E404:E433)*SQRT(252)</f>
        <v>0.16512634683670641</v>
      </c>
    </row>
    <row r="406" spans="1:3" ht="15" customHeight="1" x14ac:dyDescent="0.2">
      <c r="A406" s="11">
        <f>Dados!A434</f>
        <v>45075</v>
      </c>
      <c r="B406" s="12">
        <f>STDEV(Dados!D405:D434)*SQRT(252)</f>
        <v>0.1659210899322778</v>
      </c>
      <c r="C406" s="12">
        <f>STDEV(Dados!E405:E434)*SQRT(252)</f>
        <v>0.16547245725942131</v>
      </c>
    </row>
    <row r="407" spans="1:3" ht="15" customHeight="1" x14ac:dyDescent="0.2">
      <c r="A407" s="11">
        <f>Dados!A435</f>
        <v>45076</v>
      </c>
      <c r="B407" s="12">
        <f>STDEV(Dados!D406:D435)*SQRT(252)</f>
        <v>0.17001561424187553</v>
      </c>
      <c r="C407" s="12">
        <f>STDEV(Dados!E406:E435)*SQRT(252)</f>
        <v>0.16998445317397989</v>
      </c>
    </row>
    <row r="408" spans="1:3" ht="15" customHeight="1" x14ac:dyDescent="0.2">
      <c r="A408" s="11">
        <f>Dados!A436</f>
        <v>45077</v>
      </c>
      <c r="B408" s="12">
        <f>STDEV(Dados!D407:D436)*SQRT(252)</f>
        <v>0.17089009587880621</v>
      </c>
      <c r="C408" s="12">
        <f>STDEV(Dados!E407:E436)*SQRT(252)</f>
        <v>0.17082292583510553</v>
      </c>
    </row>
    <row r="409" spans="1:3" ht="15" customHeight="1" x14ac:dyDescent="0.2">
      <c r="A409" s="11">
        <f>Dados!A437</f>
        <v>45078</v>
      </c>
      <c r="B409" s="12">
        <f>STDEV(Dados!D408:D437)*SQRT(252)</f>
        <v>0.17890129414667402</v>
      </c>
      <c r="C409" s="12">
        <f>STDEV(Dados!E408:E437)*SQRT(252)</f>
        <v>0.18008007265561526</v>
      </c>
    </row>
    <row r="410" spans="1:3" ht="15" customHeight="1" x14ac:dyDescent="0.2">
      <c r="A410" s="11">
        <f>Dados!A438</f>
        <v>45079</v>
      </c>
      <c r="B410" s="12">
        <f>STDEV(Dados!D409:D438)*SQRT(252)</f>
        <v>0.16726186650425781</v>
      </c>
      <c r="C410" s="12">
        <f>STDEV(Dados!E409:E438)*SQRT(252)</f>
        <v>0.17275107685963292</v>
      </c>
    </row>
    <row r="411" spans="1:3" ht="15" customHeight="1" x14ac:dyDescent="0.2">
      <c r="A411" s="11">
        <f>Dados!A439</f>
        <v>45082</v>
      </c>
      <c r="B411" s="12">
        <f>STDEV(Dados!D410:D439)*SQRT(252)</f>
        <v>0.16677344853239801</v>
      </c>
      <c r="C411" s="12">
        <f>STDEV(Dados!E410:E439)*SQRT(252)</f>
        <v>0.17272256700701752</v>
      </c>
    </row>
    <row r="412" spans="1:3" ht="15" customHeight="1" x14ac:dyDescent="0.2">
      <c r="A412" s="11">
        <f>Dados!A440</f>
        <v>45083</v>
      </c>
      <c r="B412" s="12">
        <f>STDEV(Dados!D411:D440)*SQRT(252)</f>
        <v>0.17256720688795316</v>
      </c>
      <c r="C412" s="12">
        <f>STDEV(Dados!E411:E440)*SQRT(252)</f>
        <v>0.17635683233193922</v>
      </c>
    </row>
    <row r="413" spans="1:3" ht="15" customHeight="1" x14ac:dyDescent="0.2">
      <c r="A413" s="11">
        <f>Dados!A441</f>
        <v>45084</v>
      </c>
      <c r="B413" s="12">
        <f>STDEV(Dados!D412:D441)*SQRT(252)</f>
        <v>0.17086352948939112</v>
      </c>
      <c r="C413" s="12">
        <f>STDEV(Dados!E412:E441)*SQRT(252)</f>
        <v>0.17403684908992201</v>
      </c>
    </row>
    <row r="414" spans="1:3" ht="15" customHeight="1" x14ac:dyDescent="0.2">
      <c r="A414" s="11">
        <f>Dados!A442</f>
        <v>45086</v>
      </c>
      <c r="B414" s="12">
        <f>STDEV(Dados!D413:D442)*SQRT(252)</f>
        <v>0.16703802244149474</v>
      </c>
      <c r="C414" s="12">
        <f>STDEV(Dados!E413:E442)*SQRT(252)</f>
        <v>0.17188853150315167</v>
      </c>
    </row>
    <row r="415" spans="1:3" ht="15" customHeight="1" x14ac:dyDescent="0.2">
      <c r="A415" s="11">
        <f>Dados!A443</f>
        <v>45089</v>
      </c>
      <c r="B415" s="12">
        <f>STDEV(Dados!D414:D443)*SQRT(252)</f>
        <v>0.16699229919247982</v>
      </c>
      <c r="C415" s="12">
        <f>STDEV(Dados!E414:E443)*SQRT(252)</f>
        <v>0.1719038213812705</v>
      </c>
    </row>
    <row r="416" spans="1:3" ht="15" customHeight="1" x14ac:dyDescent="0.2">
      <c r="A416" s="11">
        <f>Dados!A444</f>
        <v>45090</v>
      </c>
      <c r="B416" s="12">
        <f>STDEV(Dados!D415:D444)*SQRT(252)</f>
        <v>0.17000901724459688</v>
      </c>
      <c r="C416" s="12">
        <f>STDEV(Dados!E415:E444)*SQRT(252)</f>
        <v>0.17120560696486015</v>
      </c>
    </row>
    <row r="417" spans="1:3" ht="15" customHeight="1" x14ac:dyDescent="0.2">
      <c r="A417" s="11">
        <f>Dados!A445</f>
        <v>45091</v>
      </c>
      <c r="B417" s="12">
        <f>STDEV(Dados!D416:D445)*SQRT(252)</f>
        <v>0.15765652779421924</v>
      </c>
      <c r="C417" s="12">
        <f>STDEV(Dados!E416:E445)*SQRT(252)</f>
        <v>0.15546385158566395</v>
      </c>
    </row>
    <row r="418" spans="1:3" ht="15" customHeight="1" x14ac:dyDescent="0.2">
      <c r="A418" s="11">
        <f>Dados!A446</f>
        <v>45092</v>
      </c>
      <c r="B418" s="12">
        <f>STDEV(Dados!D417:D446)*SQRT(252)</f>
        <v>0.15752830766675727</v>
      </c>
      <c r="C418" s="12">
        <f>STDEV(Dados!E417:E446)*SQRT(252)</f>
        <v>0.15471684101566208</v>
      </c>
    </row>
    <row r="419" spans="1:3" ht="15" customHeight="1" x14ac:dyDescent="0.2">
      <c r="A419" s="11">
        <f>Dados!A447</f>
        <v>45093</v>
      </c>
      <c r="B419" s="12">
        <f>STDEV(Dados!D418:D447)*SQRT(252)</f>
        <v>0.1608827075429298</v>
      </c>
      <c r="C419" s="12">
        <f>STDEV(Dados!E418:E447)*SQRT(252)</f>
        <v>0.15693295427640042</v>
      </c>
    </row>
    <row r="420" spans="1:3" ht="15" customHeight="1" x14ac:dyDescent="0.2">
      <c r="A420" s="11">
        <f>Dados!A448</f>
        <v>45096</v>
      </c>
      <c r="B420" s="12">
        <f>STDEV(Dados!D419:D448)*SQRT(252)</f>
        <v>0.14900425223825975</v>
      </c>
      <c r="C420" s="12">
        <f>STDEV(Dados!E419:E448)*SQRT(252)</f>
        <v>0.1407126619200095</v>
      </c>
    </row>
    <row r="421" spans="1:3" ht="15" customHeight="1" x14ac:dyDescent="0.2">
      <c r="A421" s="11">
        <f>Dados!A449</f>
        <v>45097</v>
      </c>
      <c r="B421" s="12">
        <f>STDEV(Dados!D420:D449)*SQRT(252)</f>
        <v>0.1489968387611168</v>
      </c>
      <c r="C421" s="12">
        <f>STDEV(Dados!E420:E449)*SQRT(252)</f>
        <v>0.14131914174255394</v>
      </c>
    </row>
    <row r="422" spans="1:3" ht="15" customHeight="1" x14ac:dyDescent="0.2">
      <c r="A422" s="11">
        <f>Dados!A450</f>
        <v>45098</v>
      </c>
      <c r="B422" s="12">
        <f>STDEV(Dados!D421:D450)*SQRT(252)</f>
        <v>0.14746702455267161</v>
      </c>
      <c r="C422" s="12">
        <f>STDEV(Dados!E421:E450)*SQRT(252)</f>
        <v>0.14039495014443312</v>
      </c>
    </row>
    <row r="423" spans="1:3" ht="15" customHeight="1" x14ac:dyDescent="0.2">
      <c r="A423" s="11">
        <f>Dados!A451</f>
        <v>45099</v>
      </c>
      <c r="B423" s="12">
        <f>STDEV(Dados!D422:D451)*SQRT(252)</f>
        <v>0.15622063715541276</v>
      </c>
      <c r="C423" s="12">
        <f>STDEV(Dados!E422:E451)*SQRT(252)</f>
        <v>0.14815491453061819</v>
      </c>
    </row>
    <row r="424" spans="1:3" ht="15" customHeight="1" x14ac:dyDescent="0.2">
      <c r="A424" s="11">
        <f>Dados!A452</f>
        <v>45100</v>
      </c>
      <c r="B424" s="12">
        <f>STDEV(Dados!D423:D452)*SQRT(252)</f>
        <v>0.15430131158143529</v>
      </c>
      <c r="C424" s="12">
        <f>STDEV(Dados!E423:E452)*SQRT(252)</f>
        <v>0.14787860498688768</v>
      </c>
    </row>
    <row r="425" spans="1:3" ht="15" customHeight="1" x14ac:dyDescent="0.2">
      <c r="A425" s="11">
        <f>Dados!A453</f>
        <v>45103</v>
      </c>
      <c r="B425" s="12">
        <f>STDEV(Dados!D424:D453)*SQRT(252)</f>
        <v>0.15805252062500319</v>
      </c>
      <c r="C425" s="12">
        <f>STDEV(Dados!E424:E453)*SQRT(252)</f>
        <v>0.15031082469245383</v>
      </c>
    </row>
    <row r="426" spans="1:3" ht="15" customHeight="1" x14ac:dyDescent="0.2">
      <c r="A426" s="11">
        <f>Dados!A454</f>
        <v>45104</v>
      </c>
      <c r="B426" s="12">
        <f>STDEV(Dados!D425:D454)*SQRT(252)</f>
        <v>0.16143263700299118</v>
      </c>
      <c r="C426" s="12">
        <f>STDEV(Dados!E425:E454)*SQRT(252)</f>
        <v>0.15235219834086289</v>
      </c>
    </row>
    <row r="427" spans="1:3" ht="15" customHeight="1" x14ac:dyDescent="0.2">
      <c r="A427" s="11">
        <f>Dados!A455</f>
        <v>45105</v>
      </c>
      <c r="B427" s="12">
        <f>STDEV(Dados!D426:D455)*SQRT(252)</f>
        <v>0.15787662272352954</v>
      </c>
      <c r="C427" s="12">
        <f>STDEV(Dados!E426:E455)*SQRT(252)</f>
        <v>0.15206956780160133</v>
      </c>
    </row>
    <row r="428" spans="1:3" ht="15" customHeight="1" x14ac:dyDescent="0.2">
      <c r="A428" s="11">
        <f>Dados!A456</f>
        <v>45106</v>
      </c>
      <c r="B428" s="12">
        <f>STDEV(Dados!D427:D456)*SQRT(252)</f>
        <v>0.16222474845245219</v>
      </c>
      <c r="C428" s="12">
        <f>STDEV(Dados!E427:E456)*SQRT(252)</f>
        <v>0.15376776231707573</v>
      </c>
    </row>
    <row r="429" spans="1:3" ht="15" customHeight="1" x14ac:dyDescent="0.2">
      <c r="A429" s="11">
        <f>Dados!A457</f>
        <v>45107</v>
      </c>
      <c r="B429" s="12">
        <f>STDEV(Dados!D428:D457)*SQRT(252)</f>
        <v>0.16141854888046001</v>
      </c>
      <c r="C429" s="12">
        <f>STDEV(Dados!E428:E457)*SQRT(252)</f>
        <v>0.15413433137767613</v>
      </c>
    </row>
    <row r="430" spans="1:3" ht="15" customHeight="1" x14ac:dyDescent="0.2">
      <c r="A430" s="11">
        <f>Dados!A458</f>
        <v>45110</v>
      </c>
      <c r="B430" s="12">
        <f>STDEV(Dados!D429:D458)*SQRT(252)</f>
        <v>0.16087305915399316</v>
      </c>
      <c r="C430" s="12">
        <f>STDEV(Dados!E429:E458)*SQRT(252)</f>
        <v>0.15713497296006179</v>
      </c>
    </row>
    <row r="431" spans="1:3" ht="15" customHeight="1" x14ac:dyDescent="0.2">
      <c r="A431" s="11">
        <f>Dados!A459</f>
        <v>45111</v>
      </c>
      <c r="B431" s="12">
        <f>STDEV(Dados!D430:D459)*SQRT(252)</f>
        <v>0.16242692597300512</v>
      </c>
      <c r="C431" s="12">
        <f>STDEV(Dados!E430:E459)*SQRT(252)</f>
        <v>0.15721185634604945</v>
      </c>
    </row>
    <row r="432" spans="1:3" ht="15" customHeight="1" x14ac:dyDescent="0.2">
      <c r="A432" s="11">
        <f>Dados!A460</f>
        <v>45112</v>
      </c>
      <c r="B432" s="12">
        <f>STDEV(Dados!D431:D460)*SQRT(252)</f>
        <v>0.16223417975345003</v>
      </c>
      <c r="C432" s="12">
        <f>STDEV(Dados!E431:E460)*SQRT(252)</f>
        <v>0.15648844990037739</v>
      </c>
    </row>
    <row r="433" spans="1:3" ht="15" customHeight="1" x14ac:dyDescent="0.2">
      <c r="A433" s="11">
        <f>Dados!A461</f>
        <v>45113</v>
      </c>
      <c r="B433" s="12">
        <f>STDEV(Dados!D432:D461)*SQRT(252)</f>
        <v>0.17220610955501883</v>
      </c>
      <c r="C433" s="12">
        <f>STDEV(Dados!E432:E461)*SQRT(252)</f>
        <v>0.16341602298270894</v>
      </c>
    </row>
    <row r="434" spans="1:3" ht="15" customHeight="1" x14ac:dyDescent="0.2">
      <c r="A434" s="11">
        <f>Dados!A462</f>
        <v>45114</v>
      </c>
      <c r="B434" s="12">
        <f>STDEV(Dados!D433:D462)*SQRT(252)</f>
        <v>0.17128470790015013</v>
      </c>
      <c r="C434" s="12">
        <f>STDEV(Dados!E433:E462)*SQRT(252)</f>
        <v>0.16391395723897198</v>
      </c>
    </row>
    <row r="435" spans="1:3" ht="15" customHeight="1" x14ac:dyDescent="0.2">
      <c r="A435" s="11">
        <f>Dados!A463</f>
        <v>45117</v>
      </c>
      <c r="B435" s="12">
        <f>STDEV(Dados!D434:D463)*SQRT(252)</f>
        <v>0.1739157837583428</v>
      </c>
      <c r="C435" s="12">
        <f>STDEV(Dados!E434:E463)*SQRT(252)</f>
        <v>0.16598783809655626</v>
      </c>
    </row>
    <row r="436" spans="1:3" ht="15" customHeight="1" x14ac:dyDescent="0.2">
      <c r="A436" s="11">
        <f>Dados!A464</f>
        <v>45118</v>
      </c>
      <c r="B436" s="12">
        <f>STDEV(Dados!D435:D464)*SQRT(252)</f>
        <v>0.17687726923962141</v>
      </c>
      <c r="C436" s="12">
        <f>STDEV(Dados!E435:E464)*SQRT(252)</f>
        <v>0.16535831534760354</v>
      </c>
    </row>
    <row r="437" spans="1:3" ht="15" customHeight="1" x14ac:dyDescent="0.2">
      <c r="A437" s="11">
        <f>Dados!A465</f>
        <v>45119</v>
      </c>
      <c r="B437" s="12">
        <f>STDEV(Dados!D436:D465)*SQRT(252)</f>
        <v>0.17284543713846551</v>
      </c>
      <c r="C437" s="12">
        <f>STDEV(Dados!E436:E465)*SQRT(252)</f>
        <v>0.15955678291921443</v>
      </c>
    </row>
    <row r="438" spans="1:3" ht="15" customHeight="1" x14ac:dyDescent="0.2">
      <c r="A438" s="11">
        <f>Dados!A466</f>
        <v>45120</v>
      </c>
      <c r="B438" s="12">
        <f>STDEV(Dados!D437:D466)*SQRT(252)</f>
        <v>0.1734695740911289</v>
      </c>
      <c r="C438" s="12">
        <f>STDEV(Dados!E437:E466)*SQRT(252)</f>
        <v>0.16055711006693962</v>
      </c>
    </row>
    <row r="439" spans="1:3" ht="15" customHeight="1" x14ac:dyDescent="0.2">
      <c r="A439" s="11">
        <f>Dados!A467</f>
        <v>45121</v>
      </c>
      <c r="B439" s="12">
        <f>STDEV(Dados!D438:D467)*SQRT(252)</f>
        <v>0.1719625882111544</v>
      </c>
      <c r="C439" s="12">
        <f>STDEV(Dados!E438:E467)*SQRT(252)</f>
        <v>0.15875579580751664</v>
      </c>
    </row>
    <row r="440" spans="1:3" ht="15" customHeight="1" x14ac:dyDescent="0.2">
      <c r="A440" s="11">
        <f>Dados!A468</f>
        <v>45124</v>
      </c>
      <c r="B440" s="12">
        <f>STDEV(Dados!D439:D468)*SQRT(252)</f>
        <v>0.17027214043691299</v>
      </c>
      <c r="C440" s="12">
        <f>STDEV(Dados!E439:E468)*SQRT(252)</f>
        <v>0.15175584897744671</v>
      </c>
    </row>
    <row r="441" spans="1:3" ht="15" customHeight="1" x14ac:dyDescent="0.2">
      <c r="A441" s="11">
        <f>Dados!A469</f>
        <v>45125</v>
      </c>
      <c r="B441" s="12">
        <f>STDEV(Dados!D440:D469)*SQRT(252)</f>
        <v>0.17066033054001956</v>
      </c>
      <c r="C441" s="12">
        <f>STDEV(Dados!E440:E469)*SQRT(252)</f>
        <v>0.15240114354321591</v>
      </c>
    </row>
    <row r="442" spans="1:3" ht="15" customHeight="1" x14ac:dyDescent="0.2">
      <c r="A442" s="11">
        <f>Dados!A470</f>
        <v>45126</v>
      </c>
      <c r="B442" s="12">
        <f>STDEV(Dados!D441:D470)*SQRT(252)</f>
        <v>0.1618101489634434</v>
      </c>
      <c r="C442" s="12">
        <f>STDEV(Dados!E441:E470)*SQRT(252)</f>
        <v>0.14561970091240564</v>
      </c>
    </row>
    <row r="443" spans="1:3" ht="15" customHeight="1" x14ac:dyDescent="0.2">
      <c r="A443" s="11">
        <f>Dados!A471</f>
        <v>45127</v>
      </c>
      <c r="B443" s="12">
        <f>STDEV(Dados!D442:D471)*SQRT(252)</f>
        <v>0.16185967895143655</v>
      </c>
      <c r="C443" s="12">
        <f>STDEV(Dados!E442:E471)*SQRT(252)</f>
        <v>0.14463252336044805</v>
      </c>
    </row>
    <row r="444" spans="1:3" ht="15" customHeight="1" x14ac:dyDescent="0.2">
      <c r="A444" s="11">
        <f>Dados!A472</f>
        <v>45128</v>
      </c>
      <c r="B444" s="12">
        <f>STDEV(Dados!D443:D472)*SQRT(252)</f>
        <v>0.16769940977320241</v>
      </c>
      <c r="C444" s="12">
        <f>STDEV(Dados!E443:E472)*SQRT(252)</f>
        <v>0.14876646481298217</v>
      </c>
    </row>
    <row r="445" spans="1:3" ht="15" customHeight="1" x14ac:dyDescent="0.2">
      <c r="A445" s="11">
        <f>Dados!A473</f>
        <v>45131</v>
      </c>
      <c r="B445" s="12">
        <f>STDEV(Dados!D444:D473)*SQRT(252)</f>
        <v>0.16700155162452215</v>
      </c>
      <c r="C445" s="12">
        <f>STDEV(Dados!E444:E473)*SQRT(252)</f>
        <v>0.15068477856599599</v>
      </c>
    </row>
    <row r="446" spans="1:3" ht="15" customHeight="1" x14ac:dyDescent="0.2">
      <c r="A446" s="11">
        <f>Dados!A474</f>
        <v>45132</v>
      </c>
      <c r="B446" s="12">
        <f>STDEV(Dados!D445:D474)*SQRT(252)</f>
        <v>0.164278579689486</v>
      </c>
      <c r="C446" s="12">
        <f>STDEV(Dados!E445:E474)*SQRT(252)</f>
        <v>0.15002001218739117</v>
      </c>
    </row>
    <row r="447" spans="1:3" ht="15" customHeight="1" x14ac:dyDescent="0.2">
      <c r="A447" s="11">
        <f>Dados!A475</f>
        <v>45133</v>
      </c>
      <c r="B447" s="12">
        <f>STDEV(Dados!D446:D475)*SQRT(252)</f>
        <v>0.15663208421828145</v>
      </c>
      <c r="C447" s="12">
        <f>STDEV(Dados!E446:E475)*SQRT(252)</f>
        <v>0.14008132378335614</v>
      </c>
    </row>
    <row r="448" spans="1:3" ht="15" customHeight="1" x14ac:dyDescent="0.2">
      <c r="A448" s="11">
        <f>Dados!A476</f>
        <v>45134</v>
      </c>
      <c r="B448" s="12">
        <f>STDEV(Dados!D447:D476)*SQRT(252)</f>
        <v>0.16554534411181807</v>
      </c>
      <c r="C448" s="12">
        <f>STDEV(Dados!E447:E476)*SQRT(252)</f>
        <v>0.15408174620973156</v>
      </c>
    </row>
    <row r="449" spans="1:3" ht="15" customHeight="1" x14ac:dyDescent="0.2">
      <c r="A449" s="11">
        <f>Dados!A477</f>
        <v>45135</v>
      </c>
      <c r="B449" s="12">
        <f>STDEV(Dados!D448:D477)*SQRT(252)</f>
        <v>0.16615730970750206</v>
      </c>
      <c r="C449" s="12">
        <f>STDEV(Dados!E448:E477)*SQRT(252)</f>
        <v>0.15363442211881273</v>
      </c>
    </row>
    <row r="450" spans="1:3" ht="15" customHeight="1" x14ac:dyDescent="0.2">
      <c r="A450" s="11">
        <f>Dados!A478</f>
        <v>45138</v>
      </c>
      <c r="B450" s="12">
        <f>STDEV(Dados!D449:D478)*SQRT(252)</f>
        <v>0.16590618046294095</v>
      </c>
      <c r="C450" s="12">
        <f>STDEV(Dados!E449:E478)*SQRT(252)</f>
        <v>0.15699800045707746</v>
      </c>
    </row>
    <row r="451" spans="1:3" ht="15" customHeight="1" x14ac:dyDescent="0.2">
      <c r="A451" s="11">
        <f>Dados!A479</f>
        <v>45139</v>
      </c>
      <c r="B451" s="12">
        <f>STDEV(Dados!D450:D479)*SQRT(252)</f>
        <v>0.16589996980666785</v>
      </c>
      <c r="C451" s="12">
        <f>STDEV(Dados!E450:E479)*SQRT(252)</f>
        <v>0.15789822856107344</v>
      </c>
    </row>
    <row r="452" spans="1:3" ht="15" customHeight="1" x14ac:dyDescent="0.2">
      <c r="A452" s="11">
        <f>Dados!A480</f>
        <v>45140</v>
      </c>
      <c r="B452" s="12">
        <f>STDEV(Dados!D451:D480)*SQRT(252)</f>
        <v>0.16504969987674215</v>
      </c>
      <c r="C452" s="12">
        <f>STDEV(Dados!E451:E480)*SQRT(252)</f>
        <v>0.15711906306657733</v>
      </c>
    </row>
    <row r="453" spans="1:3" ht="15" customHeight="1" x14ac:dyDescent="0.2">
      <c r="A453" s="11">
        <f>Dados!A481</f>
        <v>45141</v>
      </c>
      <c r="B453" s="12">
        <f>STDEV(Dados!D452:D481)*SQRT(252)</f>
        <v>0.16077503489256534</v>
      </c>
      <c r="C453" s="12">
        <f>STDEV(Dados!E452:E481)*SQRT(252)</f>
        <v>0.15277364465198726</v>
      </c>
    </row>
    <row r="454" spans="1:3" ht="15" customHeight="1" x14ac:dyDescent="0.2">
      <c r="A454" s="11">
        <f>Dados!A482</f>
        <v>45142</v>
      </c>
      <c r="B454" s="12">
        <f>STDEV(Dados!D453:D482)*SQRT(252)</f>
        <v>0.16218740756777303</v>
      </c>
      <c r="C454" s="12">
        <f>STDEV(Dados!E453:E482)*SQRT(252)</f>
        <v>0.15520548597574108</v>
      </c>
    </row>
    <row r="455" spans="1:3" ht="15" customHeight="1" x14ac:dyDescent="0.2">
      <c r="A455" s="11">
        <f>Dados!A483</f>
        <v>45145</v>
      </c>
      <c r="B455" s="12">
        <f>STDEV(Dados!D454:D483)*SQRT(252)</f>
        <v>0.15972373784460053</v>
      </c>
      <c r="C455" s="12">
        <f>STDEV(Dados!E454:E483)*SQRT(252)</f>
        <v>0.1540946481120791</v>
      </c>
    </row>
    <row r="456" spans="1:3" ht="15" customHeight="1" x14ac:dyDescent="0.2">
      <c r="A456" s="11">
        <f>Dados!A484</f>
        <v>45146</v>
      </c>
      <c r="B456" s="12">
        <f>STDEV(Dados!D455:D484)*SQRT(252)</f>
        <v>0.15753409151561651</v>
      </c>
      <c r="C456" s="12">
        <f>STDEV(Dados!E455:E484)*SQRT(252)</f>
        <v>0.15312774790375977</v>
      </c>
    </row>
    <row r="457" spans="1:3" ht="15" customHeight="1" x14ac:dyDescent="0.2">
      <c r="A457" s="11">
        <f>Dados!A485</f>
        <v>45147</v>
      </c>
      <c r="B457" s="12">
        <f>STDEV(Dados!D456:D485)*SQRT(252)</f>
        <v>0.15813555257529666</v>
      </c>
      <c r="C457" s="12">
        <f>STDEV(Dados!E456:E485)*SQRT(252)</f>
        <v>0.15255439300309759</v>
      </c>
    </row>
    <row r="458" spans="1:3" ht="15" customHeight="1" x14ac:dyDescent="0.2">
      <c r="A458" s="11">
        <f>Dados!A486</f>
        <v>45148</v>
      </c>
      <c r="B458" s="12">
        <f>STDEV(Dados!D457:D486)*SQRT(252)</f>
        <v>0.14912271101134381</v>
      </c>
      <c r="C458" s="12">
        <f>STDEV(Dados!E457:E486)*SQRT(252)</f>
        <v>0.14668080762805702</v>
      </c>
    </row>
    <row r="459" spans="1:3" ht="15" customHeight="1" x14ac:dyDescent="0.2">
      <c r="A459" s="11">
        <f>Dados!A487</f>
        <v>45149</v>
      </c>
      <c r="B459" s="12">
        <f>STDEV(Dados!D458:D487)*SQRT(252)</f>
        <v>0.14877569140293762</v>
      </c>
      <c r="C459" s="12">
        <f>STDEV(Dados!E458:E487)*SQRT(252)</f>
        <v>0.14666738775605617</v>
      </c>
    </row>
    <row r="460" spans="1:3" ht="15" customHeight="1" x14ac:dyDescent="0.2">
      <c r="A460" s="11">
        <f>Dados!A488</f>
        <v>45152</v>
      </c>
      <c r="B460" s="12">
        <f>STDEV(Dados!D459:D488)*SQRT(252)</f>
        <v>0.14905057002864788</v>
      </c>
      <c r="C460" s="12">
        <f>STDEV(Dados!E459:E488)*SQRT(252)</f>
        <v>0.14417766774592047</v>
      </c>
    </row>
    <row r="461" spans="1:3" ht="15" customHeight="1" x14ac:dyDescent="0.2">
      <c r="A461" s="11">
        <f>Dados!A489</f>
        <v>45153</v>
      </c>
      <c r="B461" s="12">
        <f>STDEV(Dados!D460:D489)*SQRT(252)</f>
        <v>0.14839028145637159</v>
      </c>
      <c r="C461" s="12">
        <f>STDEV(Dados!E460:E489)*SQRT(252)</f>
        <v>0.14430687620869373</v>
      </c>
    </row>
    <row r="462" spans="1:3" ht="15" customHeight="1" x14ac:dyDescent="0.2">
      <c r="A462" s="11">
        <f>Dados!A490</f>
        <v>45154</v>
      </c>
      <c r="B462" s="12">
        <f>STDEV(Dados!D461:D490)*SQRT(252)</f>
        <v>0.14750244522351788</v>
      </c>
      <c r="C462" s="12">
        <f>STDEV(Dados!E461:E490)*SQRT(252)</f>
        <v>0.14406029650809896</v>
      </c>
    </row>
    <row r="463" spans="1:3" ht="15" customHeight="1" x14ac:dyDescent="0.2">
      <c r="A463" s="11">
        <f>Dados!A491</f>
        <v>45155</v>
      </c>
      <c r="B463" s="12">
        <f>STDEV(Dados!D462:D491)*SQRT(252)</f>
        <v>0.13769075748764362</v>
      </c>
      <c r="C463" s="12">
        <f>STDEV(Dados!E462:E491)*SQRT(252)</f>
        <v>0.13567177883644221</v>
      </c>
    </row>
    <row r="464" spans="1:3" ht="15" customHeight="1" x14ac:dyDescent="0.2">
      <c r="A464" s="11">
        <f>Dados!A492</f>
        <v>45156</v>
      </c>
      <c r="B464" s="12">
        <f>STDEV(Dados!D463:D492)*SQRT(252)</f>
        <v>0.13161808248931939</v>
      </c>
      <c r="C464" s="12">
        <f>STDEV(Dados!E463:E492)*SQRT(252)</f>
        <v>0.13057124518035515</v>
      </c>
    </row>
    <row r="465" spans="1:3" ht="15" customHeight="1" x14ac:dyDescent="0.2">
      <c r="A465" s="11">
        <f>Dados!A493</f>
        <v>45159</v>
      </c>
      <c r="B465" s="12">
        <f>STDEV(Dados!D464:D493)*SQRT(252)</f>
        <v>0.13248577428268701</v>
      </c>
      <c r="C465" s="12">
        <f>STDEV(Dados!E464:E493)*SQRT(252)</f>
        <v>0.13079200825178036</v>
      </c>
    </row>
    <row r="466" spans="1:3" ht="15" customHeight="1" x14ac:dyDescent="0.2">
      <c r="A466" s="11">
        <f>Dados!A494</f>
        <v>45160</v>
      </c>
      <c r="B466" s="12">
        <f>STDEV(Dados!D465:D494)*SQRT(252)</f>
        <v>0.13794415268570237</v>
      </c>
      <c r="C466" s="12">
        <f>STDEV(Dados!E465:E494)*SQRT(252)</f>
        <v>0.13851459009796727</v>
      </c>
    </row>
    <row r="467" spans="1:3" ht="15" customHeight="1" x14ac:dyDescent="0.2">
      <c r="A467" s="11">
        <f>Dados!A495</f>
        <v>45161</v>
      </c>
      <c r="B467" s="12">
        <f>STDEV(Dados!D466:D495)*SQRT(252)</f>
        <v>0.14388734037753093</v>
      </c>
      <c r="C467" s="12">
        <f>STDEV(Dados!E466:E495)*SQRT(252)</f>
        <v>0.14729477578424202</v>
      </c>
    </row>
    <row r="468" spans="1:3" ht="15" customHeight="1" x14ac:dyDescent="0.2">
      <c r="A468" s="11">
        <f>Dados!A496</f>
        <v>45162</v>
      </c>
      <c r="B468" s="12">
        <f>STDEV(Dados!D467:D496)*SQRT(252)</f>
        <v>0.14317423091880996</v>
      </c>
      <c r="C468" s="12">
        <f>STDEV(Dados!E467:E496)*SQRT(252)</f>
        <v>0.1441812113498194</v>
      </c>
    </row>
    <row r="469" spans="1:3" ht="15" customHeight="1" x14ac:dyDescent="0.2">
      <c r="A469" s="11">
        <f>Dados!A497</f>
        <v>45163</v>
      </c>
      <c r="B469" s="12">
        <f>STDEV(Dados!D468:D497)*SQRT(252)</f>
        <v>0.14185846498679</v>
      </c>
      <c r="C469" s="12">
        <f>STDEV(Dados!E468:E497)*SQRT(252)</f>
        <v>0.14223552124452926</v>
      </c>
    </row>
    <row r="470" spans="1:3" ht="15" customHeight="1" x14ac:dyDescent="0.2">
      <c r="A470" s="11">
        <f>Dados!A498</f>
        <v>45166</v>
      </c>
      <c r="B470" s="12">
        <f>STDEV(Dados!D469:D498)*SQRT(252)</f>
        <v>0.14388425114590139</v>
      </c>
      <c r="C470" s="12">
        <f>STDEV(Dados!E469:E498)*SQRT(252)</f>
        <v>0.14551677795278525</v>
      </c>
    </row>
    <row r="471" spans="1:3" ht="15" customHeight="1" x14ac:dyDescent="0.2">
      <c r="A471" s="11">
        <f>Dados!A499</f>
        <v>45167</v>
      </c>
      <c r="B471" s="12">
        <f>STDEV(Dados!D470:D499)*SQRT(252)</f>
        <v>0.14568472206257307</v>
      </c>
      <c r="C471" s="12">
        <f>STDEV(Dados!E470:E499)*SQRT(252)</f>
        <v>0.14878206623259166</v>
      </c>
    </row>
    <row r="472" spans="1:3" ht="15" customHeight="1" x14ac:dyDescent="0.2">
      <c r="A472" s="11">
        <f>Dados!A500</f>
        <v>45168</v>
      </c>
      <c r="B472" s="12">
        <f>STDEV(Dados!D471:D500)*SQRT(252)</f>
        <v>0.14819777314144505</v>
      </c>
      <c r="C472" s="12">
        <f>STDEV(Dados!E471:E500)*SQRT(252)</f>
        <v>0.1502058969778286</v>
      </c>
    </row>
    <row r="473" spans="1:3" ht="15" customHeight="1" x14ac:dyDescent="0.2">
      <c r="A473" s="11">
        <f>Dados!A501</f>
        <v>45169</v>
      </c>
      <c r="B473" s="12">
        <f>STDEV(Dados!D472:D501)*SQRT(252)</f>
        <v>0.15594433819217518</v>
      </c>
      <c r="C473" s="12">
        <f>STDEV(Dados!E472:E501)*SQRT(252)</f>
        <v>0.15595727374077145</v>
      </c>
    </row>
    <row r="474" spans="1:3" ht="15" customHeight="1" x14ac:dyDescent="0.2">
      <c r="A474" s="11">
        <f>Dados!A502</f>
        <v>45170</v>
      </c>
      <c r="B474" s="12">
        <f>STDEV(Dados!D473:D502)*SQRT(252)</f>
        <v>0.14655022337176493</v>
      </c>
      <c r="C474" s="12">
        <f>STDEV(Dados!E473:E502)*SQRT(252)</f>
        <v>0.15648406601305753</v>
      </c>
    </row>
    <row r="475" spans="1:3" ht="15" customHeight="1" x14ac:dyDescent="0.2">
      <c r="A475" s="11">
        <f>Dados!A503</f>
        <v>45173</v>
      </c>
      <c r="B475" s="12">
        <f>STDEV(Dados!D474:D503)*SQRT(252)</f>
        <v>0.14576470200649555</v>
      </c>
      <c r="C475" s="12">
        <f>STDEV(Dados!E474:E503)*SQRT(252)</f>
        <v>0.1536052356038877</v>
      </c>
    </row>
    <row r="476" spans="1:3" ht="15" customHeight="1" x14ac:dyDescent="0.2">
      <c r="A476" s="11">
        <f>Dados!A504</f>
        <v>45174</v>
      </c>
      <c r="B476" s="12">
        <f>STDEV(Dados!D475:D504)*SQRT(252)</f>
        <v>0.14669590996621906</v>
      </c>
      <c r="C476" s="12">
        <f>STDEV(Dados!E475:E504)*SQRT(252)</f>
        <v>0.15255926461071062</v>
      </c>
    </row>
    <row r="477" spans="1:3" ht="15" customHeight="1" x14ac:dyDescent="0.2">
      <c r="A477" s="11">
        <f>Dados!A505</f>
        <v>45175</v>
      </c>
      <c r="B477" s="12">
        <f>STDEV(Dados!D476:D505)*SQRT(252)</f>
        <v>0.14728639928919707</v>
      </c>
      <c r="C477" s="12">
        <f>STDEV(Dados!E476:E505)*SQRT(252)</f>
        <v>0.15432426653979689</v>
      </c>
    </row>
    <row r="478" spans="1:3" ht="15" customHeight="1" x14ac:dyDescent="0.2">
      <c r="A478" s="11">
        <f>Dados!A506</f>
        <v>45177</v>
      </c>
      <c r="B478" s="12">
        <f>STDEV(Dados!D477:D506)*SQRT(252)</f>
        <v>0.13994919454230276</v>
      </c>
      <c r="C478" s="12">
        <f>STDEV(Dados!E477:E506)*SQRT(252)</f>
        <v>0.14362987806821159</v>
      </c>
    </row>
    <row r="479" spans="1:3" ht="15" customHeight="1" x14ac:dyDescent="0.2">
      <c r="A479" s="11">
        <f>Dados!A507</f>
        <v>45180</v>
      </c>
      <c r="B479" s="12">
        <f>STDEV(Dados!D478:D507)*SQRT(252)</f>
        <v>0.14444800153482998</v>
      </c>
      <c r="C479" s="12">
        <f>STDEV(Dados!E478:E507)*SQRT(252)</f>
        <v>0.14976013885671899</v>
      </c>
    </row>
    <row r="480" spans="1:3" ht="15" customHeight="1" x14ac:dyDescent="0.2">
      <c r="A480" s="11">
        <f>Dados!A508</f>
        <v>45181</v>
      </c>
      <c r="B480" s="12">
        <f>STDEV(Dados!D479:D508)*SQRT(252)</f>
        <v>0.14512095135704639</v>
      </c>
      <c r="C480" s="12">
        <f>STDEV(Dados!E479:E508)*SQRT(252)</f>
        <v>0.14576941310499578</v>
      </c>
    </row>
    <row r="481" spans="1:3" ht="15" customHeight="1" x14ac:dyDescent="0.2">
      <c r="A481" s="11">
        <f>Dados!A509</f>
        <v>45182</v>
      </c>
      <c r="B481" s="12">
        <f>STDEV(Dados!D480:D509)*SQRT(252)</f>
        <v>0.14614123085011446</v>
      </c>
      <c r="C481" s="12">
        <f>STDEV(Dados!E480:E509)*SQRT(252)</f>
        <v>0.14532434352636697</v>
      </c>
    </row>
    <row r="482" spans="1:3" ht="15" customHeight="1" x14ac:dyDescent="0.2">
      <c r="A482" s="11">
        <f>Dados!A510</f>
        <v>45183</v>
      </c>
      <c r="B482" s="12">
        <f>STDEV(Dados!D481:D510)*SQRT(252)</f>
        <v>0.14635331964215473</v>
      </c>
      <c r="C482" s="12">
        <f>STDEV(Dados!E481:E510)*SQRT(252)</f>
        <v>0.14861920293134839</v>
      </c>
    </row>
    <row r="483" spans="1:3" ht="15" customHeight="1" x14ac:dyDescent="0.2">
      <c r="A483" s="11">
        <f>Dados!A511</f>
        <v>45184</v>
      </c>
      <c r="B483" s="12">
        <f>STDEV(Dados!D482:D511)*SQRT(252)</f>
        <v>0.1464126835268624</v>
      </c>
      <c r="C483" s="12">
        <f>STDEV(Dados!E482:E511)*SQRT(252)</f>
        <v>0.14921523442952878</v>
      </c>
    </row>
    <row r="484" spans="1:3" ht="15" customHeight="1" x14ac:dyDescent="0.2">
      <c r="A484" s="11">
        <f>Dados!A512</f>
        <v>45187</v>
      </c>
      <c r="B484" s="12">
        <f>STDEV(Dados!D483:D512)*SQRT(252)</f>
        <v>0.14517766185989245</v>
      </c>
      <c r="C484" s="12">
        <f>STDEV(Dados!E483:E512)*SQRT(252)</f>
        <v>0.14743881269723194</v>
      </c>
    </row>
    <row r="485" spans="1:3" ht="15" customHeight="1" x14ac:dyDescent="0.2">
      <c r="A485" s="11">
        <f>Dados!A513</f>
        <v>45188</v>
      </c>
      <c r="B485" s="12">
        <f>STDEV(Dados!D484:D513)*SQRT(252)</f>
        <v>0.14580794360130234</v>
      </c>
      <c r="C485" s="12">
        <f>STDEV(Dados!E484:E513)*SQRT(252)</f>
        <v>0.14775675047943765</v>
      </c>
    </row>
    <row r="486" spans="1:3" ht="15" customHeight="1" x14ac:dyDescent="0.2">
      <c r="A486" s="11">
        <f>Dados!A514</f>
        <v>45189</v>
      </c>
      <c r="B486" s="12">
        <f>STDEV(Dados!D485:D514)*SQRT(252)</f>
        <v>0.14793645974376859</v>
      </c>
      <c r="C486" s="12">
        <f>STDEV(Dados!E485:E514)*SQRT(252)</f>
        <v>0.14924372485909626</v>
      </c>
    </row>
    <row r="487" spans="1:3" ht="15" customHeight="1" x14ac:dyDescent="0.2">
      <c r="A487" s="11">
        <f>Dados!A515</f>
        <v>45190</v>
      </c>
      <c r="B487" s="12">
        <f>STDEV(Dados!D486:D515)*SQRT(252)</f>
        <v>0.15786984327292272</v>
      </c>
      <c r="C487" s="12">
        <f>STDEV(Dados!E486:E515)*SQRT(252)</f>
        <v>0.16118847973202236</v>
      </c>
    </row>
    <row r="488" spans="1:3" ht="15" customHeight="1" x14ac:dyDescent="0.2">
      <c r="A488" s="11">
        <f>Dados!A516</f>
        <v>45191</v>
      </c>
      <c r="B488" s="12">
        <f>STDEV(Dados!D487:D516)*SQRT(252)</f>
        <v>0.15777273373713563</v>
      </c>
      <c r="C488" s="12">
        <f>STDEV(Dados!E487:E516)*SQRT(252)</f>
        <v>0.16119502291795176</v>
      </c>
    </row>
    <row r="489" spans="1:3" ht="15" customHeight="1" x14ac:dyDescent="0.2">
      <c r="A489" s="11">
        <f>Dados!A517</f>
        <v>45194</v>
      </c>
      <c r="B489" s="12">
        <f>STDEV(Dados!D488:D517)*SQRT(252)</f>
        <v>0.15800069290228522</v>
      </c>
      <c r="C489" s="12">
        <f>STDEV(Dados!E488:E517)*SQRT(252)</f>
        <v>0.16111045548260927</v>
      </c>
    </row>
    <row r="490" spans="1:3" ht="15" customHeight="1" x14ac:dyDescent="0.2">
      <c r="A490" s="11">
        <f>Dados!A518</f>
        <v>45195</v>
      </c>
      <c r="B490" s="12">
        <f>STDEV(Dados!D489:D518)*SQRT(252)</f>
        <v>0.15969239417584943</v>
      </c>
      <c r="C490" s="12">
        <f>STDEV(Dados!E489:E518)*SQRT(252)</f>
        <v>0.16395582582939736</v>
      </c>
    </row>
    <row r="491" spans="1:3" ht="15" customHeight="1" x14ac:dyDescent="0.2">
      <c r="A491" s="11">
        <f>Dados!A519</f>
        <v>45196</v>
      </c>
      <c r="B491" s="12">
        <f>STDEV(Dados!D490:D519)*SQRT(252)</f>
        <v>0.15973318438619361</v>
      </c>
      <c r="C491" s="12">
        <f>STDEV(Dados!E490:E519)*SQRT(252)</f>
        <v>0.16342138670963241</v>
      </c>
    </row>
    <row r="492" spans="1:3" ht="15" customHeight="1" x14ac:dyDescent="0.2">
      <c r="A492" s="11">
        <f>Dados!A520</f>
        <v>45197</v>
      </c>
      <c r="B492" s="12">
        <f>STDEV(Dados!D491:D520)*SQRT(252)</f>
        <v>0.16608974746550342</v>
      </c>
      <c r="C492" s="12">
        <f>STDEV(Dados!E491:E520)*SQRT(252)</f>
        <v>0.16690698743391111</v>
      </c>
    </row>
    <row r="493" spans="1:3" ht="15" customHeight="1" x14ac:dyDescent="0.2">
      <c r="A493" s="11">
        <f>Dados!A521</f>
        <v>45198</v>
      </c>
      <c r="B493" s="12">
        <f>STDEV(Dados!D492:D521)*SQRT(252)</f>
        <v>0.16545819373721923</v>
      </c>
      <c r="C493" s="12">
        <f>STDEV(Dados!E492:E521)*SQRT(252)</f>
        <v>0.16735879264838732</v>
      </c>
    </row>
    <row r="494" spans="1:3" ht="15" customHeight="1" x14ac:dyDescent="0.2">
      <c r="A494" s="11">
        <f>Dados!A522</f>
        <v>45201</v>
      </c>
      <c r="B494" s="12">
        <f>STDEV(Dados!D493:D522)*SQRT(252)</f>
        <v>0.16760982608155148</v>
      </c>
      <c r="C494" s="12">
        <f>STDEV(Dados!E493:E522)*SQRT(252)</f>
        <v>0.17150630484424037</v>
      </c>
    </row>
    <row r="495" spans="1:3" ht="15" customHeight="1" x14ac:dyDescent="0.2">
      <c r="A495" s="11">
        <f>Dados!A523</f>
        <v>45202</v>
      </c>
      <c r="B495" s="12">
        <f>STDEV(Dados!D494:D523)*SQRT(252)</f>
        <v>0.17192532312660797</v>
      </c>
      <c r="C495" s="12">
        <f>STDEV(Dados!E494:E523)*SQRT(252)</f>
        <v>0.17478270670167337</v>
      </c>
    </row>
    <row r="496" spans="1:3" ht="15" customHeight="1" x14ac:dyDescent="0.2">
      <c r="A496" s="11">
        <f>Dados!A524</f>
        <v>45203</v>
      </c>
      <c r="B496" s="12">
        <f>STDEV(Dados!D495:D524)*SQRT(252)</f>
        <v>0.16791378759023443</v>
      </c>
      <c r="C496" s="12">
        <f>STDEV(Dados!E495:E524)*SQRT(252)</f>
        <v>0.16882871239520822</v>
      </c>
    </row>
    <row r="497" spans="1:3" ht="15" customHeight="1" x14ac:dyDescent="0.2">
      <c r="A497" s="11">
        <f>Dados!A525</f>
        <v>45204</v>
      </c>
      <c r="B497" s="12">
        <f>STDEV(Dados!D496:D525)*SQRT(252)</f>
        <v>0.16154258980884711</v>
      </c>
      <c r="C497" s="12">
        <f>STDEV(Dados!E496:E525)*SQRT(252)</f>
        <v>0.16039597348871987</v>
      </c>
    </row>
    <row r="498" spans="1:3" ht="15" customHeight="1" x14ac:dyDescent="0.2">
      <c r="A498" s="11">
        <f>Dados!A526</f>
        <v>45205</v>
      </c>
      <c r="B498" s="12">
        <f>STDEV(Dados!D497:D526)*SQRT(252)</f>
        <v>0.16060416022118174</v>
      </c>
      <c r="C498" s="12">
        <f>STDEV(Dados!E497:E526)*SQRT(252)</f>
        <v>0.16066631928018979</v>
      </c>
    </row>
    <row r="499" spans="1:3" ht="15" customHeight="1" x14ac:dyDescent="0.2">
      <c r="A499" s="11">
        <f>Dados!A527</f>
        <v>45208</v>
      </c>
      <c r="B499" s="12">
        <f>STDEV(Dados!D498:D527)*SQRT(252)</f>
        <v>0.15828599715910396</v>
      </c>
      <c r="C499" s="12">
        <f>STDEV(Dados!E498:E527)*SQRT(252)</f>
        <v>0.16036447163521234</v>
      </c>
    </row>
    <row r="500" spans="1:3" ht="15" customHeight="1" x14ac:dyDescent="0.2">
      <c r="A500" s="11">
        <f>Dados!A528</f>
        <v>45209</v>
      </c>
      <c r="B500" s="12">
        <f>STDEV(Dados!D499:D528)*SQRT(252)</f>
        <v>0.16282452857589913</v>
      </c>
      <c r="C500" s="12">
        <f>STDEV(Dados!E499:E528)*SQRT(252)</f>
        <v>0.16212176672694484</v>
      </c>
    </row>
    <row r="501" spans="1:3" ht="15" customHeight="1" x14ac:dyDescent="0.2">
      <c r="A501" s="11">
        <f>Dados!A529</f>
        <v>45210</v>
      </c>
      <c r="B501" s="12">
        <f>STDEV(Dados!D500:D529)*SQRT(252)</f>
        <v>0.16112641420189186</v>
      </c>
      <c r="C501" s="12">
        <f>STDEV(Dados!E500:E529)*SQRT(252)</f>
        <v>0.15899553021217655</v>
      </c>
    </row>
    <row r="502" spans="1:3" ht="15" customHeight="1" x14ac:dyDescent="0.2">
      <c r="A502" s="11">
        <f>Dados!A530</f>
        <v>45212</v>
      </c>
      <c r="B502" s="12">
        <f>STDEV(Dados!D501:D530)*SQRT(252)</f>
        <v>0.16634707506857382</v>
      </c>
      <c r="C502" s="12">
        <f>STDEV(Dados!E501:E530)*SQRT(252)</f>
        <v>0.1608031239727914</v>
      </c>
    </row>
    <row r="503" spans="1:3" ht="15" customHeight="1" x14ac:dyDescent="0.2">
      <c r="A503" s="11">
        <f>Dados!A531</f>
        <v>45215</v>
      </c>
      <c r="B503" s="12">
        <f>STDEV(Dados!D502:D531)*SQRT(252)</f>
        <v>0.15936810473736515</v>
      </c>
      <c r="C503" s="12">
        <f>STDEV(Dados!E502:E531)*SQRT(252)</f>
        <v>0.15572450018794701</v>
      </c>
    </row>
    <row r="504" spans="1:3" ht="15" customHeight="1" x14ac:dyDescent="0.2">
      <c r="A504" s="11">
        <f>Dados!A532</f>
        <v>45216</v>
      </c>
      <c r="B504" s="12">
        <f>STDEV(Dados!D503:D532)*SQRT(252)</f>
        <v>0.15912718954788835</v>
      </c>
      <c r="C504" s="12">
        <f>STDEV(Dados!E503:E532)*SQRT(252)</f>
        <v>0.14658026629737869</v>
      </c>
    </row>
    <row r="505" spans="1:3" ht="15" customHeight="1" x14ac:dyDescent="0.2">
      <c r="A505" s="11">
        <f>Dados!A533</f>
        <v>45217</v>
      </c>
      <c r="B505" s="12">
        <f>STDEV(Dados!D504:D533)*SQRT(252)</f>
        <v>0.1654987954735056</v>
      </c>
      <c r="C505" s="12">
        <f>STDEV(Dados!E504:E533)*SQRT(252)</f>
        <v>0.15332206731882017</v>
      </c>
    </row>
    <row r="506" spans="1:3" ht="15" customHeight="1" x14ac:dyDescent="0.2">
      <c r="A506" s="11">
        <f>Dados!A534</f>
        <v>45218</v>
      </c>
      <c r="B506" s="12">
        <f>STDEV(Dados!D505:D534)*SQRT(252)</f>
        <v>0.16496685909404293</v>
      </c>
      <c r="C506" s="12">
        <f>STDEV(Dados!E505:E534)*SQRT(252)</f>
        <v>0.15311064329184798</v>
      </c>
    </row>
    <row r="507" spans="1:3" ht="15" customHeight="1" x14ac:dyDescent="0.2">
      <c r="A507" s="11">
        <f>Dados!A535</f>
        <v>45219</v>
      </c>
      <c r="B507" s="12">
        <f>STDEV(Dados!D506:D535)*SQRT(252)</f>
        <v>0.16255915879679533</v>
      </c>
      <c r="C507" s="12">
        <f>STDEV(Dados!E506:E535)*SQRT(252)</f>
        <v>0.15111086280759892</v>
      </c>
    </row>
    <row r="508" spans="1:3" ht="15" customHeight="1" x14ac:dyDescent="0.2">
      <c r="A508" s="11">
        <f>Dados!A536</f>
        <v>45222</v>
      </c>
      <c r="B508" s="12">
        <f>STDEV(Dados!D507:D536)*SQRT(252)</f>
        <v>0.16280094616884372</v>
      </c>
      <c r="C508" s="12">
        <f>STDEV(Dados!E507:E536)*SQRT(252)</f>
        <v>0.15056137792240287</v>
      </c>
    </row>
    <row r="509" spans="1:3" ht="15" customHeight="1" x14ac:dyDescent="0.2">
      <c r="A509" s="11">
        <f>Dados!A537</f>
        <v>45223</v>
      </c>
      <c r="B509" s="12">
        <f>STDEV(Dados!D508:D537)*SQRT(252)</f>
        <v>0.15780729630079129</v>
      </c>
      <c r="C509" s="12">
        <f>STDEV(Dados!E508:E537)*SQRT(252)</f>
        <v>0.14716041084489184</v>
      </c>
    </row>
    <row r="510" spans="1:3" ht="15" customHeight="1" x14ac:dyDescent="0.2">
      <c r="A510" s="11">
        <f>Dados!A538</f>
        <v>45224</v>
      </c>
      <c r="B510" s="12">
        <f>STDEV(Dados!D509:D538)*SQRT(252)</f>
        <v>0.15544394195560723</v>
      </c>
      <c r="C510" s="12">
        <f>STDEV(Dados!E509:E538)*SQRT(252)</f>
        <v>0.14539641126423877</v>
      </c>
    </row>
    <row r="511" spans="1:3" ht="15" customHeight="1" x14ac:dyDescent="0.2">
      <c r="A511" s="11">
        <f>Dados!A539</f>
        <v>45225</v>
      </c>
      <c r="B511" s="12">
        <f>STDEV(Dados!D510:D539)*SQRT(252)</f>
        <v>0.16705275051628196</v>
      </c>
      <c r="C511" s="12">
        <f>STDEV(Dados!E510:E539)*SQRT(252)</f>
        <v>0.15486902959146143</v>
      </c>
    </row>
    <row r="512" spans="1:3" ht="15" customHeight="1" x14ac:dyDescent="0.2">
      <c r="A512" s="11">
        <f>Dados!A540</f>
        <v>45226</v>
      </c>
      <c r="B512" s="12">
        <f>STDEV(Dados!D511:D540)*SQRT(252)</f>
        <v>0.17818748607440266</v>
      </c>
      <c r="C512" s="12">
        <f>STDEV(Dados!E511:E540)*SQRT(252)</f>
        <v>0.15486102526671416</v>
      </c>
    </row>
    <row r="513" spans="1:3" ht="15" customHeight="1" x14ac:dyDescent="0.2">
      <c r="A513" s="11">
        <f>Dados!A541</f>
        <v>45229</v>
      </c>
      <c r="B513" s="12">
        <f>STDEV(Dados!D512:D541)*SQRT(252)</f>
        <v>0.17882938503322335</v>
      </c>
      <c r="C513" s="12">
        <f>STDEV(Dados!E512:E541)*SQRT(252)</f>
        <v>0.15521891671676707</v>
      </c>
    </row>
    <row r="514" spans="1:3" ht="15" customHeight="1" x14ac:dyDescent="0.2">
      <c r="A514" s="11">
        <f>Dados!A542</f>
        <v>45230</v>
      </c>
      <c r="B514" s="12">
        <f>STDEV(Dados!D513:D542)*SQRT(252)</f>
        <v>0.18012852076006597</v>
      </c>
      <c r="C514" s="12">
        <f>STDEV(Dados!E513:E542)*SQRT(252)</f>
        <v>0.15645848685881911</v>
      </c>
    </row>
    <row r="515" spans="1:3" ht="15" customHeight="1" x14ac:dyDescent="0.2">
      <c r="A515" s="11">
        <f>Dados!A543</f>
        <v>45231</v>
      </c>
      <c r="B515" s="12">
        <f>STDEV(Dados!D514:D543)*SQRT(252)</f>
        <v>0.18749084496662788</v>
      </c>
      <c r="C515" s="12">
        <f>STDEV(Dados!E514:E543)*SQRT(252)</f>
        <v>0.16491221047904076</v>
      </c>
    </row>
    <row r="516" spans="1:3" ht="15" customHeight="1" x14ac:dyDescent="0.2">
      <c r="A516" s="11">
        <f>Dados!A544</f>
        <v>45233</v>
      </c>
      <c r="B516" s="12">
        <f>STDEV(Dados!D515:D544)*SQRT(252)</f>
        <v>0.21059822157666996</v>
      </c>
      <c r="C516" s="12">
        <f>STDEV(Dados!E515:E544)*SQRT(252)</f>
        <v>0.1818765168142677</v>
      </c>
    </row>
    <row r="517" spans="1:3" ht="15" customHeight="1" x14ac:dyDescent="0.2">
      <c r="A517" s="11">
        <f>Dados!A545</f>
        <v>45236</v>
      </c>
      <c r="B517" s="12">
        <f>STDEV(Dados!D516:D545)*SQRT(252)</f>
        <v>0.20168652427599293</v>
      </c>
      <c r="C517" s="12">
        <f>STDEV(Dados!E516:E545)*SQRT(252)</f>
        <v>0.17006459654292078</v>
      </c>
    </row>
    <row r="518" spans="1:3" ht="15" customHeight="1" x14ac:dyDescent="0.2">
      <c r="A518" s="11">
        <f>Dados!A546</f>
        <v>45237</v>
      </c>
      <c r="B518" s="12">
        <f>STDEV(Dados!D517:D546)*SQRT(252)</f>
        <v>0.20690715875627774</v>
      </c>
      <c r="C518" s="12">
        <f>STDEV(Dados!E517:E546)*SQRT(252)</f>
        <v>0.17096411939882375</v>
      </c>
    </row>
    <row r="519" spans="1:3" ht="15" customHeight="1" x14ac:dyDescent="0.2">
      <c r="A519" s="11">
        <f>Dados!A547</f>
        <v>45238</v>
      </c>
      <c r="B519" s="12">
        <f>STDEV(Dados!D518:D547)*SQRT(252)</f>
        <v>0.20693278862061407</v>
      </c>
      <c r="C519" s="12">
        <f>STDEV(Dados!E518:E547)*SQRT(252)</f>
        <v>0.17096741762913872</v>
      </c>
    </row>
    <row r="520" spans="1:3" ht="15" customHeight="1" x14ac:dyDescent="0.2">
      <c r="A520" s="11">
        <f>Dados!A548</f>
        <v>45239</v>
      </c>
      <c r="B520" s="12">
        <f>STDEV(Dados!D519:D548)*SQRT(252)</f>
        <v>0.20277432741216719</v>
      </c>
      <c r="C520" s="12">
        <f>STDEV(Dados!E519:E548)*SQRT(252)</f>
        <v>0.16430352438062953</v>
      </c>
    </row>
    <row r="521" spans="1:3" ht="15" customHeight="1" x14ac:dyDescent="0.2">
      <c r="A521" s="11">
        <f>Dados!A549</f>
        <v>45240</v>
      </c>
      <c r="B521" s="12">
        <f>STDEV(Dados!D520:D549)*SQRT(252)</f>
        <v>0.20573970559975691</v>
      </c>
      <c r="C521" s="12">
        <f>STDEV(Dados!E520:E549)*SQRT(252)</f>
        <v>0.16759921159209348</v>
      </c>
    </row>
    <row r="522" spans="1:3" ht="15" customHeight="1" x14ac:dyDescent="0.2">
      <c r="A522" s="11">
        <f>Dados!A550</f>
        <v>45243</v>
      </c>
      <c r="B522" s="12">
        <f>STDEV(Dados!D521:D550)*SQRT(252)</f>
        <v>0.20261742731945884</v>
      </c>
      <c r="C522" s="12">
        <f>STDEV(Dados!E521:E550)*SQRT(252)</f>
        <v>0.16484273679698386</v>
      </c>
    </row>
    <row r="523" spans="1:3" ht="15" customHeight="1" x14ac:dyDescent="0.2">
      <c r="A523" s="11">
        <f>Dados!A551</f>
        <v>45244</v>
      </c>
      <c r="B523" s="12">
        <f>STDEV(Dados!D522:D551)*SQRT(252)</f>
        <v>0.21044822269794106</v>
      </c>
      <c r="C523" s="12">
        <f>STDEV(Dados!E522:E551)*SQRT(252)</f>
        <v>0.17536108379973778</v>
      </c>
    </row>
    <row r="524" spans="1:3" ht="15" customHeight="1" x14ac:dyDescent="0.2">
      <c r="A524" s="11">
        <f>Dados!A552</f>
        <v>45246</v>
      </c>
      <c r="B524" s="12">
        <f>STDEV(Dados!D523:D552)*SQRT(252)</f>
        <v>0.21202300768678375</v>
      </c>
      <c r="C524" s="12">
        <f>STDEV(Dados!E523:E552)*SQRT(252)</f>
        <v>0.17184778866481154</v>
      </c>
    </row>
    <row r="525" spans="1:3" ht="15" customHeight="1" x14ac:dyDescent="0.2">
      <c r="A525" s="11">
        <f>Dados!A553</f>
        <v>45247</v>
      </c>
      <c r="B525" s="12">
        <f>STDEV(Dados!D524:D553)*SQRT(252)</f>
        <v>0.20475815377340426</v>
      </c>
      <c r="C525" s="12">
        <f>STDEV(Dados!E524:E553)*SQRT(252)</f>
        <v>0.16423162245388931</v>
      </c>
    </row>
    <row r="526" spans="1:3" ht="15" customHeight="1" x14ac:dyDescent="0.2">
      <c r="A526" s="11">
        <f>Dados!A554</f>
        <v>45250</v>
      </c>
      <c r="B526" s="12">
        <f>STDEV(Dados!D525:D554)*SQRT(252)</f>
        <v>0.20426008924254341</v>
      </c>
      <c r="C526" s="12">
        <f>STDEV(Dados!E525:E554)*SQRT(252)</f>
        <v>0.16515223968577372</v>
      </c>
    </row>
    <row r="527" spans="1:3" ht="15" customHeight="1" x14ac:dyDescent="0.2">
      <c r="A527" s="11">
        <f>Dados!A555</f>
        <v>45251</v>
      </c>
      <c r="B527" s="12">
        <f>STDEV(Dados!D526:D555)*SQRT(252)</f>
        <v>0.20653363792589821</v>
      </c>
      <c r="C527" s="12">
        <f>STDEV(Dados!E526:E555)*SQRT(252)</f>
        <v>0.16508200858597014</v>
      </c>
    </row>
    <row r="528" spans="1:3" ht="15" customHeight="1" x14ac:dyDescent="0.2">
      <c r="A528" s="11">
        <f>Dados!A556</f>
        <v>45252</v>
      </c>
      <c r="B528" s="12">
        <f>STDEV(Dados!D527:D556)*SQRT(252)</f>
        <v>0.20692783872068232</v>
      </c>
      <c r="C528" s="12">
        <f>STDEV(Dados!E527:E556)*SQRT(252)</f>
        <v>0.16456758349519809</v>
      </c>
    </row>
    <row r="529" spans="1:3" ht="15" customHeight="1" x14ac:dyDescent="0.2">
      <c r="A529" s="11">
        <f>Dados!A557</f>
        <v>45253</v>
      </c>
      <c r="B529" s="12">
        <f>STDEV(Dados!D528:D557)*SQRT(252)</f>
        <v>0.20701208318111863</v>
      </c>
      <c r="C529" s="12">
        <f>STDEV(Dados!E528:E557)*SQRT(252)</f>
        <v>0.16383271243701494</v>
      </c>
    </row>
    <row r="530" spans="1:3" ht="15" customHeight="1" x14ac:dyDescent="0.2">
      <c r="A530" s="11">
        <f>Dados!A558</f>
        <v>45254</v>
      </c>
      <c r="B530" s="12">
        <f>STDEV(Dados!D529:D558)*SQRT(252)</f>
        <v>0.20634804369714152</v>
      </c>
      <c r="C530" s="12">
        <f>STDEV(Dados!E529:E558)*SQRT(252)</f>
        <v>0.16402837792282918</v>
      </c>
    </row>
    <row r="531" spans="1:3" ht="15" customHeight="1" x14ac:dyDescent="0.2">
      <c r="A531" s="11">
        <f>Dados!A559</f>
        <v>45257</v>
      </c>
      <c r="B531" s="12">
        <f>STDEV(Dados!D530:D559)*SQRT(252)</f>
        <v>0.20658816226908525</v>
      </c>
      <c r="C531" s="12">
        <f>STDEV(Dados!E530:E559)*SQRT(252)</f>
        <v>0.16403910354609538</v>
      </c>
    </row>
    <row r="532" spans="1:3" ht="15" customHeight="1" x14ac:dyDescent="0.2">
      <c r="A532" s="11">
        <f>Dados!A560</f>
        <v>45258</v>
      </c>
      <c r="B532" s="12">
        <f>STDEV(Dados!D531:D560)*SQRT(252)</f>
        <v>0.19802477900951729</v>
      </c>
      <c r="C532" s="12">
        <f>STDEV(Dados!E531:E560)*SQRT(252)</f>
        <v>0.1592785420887195</v>
      </c>
    </row>
    <row r="533" spans="1:3" ht="15" customHeight="1" x14ac:dyDescent="0.2">
      <c r="A533" s="11">
        <f>Dados!A561</f>
        <v>45259</v>
      </c>
      <c r="B533" s="12">
        <f>STDEV(Dados!D532:D561)*SQRT(252)</f>
        <v>0.19828162680592834</v>
      </c>
      <c r="C533" s="12">
        <f>STDEV(Dados!E532:E561)*SQRT(252)</f>
        <v>0.15976389160517093</v>
      </c>
    </row>
    <row r="534" spans="1:3" ht="15" customHeight="1" x14ac:dyDescent="0.2">
      <c r="A534" s="11">
        <f>Dados!A562</f>
        <v>45260</v>
      </c>
      <c r="B534" s="12">
        <f>STDEV(Dados!D533:D562)*SQRT(252)</f>
        <v>0.19379391368485729</v>
      </c>
      <c r="C534" s="12">
        <f>STDEV(Dados!E533:E562)*SQRT(252)</f>
        <v>0.15897894107581881</v>
      </c>
    </row>
    <row r="535" spans="1:3" ht="15" customHeight="1" x14ac:dyDescent="0.2">
      <c r="A535" s="11">
        <f>Dados!A563</f>
        <v>45261</v>
      </c>
      <c r="B535" s="12">
        <f>STDEV(Dados!D534:D563)*SQRT(252)</f>
        <v>0.18386662854870803</v>
      </c>
      <c r="C535" s="12">
        <f>STDEV(Dados!E534:E563)*SQRT(252)</f>
        <v>0.14842099739372272</v>
      </c>
    </row>
    <row r="536" spans="1:3" ht="15" customHeight="1" x14ac:dyDescent="0.2">
      <c r="A536" s="11">
        <f>Dados!A564</f>
        <v>45264</v>
      </c>
      <c r="B536" s="12">
        <f>STDEV(Dados!D535:D564)*SQRT(252)</f>
        <v>0.18660998935866688</v>
      </c>
      <c r="C536" s="12">
        <f>STDEV(Dados!E535:E564)*SQRT(252)</f>
        <v>0.15400213785163491</v>
      </c>
    </row>
    <row r="537" spans="1:3" ht="15" customHeight="1" x14ac:dyDescent="0.2">
      <c r="A537" s="11">
        <f>Dados!A565</f>
        <v>45265</v>
      </c>
      <c r="B537" s="12">
        <f>STDEV(Dados!D536:D565)*SQRT(252)</f>
        <v>0.18536516428639732</v>
      </c>
      <c r="C537" s="12">
        <f>STDEV(Dados!E536:E565)*SQRT(252)</f>
        <v>0.15068974847948263</v>
      </c>
    </row>
    <row r="538" spans="1:3" ht="15" customHeight="1" x14ac:dyDescent="0.2">
      <c r="A538" s="11">
        <f>Dados!A566</f>
        <v>45266</v>
      </c>
      <c r="B538" s="12">
        <f>STDEV(Dados!D537:D566)*SQRT(252)</f>
        <v>0.18846009271220304</v>
      </c>
      <c r="C538" s="12">
        <f>STDEV(Dados!E537:E566)*SQRT(252)</f>
        <v>0.15475608776497154</v>
      </c>
    </row>
    <row r="539" spans="1:3" ht="15" customHeight="1" x14ac:dyDescent="0.2">
      <c r="A539" s="11">
        <f>Dados!A567</f>
        <v>45267</v>
      </c>
      <c r="B539" s="12">
        <f>STDEV(Dados!D538:D567)*SQRT(252)</f>
        <v>0.18842697330227018</v>
      </c>
      <c r="C539" s="12">
        <f>STDEV(Dados!E538:E567)*SQRT(252)</f>
        <v>0.15402220912387124</v>
      </c>
    </row>
    <row r="540" spans="1:3" ht="15" customHeight="1" x14ac:dyDescent="0.2">
      <c r="A540" s="11">
        <f>Dados!A568</f>
        <v>45268</v>
      </c>
      <c r="B540" s="12">
        <f>STDEV(Dados!D539:D568)*SQRT(252)</f>
        <v>0.18333633606313113</v>
      </c>
      <c r="C540" s="12">
        <f>STDEV(Dados!E539:E568)*SQRT(252)</f>
        <v>0.15065192274675818</v>
      </c>
    </row>
    <row r="541" spans="1:3" ht="15" customHeight="1" x14ac:dyDescent="0.2">
      <c r="A541" s="11">
        <f>Dados!A569</f>
        <v>45271</v>
      </c>
      <c r="B541" s="12">
        <f>STDEV(Dados!D540:D569)*SQRT(252)</f>
        <v>0.17826747511009444</v>
      </c>
      <c r="C541" s="12">
        <f>STDEV(Dados!E540:E569)*SQRT(252)</f>
        <v>0.14610543134405291</v>
      </c>
    </row>
    <row r="542" spans="1:3" ht="15" customHeight="1" x14ac:dyDescent="0.2">
      <c r="A542" s="11">
        <f>Dados!A570</f>
        <v>45272</v>
      </c>
      <c r="B542" s="12">
        <f>STDEV(Dados!D541:D570)*SQRT(252)</f>
        <v>0.161224819617106</v>
      </c>
      <c r="C542" s="12">
        <f>STDEV(Dados!E541:E570)*SQRT(252)</f>
        <v>0.13961655594522543</v>
      </c>
    </row>
    <row r="543" spans="1:3" ht="15" customHeight="1" x14ac:dyDescent="0.2">
      <c r="A543" s="11">
        <f>Dados!A571</f>
        <v>45273</v>
      </c>
      <c r="B543" s="12">
        <f>STDEV(Dados!D542:D571)*SQRT(252)</f>
        <v>0.17139920547579685</v>
      </c>
      <c r="C543" s="12">
        <f>STDEV(Dados!E542:E571)*SQRT(252)</f>
        <v>0.14780124619569554</v>
      </c>
    </row>
    <row r="544" spans="1:3" ht="15" customHeight="1" x14ac:dyDescent="0.2">
      <c r="A544" s="11">
        <f>Dados!A572</f>
        <v>45274</v>
      </c>
      <c r="B544" s="12">
        <f>STDEV(Dados!D543:D572)*SQRT(252)</f>
        <v>0.17157039615190084</v>
      </c>
      <c r="C544" s="12">
        <f>STDEV(Dados!E543:E572)*SQRT(252)</f>
        <v>0.14878124009446528</v>
      </c>
    </row>
    <row r="545" spans="1:3" ht="15" customHeight="1" x14ac:dyDescent="0.2">
      <c r="A545" s="11">
        <f>Dados!A573</f>
        <v>45275</v>
      </c>
      <c r="B545" s="12">
        <f>STDEV(Dados!D544:D573)*SQRT(252)</f>
        <v>0.17207513109576625</v>
      </c>
      <c r="C545" s="12">
        <f>STDEV(Dados!E544:E573)*SQRT(252)</f>
        <v>0.14698326755617241</v>
      </c>
    </row>
    <row r="546" spans="1:3" ht="15" customHeight="1" x14ac:dyDescent="0.2">
      <c r="A546" s="11">
        <f>Dados!A574</f>
        <v>45278</v>
      </c>
      <c r="B546" s="12">
        <f>STDEV(Dados!D545:D574)*SQRT(252)</f>
        <v>0.15120725061242604</v>
      </c>
      <c r="C546" s="12">
        <f>STDEV(Dados!E545:E574)*SQRT(252)</f>
        <v>0.13093066517160409</v>
      </c>
    </row>
    <row r="547" spans="1:3" ht="15" customHeight="1" x14ac:dyDescent="0.2">
      <c r="A547" s="11">
        <f>Dados!A575</f>
        <v>45279</v>
      </c>
      <c r="B547" s="12">
        <f>STDEV(Dados!D546:D575)*SQRT(252)</f>
        <v>0.15119702404700266</v>
      </c>
      <c r="C547" s="12">
        <f>STDEV(Dados!E546:E575)*SQRT(252)</f>
        <v>0.13105841450097</v>
      </c>
    </row>
    <row r="548" spans="1:3" ht="15" customHeight="1" x14ac:dyDescent="0.2">
      <c r="A548" s="11">
        <f>Dados!A576</f>
        <v>45280</v>
      </c>
      <c r="B548" s="12">
        <f>STDEV(Dados!D547:D576)*SQRT(252)</f>
        <v>0.15158463430171343</v>
      </c>
      <c r="C548" s="12">
        <f>STDEV(Dados!E547:E576)*SQRT(252)</f>
        <v>0.13478144155929628</v>
      </c>
    </row>
    <row r="549" spans="1:3" ht="15" customHeight="1" x14ac:dyDescent="0.2">
      <c r="A549" s="11">
        <f>Dados!A577</f>
        <v>45281</v>
      </c>
      <c r="B549" s="12">
        <f>STDEV(Dados!D548:D577)*SQRT(252)</f>
        <v>0.15192473196842868</v>
      </c>
      <c r="C549" s="12">
        <f>STDEV(Dados!E548:E577)*SQRT(252)</f>
        <v>0.13593144547703065</v>
      </c>
    </row>
    <row r="550" spans="1:3" ht="15" customHeight="1" x14ac:dyDescent="0.2">
      <c r="A550" s="11">
        <f>Dados!A578</f>
        <v>45282</v>
      </c>
      <c r="B550" s="12">
        <f>STDEV(Dados!D549:D578)*SQRT(252)</f>
        <v>0.14984117241939099</v>
      </c>
      <c r="C550" s="12">
        <f>STDEV(Dados!E549:E578)*SQRT(252)</f>
        <v>0.13522880375415944</v>
      </c>
    </row>
    <row r="551" spans="1:3" ht="15" customHeight="1" x14ac:dyDescent="0.2">
      <c r="A551" s="11">
        <f>Dados!A579</f>
        <v>45286</v>
      </c>
      <c r="B551" s="12">
        <f>STDEV(Dados!D550:D579)*SQRT(252)</f>
        <v>0.14666090153091882</v>
      </c>
      <c r="C551" s="12">
        <f>STDEV(Dados!E550:E579)*SQRT(252)</f>
        <v>0.13260947223805097</v>
      </c>
    </row>
    <row r="552" spans="1:3" ht="15" customHeight="1" x14ac:dyDescent="0.2">
      <c r="A552" s="11">
        <f>Dados!A580</f>
        <v>45287</v>
      </c>
      <c r="B552" s="12">
        <f>STDEV(Dados!D551:D580)*SQRT(252)</f>
        <v>0.14513269507914425</v>
      </c>
      <c r="C552" s="12">
        <f>STDEV(Dados!E551:E580)*SQRT(252)</f>
        <v>0.13191339464897839</v>
      </c>
    </row>
    <row r="553" spans="1:3" ht="15" customHeight="1" x14ac:dyDescent="0.2">
      <c r="A553" s="11">
        <f>Dados!A581</f>
        <v>45288</v>
      </c>
      <c r="B553" s="12">
        <f>STDEV(Dados!D552:D581)*SQRT(252)</f>
        <v>0.13595724954453312</v>
      </c>
      <c r="C553" s="12">
        <f>STDEV(Dados!E552:E581)*SQRT(252)</f>
        <v>0.11927611640528715</v>
      </c>
    </row>
    <row r="554" spans="1:3" ht="15" customHeight="1" x14ac:dyDescent="0.2">
      <c r="A554" s="11">
        <f>Dados!A582</f>
        <v>45293</v>
      </c>
      <c r="B554" s="12">
        <f>STDEV(Dados!D553:D582)*SQRT(252)</f>
        <v>0.13622461284170773</v>
      </c>
      <c r="C554" s="12">
        <f>STDEV(Dados!E553:E582)*SQRT(252)</f>
        <v>0.12275612644499857</v>
      </c>
    </row>
    <row r="555" spans="1:3" ht="15" customHeight="1" x14ac:dyDescent="0.2">
      <c r="A555" s="11">
        <f>Dados!A583</f>
        <v>45294</v>
      </c>
      <c r="B555" s="12">
        <f>STDEV(Dados!D554:D583)*SQRT(252)</f>
        <v>0.13556440544288267</v>
      </c>
      <c r="C555" s="12">
        <f>STDEV(Dados!E554:E583)*SQRT(252)</f>
        <v>0.12275924781451365</v>
      </c>
    </row>
    <row r="556" spans="1:3" ht="15" customHeight="1" x14ac:dyDescent="0.2">
      <c r="A556" s="11">
        <f>Dados!A584</f>
        <v>45295</v>
      </c>
      <c r="B556" s="12">
        <f>STDEV(Dados!D555:D584)*SQRT(252)</f>
        <v>0.14190146050863248</v>
      </c>
      <c r="C556" s="12">
        <f>STDEV(Dados!E555:E584)*SQRT(252)</f>
        <v>0.12740676792457817</v>
      </c>
    </row>
    <row r="557" spans="1:3" ht="15" customHeight="1" x14ac:dyDescent="0.2">
      <c r="A557" s="11">
        <f>Dados!A585</f>
        <v>45296</v>
      </c>
      <c r="B557" s="12">
        <f>STDEV(Dados!D556:D585)*SQRT(252)</f>
        <v>0.14044722370467638</v>
      </c>
      <c r="C557" s="12">
        <f>STDEV(Dados!E556:E585)*SQRT(252)</f>
        <v>0.12752585540438019</v>
      </c>
    </row>
    <row r="558" spans="1:3" ht="15" customHeight="1" x14ac:dyDescent="0.2">
      <c r="A558" s="11">
        <f>Dados!A586</f>
        <v>45299</v>
      </c>
      <c r="B558" s="12">
        <f>STDEV(Dados!D557:D586)*SQRT(252)</f>
        <v>0.14033279922912209</v>
      </c>
      <c r="C558" s="12">
        <f>STDEV(Dados!E557:E586)*SQRT(252)</f>
        <v>0.12750591425809379</v>
      </c>
    </row>
    <row r="559" spans="1:3" ht="15" customHeight="1" x14ac:dyDescent="0.2">
      <c r="A559" s="11">
        <f>Dados!A587</f>
        <v>45300</v>
      </c>
      <c r="B559" s="12">
        <f>STDEV(Dados!D558:D587)*SQRT(252)</f>
        <v>0.14157425520126593</v>
      </c>
      <c r="C559" s="12">
        <f>STDEV(Dados!E558:E587)*SQRT(252)</f>
        <v>0.12989870429938091</v>
      </c>
    </row>
    <row r="560" spans="1:3" ht="15" customHeight="1" x14ac:dyDescent="0.2">
      <c r="A560" s="11">
        <f>Dados!A588</f>
        <v>45301</v>
      </c>
      <c r="B560" s="12">
        <f>STDEV(Dados!D559:D588)*SQRT(252)</f>
        <v>0.13768087061193221</v>
      </c>
      <c r="C560" s="12">
        <f>STDEV(Dados!E559:E588)*SQRT(252)</f>
        <v>0.12790223193141259</v>
      </c>
    </row>
    <row r="561" spans="1:3" ht="15" customHeight="1" x14ac:dyDescent="0.2">
      <c r="A561" s="11">
        <f>Dados!A589</f>
        <v>45302</v>
      </c>
      <c r="B561" s="12">
        <f>STDEV(Dados!D560:D589)*SQRT(252)</f>
        <v>0.13869681417099713</v>
      </c>
      <c r="C561" s="12">
        <f>STDEV(Dados!E560:E589)*SQRT(252)</f>
        <v>0.1281636659110815</v>
      </c>
    </row>
    <row r="562" spans="1:3" ht="15" customHeight="1" x14ac:dyDescent="0.2">
      <c r="A562" s="11">
        <f>Dados!A590</f>
        <v>45303</v>
      </c>
      <c r="B562" s="12">
        <f>STDEV(Dados!D561:D590)*SQRT(252)</f>
        <v>0.13812275501018287</v>
      </c>
      <c r="C562" s="12">
        <f>STDEV(Dados!E561:E590)*SQRT(252)</f>
        <v>0.1273145427745731</v>
      </c>
    </row>
    <row r="563" spans="1:3" ht="15" customHeight="1" x14ac:dyDescent="0.2">
      <c r="A563" s="11">
        <f>Dados!A591</f>
        <v>45306</v>
      </c>
      <c r="B563" s="12">
        <f>STDEV(Dados!D562:D591)*SQRT(252)</f>
        <v>0.13796496452182352</v>
      </c>
      <c r="C563" s="12">
        <f>STDEV(Dados!E562:E591)*SQRT(252)</f>
        <v>0.12697437836877773</v>
      </c>
    </row>
    <row r="564" spans="1:3" ht="15" customHeight="1" x14ac:dyDescent="0.2">
      <c r="A564" s="11">
        <f>Dados!A592</f>
        <v>45307</v>
      </c>
      <c r="B564" s="12">
        <f>STDEV(Dados!D563:D592)*SQRT(252)</f>
        <v>0.14809962366460361</v>
      </c>
      <c r="C564" s="12">
        <f>STDEV(Dados!E563:E592)*SQRT(252)</f>
        <v>0.13548197326381525</v>
      </c>
    </row>
    <row r="565" spans="1:3" ht="15" customHeight="1" x14ac:dyDescent="0.2">
      <c r="A565" s="11">
        <f>Dados!A593</f>
        <v>45308</v>
      </c>
      <c r="B565" s="12">
        <f>STDEV(Dados!D564:D593)*SQRT(252)</f>
        <v>0.14665981997134286</v>
      </c>
      <c r="C565" s="12">
        <f>STDEV(Dados!E564:E593)*SQRT(252)</f>
        <v>0.13543596832475466</v>
      </c>
    </row>
    <row r="566" spans="1:3" ht="15" customHeight="1" x14ac:dyDescent="0.2">
      <c r="A566" s="11">
        <f>Dados!A594</f>
        <v>45309</v>
      </c>
      <c r="B566" s="12">
        <f>STDEV(Dados!D565:D594)*SQRT(252)</f>
        <v>0.14891970373673383</v>
      </c>
      <c r="C566" s="12">
        <f>STDEV(Dados!E565:E594)*SQRT(252)</f>
        <v>0.1345142558019943</v>
      </c>
    </row>
    <row r="567" spans="1:3" ht="15" customHeight="1" x14ac:dyDescent="0.2">
      <c r="A567" s="11">
        <f>Dados!A595</f>
        <v>45310</v>
      </c>
      <c r="B567" s="12">
        <f>STDEV(Dados!D566:D595)*SQRT(252)</f>
        <v>0.14993316249531205</v>
      </c>
      <c r="C567" s="12">
        <f>STDEV(Dados!E566:E595)*SQRT(252)</f>
        <v>0.13467945747258336</v>
      </c>
    </row>
    <row r="568" spans="1:3" ht="15" customHeight="1" x14ac:dyDescent="0.2">
      <c r="A568" s="11">
        <f>Dados!A596</f>
        <v>45313</v>
      </c>
      <c r="B568" s="12">
        <f>STDEV(Dados!D567:D596)*SQRT(252)</f>
        <v>0.15145024392239964</v>
      </c>
      <c r="C568" s="12">
        <f>STDEV(Dados!E567:E596)*SQRT(252)</f>
        <v>0.13346385822621482</v>
      </c>
    </row>
    <row r="569" spans="1:3" ht="15" customHeight="1" x14ac:dyDescent="0.2">
      <c r="A569" s="11">
        <f>Dados!A597</f>
        <v>45314</v>
      </c>
      <c r="B569" s="12">
        <f>STDEV(Dados!D568:D597)*SQRT(252)</f>
        <v>0.15516919208420002</v>
      </c>
      <c r="C569" s="12">
        <f>STDEV(Dados!E568:E597)*SQRT(252)</f>
        <v>0.1383229543237981</v>
      </c>
    </row>
    <row r="570" spans="1:3" ht="15" customHeight="1" x14ac:dyDescent="0.2">
      <c r="A570" s="11">
        <f>Dados!A598</f>
        <v>45315</v>
      </c>
      <c r="B570" s="12">
        <f>STDEV(Dados!D569:D598)*SQRT(252)</f>
        <v>0.15535914937202841</v>
      </c>
      <c r="C570" s="12">
        <f>STDEV(Dados!E569:E598)*SQRT(252)</f>
        <v>0.13668668515063939</v>
      </c>
    </row>
    <row r="571" spans="1:3" ht="15" customHeight="1" x14ac:dyDescent="0.2">
      <c r="A571" s="11">
        <f>Dados!A599</f>
        <v>45316</v>
      </c>
      <c r="B571" s="12">
        <f>STDEV(Dados!D570:D599)*SQRT(252)</f>
        <v>0.15549150936048914</v>
      </c>
      <c r="C571" s="12">
        <f>STDEV(Dados!E570:E599)*SQRT(252)</f>
        <v>0.13679772281704736</v>
      </c>
    </row>
    <row r="572" spans="1:3" ht="15" customHeight="1" x14ac:dyDescent="0.2">
      <c r="A572" s="11">
        <f>Dados!A600</f>
        <v>45317</v>
      </c>
      <c r="B572" s="12">
        <f>STDEV(Dados!D571:D600)*SQRT(252)</f>
        <v>0.15475669428039884</v>
      </c>
      <c r="C572" s="12">
        <f>STDEV(Dados!E571:E600)*SQRT(252)</f>
        <v>0.13717502463347367</v>
      </c>
    </row>
    <row r="573" spans="1:3" ht="15" customHeight="1" x14ac:dyDescent="0.2">
      <c r="A573" s="11">
        <f>Dados!A601</f>
        <v>45320</v>
      </c>
      <c r="B573" s="12">
        <f>STDEV(Dados!D572:D601)*SQRT(252)</f>
        <v>0.12902764955505697</v>
      </c>
      <c r="C573" s="12">
        <f>STDEV(Dados!E572:E601)*SQRT(252)</f>
        <v>0.11854220038504179</v>
      </c>
    </row>
    <row r="574" spans="1:3" ht="15" customHeight="1" x14ac:dyDescent="0.2">
      <c r="A574" s="11">
        <f>Dados!A602</f>
        <v>45321</v>
      </c>
      <c r="B574" s="12">
        <f>STDEV(Dados!D573:D602)*SQRT(252)</f>
        <v>0.12838487397070034</v>
      </c>
      <c r="C574" s="12">
        <f>STDEV(Dados!E573:E602)*SQRT(252)</f>
        <v>0.11633351377396882</v>
      </c>
    </row>
    <row r="575" spans="1:3" ht="15" customHeight="1" x14ac:dyDescent="0.2">
      <c r="A575" s="11">
        <f>Dados!A603</f>
        <v>45322</v>
      </c>
      <c r="B575" s="12">
        <f>STDEV(Dados!D574:D603)*SQRT(252)</f>
        <v>0.12895154867265574</v>
      </c>
      <c r="C575" s="12">
        <f>STDEV(Dados!E574:E603)*SQRT(252)</f>
        <v>0.11613865065774953</v>
      </c>
    </row>
    <row r="576" spans="1:3" ht="15" customHeight="1" x14ac:dyDescent="0.2">
      <c r="A576" s="11">
        <f>Dados!A604</f>
        <v>45323</v>
      </c>
      <c r="B576" s="12">
        <f>STDEV(Dados!D575:D604)*SQRT(252)</f>
        <v>0.1291055117788546</v>
      </c>
      <c r="C576" s="12">
        <f>STDEV(Dados!E575:E604)*SQRT(252)</f>
        <v>0.11557043351286338</v>
      </c>
    </row>
    <row r="577" spans="1:3" ht="15" customHeight="1" x14ac:dyDescent="0.2">
      <c r="A577" s="11">
        <f>Dados!A605</f>
        <v>45324</v>
      </c>
      <c r="B577" s="12">
        <f>STDEV(Dados!D576:D605)*SQRT(252)</f>
        <v>0.12963894532952899</v>
      </c>
      <c r="C577" s="12">
        <f>STDEV(Dados!E576:E605)*SQRT(252)</f>
        <v>0.11703889385077237</v>
      </c>
    </row>
    <row r="578" spans="1:3" ht="15" customHeight="1" x14ac:dyDescent="0.2">
      <c r="A578" s="11">
        <f>Dados!A606</f>
        <v>45327</v>
      </c>
      <c r="B578" s="12">
        <f>STDEV(Dados!D577:D606)*SQRT(252)</f>
        <v>0.12795789621680118</v>
      </c>
      <c r="C578" s="12">
        <f>STDEV(Dados!E577:E606)*SQRT(252)</f>
        <v>0.1159043280327022</v>
      </c>
    </row>
    <row r="579" spans="1:3" ht="15" customHeight="1" x14ac:dyDescent="0.2">
      <c r="A579" s="11">
        <f>Dados!A607</f>
        <v>45328</v>
      </c>
      <c r="B579" s="12">
        <f>STDEV(Dados!D578:D607)*SQRT(252)</f>
        <v>0.14154154099809563</v>
      </c>
      <c r="C579" s="12">
        <f>STDEV(Dados!E578:E607)*SQRT(252)</f>
        <v>0.12948936901868807</v>
      </c>
    </row>
    <row r="580" spans="1:3" ht="15" customHeight="1" x14ac:dyDescent="0.2">
      <c r="A580" s="11">
        <f>Dados!A608</f>
        <v>45329</v>
      </c>
      <c r="B580" s="12">
        <f>STDEV(Dados!D579:D608)*SQRT(252)</f>
        <v>0.14026686580059688</v>
      </c>
      <c r="C580" s="12">
        <f>STDEV(Dados!E579:E608)*SQRT(252)</f>
        <v>0.12898787632580705</v>
      </c>
    </row>
    <row r="581" spans="1:3" ht="15" customHeight="1" x14ac:dyDescent="0.2">
      <c r="A581" s="11">
        <f>Dados!A609</f>
        <v>45330</v>
      </c>
      <c r="B581" s="12">
        <f>STDEV(Dados!D580:D609)*SQRT(252)</f>
        <v>0.14445525143008633</v>
      </c>
      <c r="C581" s="12">
        <f>STDEV(Dados!E580:E609)*SQRT(252)</f>
        <v>0.13251341863706345</v>
      </c>
    </row>
    <row r="582" spans="1:3" ht="15" customHeight="1" x14ac:dyDescent="0.2">
      <c r="A582" s="11">
        <f>Dados!A610</f>
        <v>45331</v>
      </c>
      <c r="B582" s="12">
        <f>STDEV(Dados!D581:D610)*SQRT(252)</f>
        <v>0.14358103658940446</v>
      </c>
      <c r="C582" s="12">
        <f>STDEV(Dados!E581:E610)*SQRT(252)</f>
        <v>0.13116393451945615</v>
      </c>
    </row>
    <row r="583" spans="1:3" ht="15" customHeight="1" x14ac:dyDescent="0.2">
      <c r="A583" s="11">
        <f>Dados!A611</f>
        <v>45336</v>
      </c>
      <c r="B583" s="12">
        <f>STDEV(Dados!D582:D611)*SQRT(252)</f>
        <v>0.14509834441810276</v>
      </c>
      <c r="C583" s="12">
        <f>STDEV(Dados!E582:E611)*SQRT(252)</f>
        <v>0.13234597286039679</v>
      </c>
    </row>
    <row r="584" spans="1:3" ht="15" customHeight="1" x14ac:dyDescent="0.2">
      <c r="A584" s="11">
        <f>Dados!A612</f>
        <v>45337</v>
      </c>
      <c r="B584" s="12">
        <f>STDEV(Dados!D583:D612)*SQRT(252)</f>
        <v>0.14068785986405169</v>
      </c>
      <c r="C584" s="12">
        <f>STDEV(Dados!E583:E612)*SQRT(252)</f>
        <v>0.13126114699157651</v>
      </c>
    </row>
    <row r="585" spans="1:3" ht="15" customHeight="1" x14ac:dyDescent="0.2">
      <c r="A585" s="11">
        <f>Dados!A613</f>
        <v>45338</v>
      </c>
      <c r="B585" s="12">
        <f>STDEV(Dados!D584:D613)*SQRT(252)</f>
        <v>0.14084391497360541</v>
      </c>
      <c r="C585" s="12">
        <f>STDEV(Dados!E584:E613)*SQRT(252)</f>
        <v>0.13338761849646125</v>
      </c>
    </row>
    <row r="586" spans="1:3" ht="15" customHeight="1" x14ac:dyDescent="0.2">
      <c r="A586" s="11">
        <f>Dados!A614</f>
        <v>45341</v>
      </c>
      <c r="B586" s="12">
        <f>STDEV(Dados!D585:D614)*SQRT(252)</f>
        <v>0.13600735812795178</v>
      </c>
      <c r="C586" s="12">
        <f>STDEV(Dados!E585:E614)*SQRT(252)</f>
        <v>0.12945027621348826</v>
      </c>
    </row>
    <row r="587" spans="1:3" ht="15" customHeight="1" x14ac:dyDescent="0.2">
      <c r="A587" s="11">
        <f>Dados!A615</f>
        <v>45342</v>
      </c>
      <c r="B587" s="12">
        <f>STDEV(Dados!D586:D615)*SQRT(252)</f>
        <v>0.13872732720430331</v>
      </c>
      <c r="C587" s="12">
        <f>STDEV(Dados!E586:E615)*SQRT(252)</f>
        <v>0.12979698217013752</v>
      </c>
    </row>
    <row r="588" spans="1:3" ht="15" customHeight="1" x14ac:dyDescent="0.2">
      <c r="A588" s="11">
        <f>Dados!A616</f>
        <v>45343</v>
      </c>
      <c r="B588" s="12">
        <f>STDEV(Dados!D587:D616)*SQRT(252)</f>
        <v>0.13694679487862513</v>
      </c>
      <c r="C588" s="12">
        <f>STDEV(Dados!E587:E616)*SQRT(252)</f>
        <v>0.12942775110642832</v>
      </c>
    </row>
    <row r="589" spans="1:3" ht="15" customHeight="1" x14ac:dyDescent="0.2">
      <c r="A589" s="11">
        <f>Dados!A617</f>
        <v>45344</v>
      </c>
      <c r="B589" s="12">
        <f>STDEV(Dados!D588:D617)*SQRT(252)</f>
        <v>0.13603508223474642</v>
      </c>
      <c r="C589" s="12">
        <f>STDEV(Dados!E588:E617)*SQRT(252)</f>
        <v>0.12793123546976173</v>
      </c>
    </row>
    <row r="590" spans="1:3" ht="15" customHeight="1" x14ac:dyDescent="0.2">
      <c r="A590" s="11">
        <f>Dados!A618</f>
        <v>45345</v>
      </c>
      <c r="B590" s="12">
        <f>STDEV(Dados!D589:D618)*SQRT(252)</f>
        <v>0.13765275655178466</v>
      </c>
      <c r="C590" s="12">
        <f>STDEV(Dados!E589:E618)*SQRT(252)</f>
        <v>0.12852708004605806</v>
      </c>
    </row>
    <row r="591" spans="1:3" ht="15" customHeight="1" x14ac:dyDescent="0.2">
      <c r="A591" s="11">
        <f>Dados!A619</f>
        <v>45348</v>
      </c>
      <c r="B591" s="12">
        <f>STDEV(Dados!D590:D619)*SQRT(252)</f>
        <v>0.13766863690493239</v>
      </c>
      <c r="C591" s="12">
        <f>STDEV(Dados!E590:E619)*SQRT(252)</f>
        <v>0.12858950091913848</v>
      </c>
    </row>
    <row r="592" spans="1:3" ht="15" customHeight="1" x14ac:dyDescent="0.2">
      <c r="A592" s="11">
        <f>Dados!A620</f>
        <v>45349</v>
      </c>
      <c r="B592" s="12">
        <f>STDEV(Dados!D591:D620)*SQRT(252)</f>
        <v>0.14601609568340296</v>
      </c>
      <c r="C592" s="12">
        <f>STDEV(Dados!E591:E620)*SQRT(252)</f>
        <v>0.136710479398399</v>
      </c>
    </row>
    <row r="593" spans="1:3" ht="15" customHeight="1" x14ac:dyDescent="0.2">
      <c r="A593" s="11">
        <f>Dados!A621</f>
        <v>45350</v>
      </c>
      <c r="B593" s="12">
        <f>STDEV(Dados!D592:D621)*SQRT(252)</f>
        <v>0.14734730110408706</v>
      </c>
      <c r="C593" s="12">
        <f>STDEV(Dados!E592:E621)*SQRT(252)</f>
        <v>0.14041414372303576</v>
      </c>
    </row>
    <row r="594" spans="1:3" ht="15" customHeight="1" x14ac:dyDescent="0.2">
      <c r="A594" s="11">
        <f>Dados!A622</f>
        <v>45351</v>
      </c>
      <c r="B594" s="12">
        <f>STDEV(Dados!D593:D622)*SQRT(252)</f>
        <v>0.13966184256199471</v>
      </c>
      <c r="C594" s="12">
        <f>STDEV(Dados!E593:E622)*SQRT(252)</f>
        <v>0.13371128964183768</v>
      </c>
    </row>
    <row r="595" spans="1:3" ht="15" customHeight="1" x14ac:dyDescent="0.2">
      <c r="A595" s="11">
        <f>Dados!A623</f>
        <v>45352</v>
      </c>
      <c r="B595" s="12">
        <f>STDEV(Dados!D594:D623)*SQRT(252)</f>
        <v>0.13953838284761519</v>
      </c>
      <c r="C595" s="12">
        <f>STDEV(Dados!E594:E623)*SQRT(252)</f>
        <v>0.13257379215124537</v>
      </c>
    </row>
    <row r="596" spans="1:3" ht="15" customHeight="1" x14ac:dyDescent="0.2">
      <c r="A596" s="11">
        <f>Dados!A624</f>
        <v>45355</v>
      </c>
      <c r="B596" s="12">
        <f>STDEV(Dados!D595:D624)*SQRT(252)</f>
        <v>0.13751526037128697</v>
      </c>
      <c r="C596" s="12">
        <f>STDEV(Dados!E595:E624)*SQRT(252)</f>
        <v>0.13099123957160844</v>
      </c>
    </row>
    <row r="597" spans="1:3" ht="15" customHeight="1" x14ac:dyDescent="0.2">
      <c r="A597" s="11">
        <f>Dados!A625</f>
        <v>45356</v>
      </c>
      <c r="B597" s="12">
        <f>STDEV(Dados!D596:D625)*SQRT(252)</f>
        <v>0.13618495820833915</v>
      </c>
      <c r="C597" s="12">
        <f>STDEV(Dados!E596:E625)*SQRT(252)</f>
        <v>0.13095801179467528</v>
      </c>
    </row>
    <row r="598" spans="1:3" ht="15" customHeight="1" x14ac:dyDescent="0.2">
      <c r="A598" s="11">
        <f>Dados!A626</f>
        <v>45357</v>
      </c>
      <c r="B598" s="12">
        <f>STDEV(Dados!D597:D626)*SQRT(252)</f>
        <v>0.13267378940382937</v>
      </c>
      <c r="C598" s="12">
        <f>STDEV(Dados!E597:E626)*SQRT(252)</f>
        <v>0.12967670077434171</v>
      </c>
    </row>
    <row r="599" spans="1:3" ht="15" customHeight="1" x14ac:dyDescent="0.2">
      <c r="A599" s="11">
        <f>Dados!A627</f>
        <v>45358</v>
      </c>
      <c r="B599" s="12">
        <f>STDEV(Dados!D598:D627)*SQRT(252)</f>
        <v>0.12860517404614008</v>
      </c>
      <c r="C599" s="12">
        <f>STDEV(Dados!E598:E627)*SQRT(252)</f>
        <v>0.12486556110401761</v>
      </c>
    </row>
    <row r="600" spans="1:3" ht="15" customHeight="1" x14ac:dyDescent="0.2">
      <c r="A600" s="11">
        <f>Dados!A628</f>
        <v>45359</v>
      </c>
      <c r="B600" s="12">
        <f>STDEV(Dados!D599:D628)*SQRT(252)</f>
        <v>0.12723805311987263</v>
      </c>
      <c r="C600" s="12">
        <f>STDEV(Dados!E599:E628)*SQRT(252)</f>
        <v>0.12780359221266127</v>
      </c>
    </row>
    <row r="601" spans="1:3" ht="15" customHeight="1" x14ac:dyDescent="0.2">
      <c r="A601" s="11">
        <f>Dados!A629</f>
        <v>45362</v>
      </c>
      <c r="B601" s="12">
        <f>STDEV(Dados!D600:D629)*SQRT(252)</f>
        <v>0.12737399137194486</v>
      </c>
      <c r="C601" s="12">
        <f>STDEV(Dados!E600:E629)*SQRT(252)</f>
        <v>0.12918541596826474</v>
      </c>
    </row>
    <row r="602" spans="1:3" ht="15" customHeight="1" x14ac:dyDescent="0.2">
      <c r="A602" s="11">
        <f>Dados!A630</f>
        <v>45363</v>
      </c>
      <c r="B602" s="12">
        <f>STDEV(Dados!D601:D630)*SQRT(252)</f>
        <v>0.13231175243807661</v>
      </c>
      <c r="C602" s="12">
        <f>STDEV(Dados!E601:E630)*SQRT(252)</f>
        <v>0.13298818766464882</v>
      </c>
    </row>
    <row r="603" spans="1:3" ht="15" customHeight="1" x14ac:dyDescent="0.2">
      <c r="A603" s="11">
        <f>Dados!A631</f>
        <v>45364</v>
      </c>
      <c r="B603" s="12">
        <f>STDEV(Dados!D602:D631)*SQRT(252)</f>
        <v>0.13143593606750853</v>
      </c>
      <c r="C603" s="12">
        <f>STDEV(Dados!E602:E631)*SQRT(252)</f>
        <v>0.13288736784334185</v>
      </c>
    </row>
    <row r="604" spans="1:3" ht="15" customHeight="1" x14ac:dyDescent="0.2">
      <c r="A604" s="11">
        <f>Dados!A632</f>
        <v>45365</v>
      </c>
      <c r="B604" s="12">
        <f>STDEV(Dados!D603:D632)*SQRT(252)</f>
        <v>0.12782125140615699</v>
      </c>
      <c r="C604" s="12">
        <f>STDEV(Dados!E603:E632)*SQRT(252)</f>
        <v>0.13065835835483428</v>
      </c>
    </row>
    <row r="605" spans="1:3" ht="15" customHeight="1" x14ac:dyDescent="0.2">
      <c r="A605" s="11">
        <f>Dados!A633</f>
        <v>45366</v>
      </c>
      <c r="B605" s="12">
        <f>STDEV(Dados!D604:D633)*SQRT(252)</f>
        <v>0.13100303869552454</v>
      </c>
      <c r="C605" s="12">
        <f>STDEV(Dados!E604:E633)*SQRT(252)</f>
        <v>0.13218161495921607</v>
      </c>
    </row>
    <row r="606" spans="1:3" ht="15" customHeight="1" x14ac:dyDescent="0.2">
      <c r="A606" s="11">
        <f>Dados!A634</f>
        <v>45369</v>
      </c>
      <c r="B606" s="12">
        <f>STDEV(Dados!D605:D634)*SQRT(252)</f>
        <v>0.13003031493864711</v>
      </c>
      <c r="C606" s="12">
        <f>STDEV(Dados!E605:E634)*SQRT(252)</f>
        <v>0.13111728254659119</v>
      </c>
    </row>
    <row r="607" spans="1:3" ht="15" customHeight="1" x14ac:dyDescent="0.2">
      <c r="A607" s="11">
        <f>Dados!A635</f>
        <v>45370</v>
      </c>
      <c r="B607" s="12">
        <f>STDEV(Dados!D606:D635)*SQRT(252)</f>
        <v>0.127627886081317</v>
      </c>
      <c r="C607" s="12">
        <f>STDEV(Dados!E606:E635)*SQRT(252)</f>
        <v>0.12849560206520502</v>
      </c>
    </row>
    <row r="608" spans="1:3" ht="15" customHeight="1" x14ac:dyDescent="0.2">
      <c r="A608" s="11">
        <f>Dados!A636</f>
        <v>45371</v>
      </c>
      <c r="B608" s="12">
        <f>STDEV(Dados!D607:D636)*SQRT(252)</f>
        <v>0.13322074608349263</v>
      </c>
      <c r="C608" s="12">
        <f>STDEV(Dados!E607:E636)*SQRT(252)</f>
        <v>0.13313785716650731</v>
      </c>
    </row>
    <row r="609" spans="1:3" ht="15" customHeight="1" x14ac:dyDescent="0.2">
      <c r="A609" s="11">
        <f>Dados!A637</f>
        <v>45372</v>
      </c>
      <c r="B609" s="12">
        <f>STDEV(Dados!D608:D637)*SQRT(252)</f>
        <v>0.12076217005041863</v>
      </c>
      <c r="C609" s="12">
        <f>STDEV(Dados!E608:E637)*SQRT(252)</f>
        <v>0.11835192789910495</v>
      </c>
    </row>
    <row r="610" spans="1:3" ht="15" customHeight="1" x14ac:dyDescent="0.2">
      <c r="A610" s="11">
        <f>Dados!A638</f>
        <v>45373</v>
      </c>
      <c r="B610" s="12">
        <f>STDEV(Dados!D609:D638)*SQRT(252)</f>
        <v>0.12480544692808185</v>
      </c>
      <c r="C610" s="12">
        <f>STDEV(Dados!E609:E638)*SQRT(252)</f>
        <v>0.12049142446924486</v>
      </c>
    </row>
    <row r="611" spans="1:3" ht="15" customHeight="1" x14ac:dyDescent="0.2">
      <c r="A611" s="11">
        <f>Dados!A639</f>
        <v>45376</v>
      </c>
      <c r="B611" s="12">
        <f>STDEV(Dados!D610:D639)*SQRT(252)</f>
        <v>0.11788143360467208</v>
      </c>
      <c r="C611" s="12">
        <f>STDEV(Dados!E610:E639)*SQRT(252)</f>
        <v>0.11435622293355271</v>
      </c>
    </row>
    <row r="612" spans="1:3" ht="15" customHeight="1" x14ac:dyDescent="0.2">
      <c r="A612" s="11">
        <f>Dados!A640</f>
        <v>45377</v>
      </c>
      <c r="B612" s="12">
        <f>STDEV(Dados!D611:D640)*SQRT(252)</f>
        <v>0.11781036581417358</v>
      </c>
      <c r="C612" s="12">
        <f>STDEV(Dados!E611:E640)*SQRT(252)</f>
        <v>0.11430591129234102</v>
      </c>
    </row>
    <row r="613" spans="1:3" ht="15" customHeight="1" x14ac:dyDescent="0.2">
      <c r="A613" s="11">
        <f>Dados!A641</f>
        <v>45378</v>
      </c>
      <c r="B613" s="12">
        <f>STDEV(Dados!D612:D641)*SQRT(252)</f>
        <v>0.11580098563445396</v>
      </c>
      <c r="C613" s="12">
        <f>STDEV(Dados!E612:E641)*SQRT(252)</f>
        <v>0.11360760587423181</v>
      </c>
    </row>
    <row r="614" spans="1:3" ht="15" customHeight="1" x14ac:dyDescent="0.2">
      <c r="A614" s="11">
        <f>Dados!A642</f>
        <v>45379</v>
      </c>
      <c r="B614" s="12">
        <f>STDEV(Dados!D613:D642)*SQRT(252)</f>
        <v>0.11555967293345486</v>
      </c>
      <c r="C614" s="12">
        <f>STDEV(Dados!E613:E642)*SQRT(252)</f>
        <v>0.11257864155871991</v>
      </c>
    </row>
    <row r="615" spans="1:3" ht="15" customHeight="1" x14ac:dyDescent="0.2">
      <c r="A615" s="11">
        <f>Dados!A643</f>
        <v>45383</v>
      </c>
      <c r="B615" s="12">
        <f>STDEV(Dados!D614:D643)*SQRT(252)</f>
        <v>0.12239378734661915</v>
      </c>
      <c r="C615" s="12">
        <f>STDEV(Dados!E614:E643)*SQRT(252)</f>
        <v>0.11330673136716077</v>
      </c>
    </row>
    <row r="616" spans="1:3" ht="15" customHeight="1" x14ac:dyDescent="0.2">
      <c r="A616" s="11">
        <f>Dados!A644</f>
        <v>45384</v>
      </c>
      <c r="B616" s="12">
        <f>STDEV(Dados!D615:D644)*SQRT(252)</f>
        <v>0.12223487302179864</v>
      </c>
      <c r="C616" s="12">
        <f>STDEV(Dados!E615:E644)*SQRT(252)</f>
        <v>0.1138870777551055</v>
      </c>
    </row>
    <row r="617" spans="1:3" ht="15" customHeight="1" x14ac:dyDescent="0.2">
      <c r="A617" s="11">
        <f>Dados!A645</f>
        <v>45385</v>
      </c>
      <c r="B617" s="12">
        <f>STDEV(Dados!D616:D645)*SQRT(252)</f>
        <v>0.11529334764310432</v>
      </c>
      <c r="C617" s="12">
        <f>STDEV(Dados!E616:E645)*SQRT(252)</f>
        <v>0.11188443625618487</v>
      </c>
    </row>
    <row r="618" spans="1:3" ht="15" customHeight="1" x14ac:dyDescent="0.2">
      <c r="A618" s="11">
        <f>Dados!A646</f>
        <v>45386</v>
      </c>
      <c r="B618" s="12">
        <f>STDEV(Dados!D617:D646)*SQRT(252)</f>
        <v>0.11578805831041639</v>
      </c>
      <c r="C618" s="12">
        <f>STDEV(Dados!E617:E646)*SQRT(252)</f>
        <v>0.11188095525232303</v>
      </c>
    </row>
    <row r="619" spans="1:3" ht="15" customHeight="1" x14ac:dyDescent="0.2">
      <c r="A619" s="11">
        <f>Dados!A647</f>
        <v>45387</v>
      </c>
      <c r="B619" s="12">
        <f>STDEV(Dados!D618:D647)*SQRT(252)</f>
        <v>0.11670090407794671</v>
      </c>
      <c r="C619" s="12">
        <f>STDEV(Dados!E618:E647)*SQRT(252)</f>
        <v>0.11234184287620501</v>
      </c>
    </row>
    <row r="620" spans="1:3" ht="15" customHeight="1" x14ac:dyDescent="0.2">
      <c r="A620" s="11">
        <f>Dados!A648</f>
        <v>45390</v>
      </c>
      <c r="B620" s="12">
        <f>STDEV(Dados!D619:D648)*SQRT(252)</f>
        <v>0.1205357253527838</v>
      </c>
      <c r="C620" s="12">
        <f>STDEV(Dados!E619:E648)*SQRT(252)</f>
        <v>0.1213937920821808</v>
      </c>
    </row>
    <row r="621" spans="1:3" ht="15" customHeight="1" x14ac:dyDescent="0.2">
      <c r="A621" s="11">
        <f>Dados!A649</f>
        <v>45391</v>
      </c>
      <c r="B621" s="12">
        <f>STDEV(Dados!D620:D649)*SQRT(252)</f>
        <v>0.12375508596277286</v>
      </c>
      <c r="C621" s="12">
        <f>STDEV(Dados!E620:E649)*SQRT(252)</f>
        <v>0.12359566330913589</v>
      </c>
    </row>
    <row r="622" spans="1:3" ht="15" customHeight="1" x14ac:dyDescent="0.2">
      <c r="A622" s="11">
        <f>Dados!A650</f>
        <v>45392</v>
      </c>
      <c r="B622" s="12">
        <f>STDEV(Dados!D621:D650)*SQRT(252)</f>
        <v>0.124817458886266</v>
      </c>
      <c r="C622" s="12">
        <f>STDEV(Dados!E621:E650)*SQRT(252)</f>
        <v>0.12086667729802843</v>
      </c>
    </row>
    <row r="623" spans="1:3" ht="15" customHeight="1" x14ac:dyDescent="0.2">
      <c r="A623" s="11">
        <f>Dados!A651</f>
        <v>45393</v>
      </c>
      <c r="B623" s="12">
        <f>STDEV(Dados!D622:D651)*SQRT(252)</f>
        <v>0.12430240232699891</v>
      </c>
      <c r="C623" s="12">
        <f>STDEV(Dados!E622:E651)*SQRT(252)</f>
        <v>0.11721927925219697</v>
      </c>
    </row>
    <row r="624" spans="1:3" ht="15" customHeight="1" x14ac:dyDescent="0.2">
      <c r="A624" s="11">
        <f>Dados!A652</f>
        <v>45394</v>
      </c>
      <c r="B624" s="12">
        <f>STDEV(Dados!D623:D652)*SQRT(252)</f>
        <v>0.12859077916142442</v>
      </c>
      <c r="C624" s="12">
        <f>STDEV(Dados!E623:E652)*SQRT(252)</f>
        <v>0.11906696493393673</v>
      </c>
    </row>
    <row r="625" spans="1:3" ht="15" customHeight="1" x14ac:dyDescent="0.2">
      <c r="A625" s="11">
        <f>Dados!A653</f>
        <v>45397</v>
      </c>
      <c r="B625" s="12">
        <f>STDEV(Dados!D624:D653)*SQRT(252)</f>
        <v>0.12940930315138585</v>
      </c>
      <c r="C625" s="12">
        <f>STDEV(Dados!E624:E653)*SQRT(252)</f>
        <v>0.11947218150961748</v>
      </c>
    </row>
    <row r="626" spans="1:3" ht="15" customHeight="1" x14ac:dyDescent="0.2">
      <c r="A626" s="11">
        <f>Dados!A654</f>
        <v>45398</v>
      </c>
      <c r="B626" s="12">
        <f>STDEV(Dados!D625:D654)*SQRT(252)</f>
        <v>0.12978644010496615</v>
      </c>
      <c r="C626" s="12">
        <f>STDEV(Dados!E625:E654)*SQRT(252)</f>
        <v>0.11993189310389125</v>
      </c>
    </row>
    <row r="627" spans="1:3" ht="15" customHeight="1" x14ac:dyDescent="0.2">
      <c r="A627" s="11">
        <f>Dados!A655</f>
        <v>45399</v>
      </c>
      <c r="B627" s="12">
        <f>STDEV(Dados!D626:D655)*SQRT(252)</f>
        <v>0.13008143228607238</v>
      </c>
      <c r="C627" s="12">
        <f>STDEV(Dados!E626:E655)*SQRT(252)</f>
        <v>0.11992387421319384</v>
      </c>
    </row>
    <row r="628" spans="1:3" ht="15" customHeight="1" x14ac:dyDescent="0.2">
      <c r="A628" s="11">
        <f>Dados!A656</f>
        <v>45400</v>
      </c>
      <c r="B628" s="12">
        <f>STDEV(Dados!D627:D656)*SQRT(252)</f>
        <v>0.12935550813880939</v>
      </c>
      <c r="C628" s="12">
        <f>STDEV(Dados!E627:E656)*SQRT(252)</f>
        <v>0.11804283244061491</v>
      </c>
    </row>
    <row r="629" spans="1:3" ht="15" customHeight="1" x14ac:dyDescent="0.2">
      <c r="A629" s="11">
        <f>Dados!A657</f>
        <v>45401</v>
      </c>
      <c r="B629" s="12">
        <f>STDEV(Dados!D628:D657)*SQRT(252)</f>
        <v>0.13042602330285838</v>
      </c>
      <c r="C629" s="12">
        <f>STDEV(Dados!E628:E657)*SQRT(252)</f>
        <v>0.12028658413594037</v>
      </c>
    </row>
    <row r="630" spans="1:3" ht="15" customHeight="1" x14ac:dyDescent="0.2">
      <c r="A630" s="11">
        <f>Dados!A658</f>
        <v>45404</v>
      </c>
      <c r="B630" s="12">
        <f>STDEV(Dados!D629:D658)*SQRT(252)</f>
        <v>0.13089055241316139</v>
      </c>
      <c r="C630" s="12">
        <f>STDEV(Dados!E629:E658)*SQRT(252)</f>
        <v>0.11776297525681677</v>
      </c>
    </row>
    <row r="631" spans="1:3" ht="15" customHeight="1" x14ac:dyDescent="0.2">
      <c r="A631" s="11">
        <f>Dados!A659</f>
        <v>45405</v>
      </c>
      <c r="B631" s="12">
        <f>STDEV(Dados!D630:D659)*SQRT(252)</f>
        <v>0.13102730896682196</v>
      </c>
      <c r="C631" s="12">
        <f>STDEV(Dados!E630:E659)*SQRT(252)</f>
        <v>0.11621101981991223</v>
      </c>
    </row>
    <row r="632" spans="1:3" ht="15" customHeight="1" x14ac:dyDescent="0.2">
      <c r="A632" s="11">
        <f>Dados!A660</f>
        <v>45406</v>
      </c>
      <c r="B632" s="12">
        <f>STDEV(Dados!D631:D660)*SQRT(252)</f>
        <v>0.12456251974233595</v>
      </c>
      <c r="C632" s="12">
        <f>STDEV(Dados!E631:E660)*SQRT(252)</f>
        <v>0.11032843494580005</v>
      </c>
    </row>
    <row r="633" spans="1:3" ht="15" customHeight="1" x14ac:dyDescent="0.2">
      <c r="A633" s="11">
        <f>Dados!A661</f>
        <v>45407</v>
      </c>
      <c r="B633" s="12">
        <f>STDEV(Dados!D632:D661)*SQRT(252)</f>
        <v>0.12360567388144041</v>
      </c>
      <c r="C633" s="12">
        <f>STDEV(Dados!E632:E661)*SQRT(252)</f>
        <v>0.10985234901797387</v>
      </c>
    </row>
    <row r="634" spans="1:3" ht="15" customHeight="1" x14ac:dyDescent="0.2">
      <c r="A634" s="11">
        <f>Dados!A662</f>
        <v>45408</v>
      </c>
      <c r="B634" s="12">
        <f>STDEV(Dados!D633:D662)*SQRT(252)</f>
        <v>0.1359400939746796</v>
      </c>
      <c r="C634" s="12">
        <f>STDEV(Dados!E633:E662)*SQRT(252)</f>
        <v>0.11892218301387267</v>
      </c>
    </row>
    <row r="635" spans="1:3" ht="15" customHeight="1" x14ac:dyDescent="0.2">
      <c r="A635" s="11">
        <f>Dados!A663</f>
        <v>45411</v>
      </c>
      <c r="B635" s="12">
        <f>STDEV(Dados!D634:D663)*SQRT(252)</f>
        <v>0.13439748392576667</v>
      </c>
      <c r="C635" s="12">
        <f>STDEV(Dados!E634:E663)*SQRT(252)</f>
        <v>0.11851367367466153</v>
      </c>
    </row>
    <row r="636" spans="1:3" ht="15" customHeight="1" x14ac:dyDescent="0.2">
      <c r="A636" s="11">
        <f>Dados!A664</f>
        <v>45412</v>
      </c>
      <c r="B636" s="12">
        <f>STDEV(Dados!D635:D664)*SQRT(252)</f>
        <v>0.13829357265980399</v>
      </c>
      <c r="C636" s="12">
        <f>STDEV(Dados!E635:E664)*SQRT(252)</f>
        <v>0.12293745470764458</v>
      </c>
    </row>
    <row r="637" spans="1:3" ht="15" customHeight="1" x14ac:dyDescent="0.2">
      <c r="A637" s="11">
        <f>Dados!A665</f>
        <v>45414</v>
      </c>
      <c r="B637" s="12">
        <f>STDEV(Dados!D636:D665)*SQRT(252)</f>
        <v>0.14243041962483483</v>
      </c>
      <c r="C637" s="12">
        <f>STDEV(Dados!E636:E665)*SQRT(252)</f>
        <v>0.12542531868107243</v>
      </c>
    </row>
    <row r="638" spans="1:3" ht="15" customHeight="1" x14ac:dyDescent="0.2">
      <c r="A638" s="11">
        <f>Dados!A666</f>
        <v>45415</v>
      </c>
      <c r="B638" s="12">
        <f>STDEV(Dados!D637:D666)*SQRT(252)</f>
        <v>0.14494553267358551</v>
      </c>
      <c r="C638" s="12">
        <f>STDEV(Dados!E637:E666)*SQRT(252)</f>
        <v>0.1241249196178373</v>
      </c>
    </row>
    <row r="639" spans="1:3" ht="15" customHeight="1" x14ac:dyDescent="0.2">
      <c r="A639" s="11">
        <f>Dados!A667</f>
        <v>45418</v>
      </c>
      <c r="B639" s="12">
        <f>STDEV(Dados!D638:D667)*SQRT(252)</f>
        <v>0.1440310781015374</v>
      </c>
      <c r="C639" s="12">
        <f>STDEV(Dados!E638:E667)*SQRT(252)</f>
        <v>0.12215946666417145</v>
      </c>
    </row>
    <row r="640" spans="1:3" ht="15" customHeight="1" x14ac:dyDescent="0.2">
      <c r="A640" s="11">
        <f>Dados!A668</f>
        <v>45419</v>
      </c>
      <c r="B640" s="12">
        <f>STDEV(Dados!D639:D668)*SQRT(252)</f>
        <v>0.14192331154732729</v>
      </c>
      <c r="C640" s="12">
        <f>STDEV(Dados!E639:E668)*SQRT(252)</f>
        <v>0.12019270099963666</v>
      </c>
    </row>
    <row r="641" spans="1:3" ht="15" customHeight="1" x14ac:dyDescent="0.2">
      <c r="A641" s="11">
        <f>Dados!A669</f>
        <v>45420</v>
      </c>
      <c r="B641" s="12">
        <f>STDEV(Dados!D640:D669)*SQRT(252)</f>
        <v>0.142217332853708</v>
      </c>
      <c r="C641" s="12">
        <f>STDEV(Dados!E640:E669)*SQRT(252)</f>
        <v>0.12020384609714795</v>
      </c>
    </row>
    <row r="642" spans="1:3" ht="15" customHeight="1" x14ac:dyDescent="0.2">
      <c r="A642" s="11">
        <f>Dados!A670</f>
        <v>45421</v>
      </c>
      <c r="B642" s="12">
        <f>STDEV(Dados!D641:D670)*SQRT(252)</f>
        <v>0.15017529601167792</v>
      </c>
      <c r="C642" s="12">
        <f>STDEV(Dados!E641:E670)*SQRT(252)</f>
        <v>0.12411715230178985</v>
      </c>
    </row>
    <row r="643" spans="1:3" ht="15" customHeight="1" x14ac:dyDescent="0.2">
      <c r="A643" s="11">
        <f>Dados!A671</f>
        <v>45422</v>
      </c>
      <c r="B643" s="12">
        <f>STDEV(Dados!D642:D671)*SQRT(252)</f>
        <v>0.14990393816951791</v>
      </c>
      <c r="C643" s="12">
        <f>STDEV(Dados!E642:E671)*SQRT(252)</f>
        <v>0.12349942143009983</v>
      </c>
    </row>
    <row r="644" spans="1:3" ht="15" customHeight="1" x14ac:dyDescent="0.2">
      <c r="A644" s="11">
        <f>Dados!A672</f>
        <v>45425</v>
      </c>
      <c r="B644" s="12">
        <f>STDEV(Dados!D643:D672)*SQRT(252)</f>
        <v>0.1506020650231647</v>
      </c>
      <c r="C644" s="12">
        <f>STDEV(Dados!E643:E672)*SQRT(252)</f>
        <v>0.12379178188419522</v>
      </c>
    </row>
    <row r="645" spans="1:3" ht="15" customHeight="1" x14ac:dyDescent="0.2">
      <c r="A645" s="11">
        <f>Dados!A673</f>
        <v>45426</v>
      </c>
      <c r="B645" s="12">
        <f>STDEV(Dados!D644:D673)*SQRT(252)</f>
        <v>0.14740766499942615</v>
      </c>
      <c r="C645" s="12">
        <f>STDEV(Dados!E644:E673)*SQRT(252)</f>
        <v>0.12118701986224936</v>
      </c>
    </row>
    <row r="646" spans="1:3" ht="15" customHeight="1" x14ac:dyDescent="0.2">
      <c r="A646" s="11">
        <f>Dados!A674</f>
        <v>45427</v>
      </c>
      <c r="B646" s="12">
        <f>STDEV(Dados!D645:D674)*SQRT(252)</f>
        <v>0.1477255630192881</v>
      </c>
      <c r="C646" s="12">
        <f>STDEV(Dados!E645:E674)*SQRT(252)</f>
        <v>0.12116565441285938</v>
      </c>
    </row>
    <row r="647" spans="1:3" ht="15" customHeight="1" x14ac:dyDescent="0.2">
      <c r="A647" s="11">
        <f>Dados!A675</f>
        <v>45428</v>
      </c>
      <c r="B647" s="12">
        <f>STDEV(Dados!D646:D675)*SQRT(252)</f>
        <v>0.14804871102747844</v>
      </c>
      <c r="C647" s="12">
        <f>STDEV(Dados!E646:E675)*SQRT(252)</f>
        <v>0.12113941210037861</v>
      </c>
    </row>
    <row r="648" spans="1:3" ht="15" customHeight="1" x14ac:dyDescent="0.2">
      <c r="A648" s="11">
        <f>Dados!A676</f>
        <v>45429</v>
      </c>
      <c r="B648" s="12">
        <f>STDEV(Dados!D647:D676)*SQRT(252)</f>
        <v>0.14793572044416359</v>
      </c>
      <c r="C648" s="12">
        <f>STDEV(Dados!E647:E676)*SQRT(252)</f>
        <v>0.12118128297113048</v>
      </c>
    </row>
    <row r="649" spans="1:3" ht="15" customHeight="1" x14ac:dyDescent="0.2">
      <c r="A649" s="11">
        <f>Dados!A677</f>
        <v>45432</v>
      </c>
      <c r="B649" s="12">
        <f>STDEV(Dados!D648:D677)*SQRT(252)</f>
        <v>0.14732148369319414</v>
      </c>
      <c r="C649" s="12">
        <f>STDEV(Dados!E648:E677)*SQRT(252)</f>
        <v>0.12061202273770141</v>
      </c>
    </row>
    <row r="650" spans="1:3" ht="15" customHeight="1" x14ac:dyDescent="0.2">
      <c r="A650" s="11">
        <f>Dados!A678</f>
        <v>45433</v>
      </c>
      <c r="B650" s="12">
        <f>STDEV(Dados!D649:D678)*SQRT(252)</f>
        <v>0.14213986603224477</v>
      </c>
      <c r="C650" s="12">
        <f>STDEV(Dados!E649:E678)*SQRT(252)</f>
        <v>0.1110261491895965</v>
      </c>
    </row>
    <row r="651" spans="1:3" ht="15" customHeight="1" x14ac:dyDescent="0.2">
      <c r="A651" s="11">
        <f>Dados!A679</f>
        <v>45434</v>
      </c>
      <c r="B651" s="12">
        <f>STDEV(Dados!D650:D679)*SQRT(252)</f>
        <v>0.14531548723122412</v>
      </c>
      <c r="C651" s="12">
        <f>STDEV(Dados!E650:E679)*SQRT(252)</f>
        <v>0.114785608723602</v>
      </c>
    </row>
    <row r="652" spans="1:3" ht="15" customHeight="1" x14ac:dyDescent="0.2">
      <c r="A652" s="11">
        <f>Dados!A680</f>
        <v>45435</v>
      </c>
      <c r="B652" s="12">
        <f>STDEV(Dados!D651:D680)*SQRT(252)</f>
        <v>0.13720986292416021</v>
      </c>
      <c r="C652" s="12">
        <f>STDEV(Dados!E651:E680)*SQRT(252)</f>
        <v>0.10956071814065843</v>
      </c>
    </row>
    <row r="653" spans="1:3" ht="15" customHeight="1" x14ac:dyDescent="0.2">
      <c r="A653" s="11">
        <f>Dados!A681</f>
        <v>45436</v>
      </c>
      <c r="B653" s="12">
        <f>STDEV(Dados!D652:D681)*SQRT(252)</f>
        <v>0.13716948186972452</v>
      </c>
      <c r="C653" s="12">
        <f>STDEV(Dados!E652:E681)*SQRT(252)</f>
        <v>0.10908280719131552</v>
      </c>
    </row>
    <row r="654" spans="1:3" ht="15" customHeight="1" x14ac:dyDescent="0.2">
      <c r="A654" s="11">
        <f>Dados!A682</f>
        <v>45439</v>
      </c>
      <c r="B654" s="12">
        <f>STDEV(Dados!D653:D682)*SQRT(252)</f>
        <v>0.13052325550354729</v>
      </c>
      <c r="C654" s="12">
        <f>STDEV(Dados!E653:E682)*SQRT(252)</f>
        <v>0.10448188756885909</v>
      </c>
    </row>
    <row r="655" spans="1:3" ht="15" customHeight="1" x14ac:dyDescent="0.2">
      <c r="A655" s="11">
        <f>Dados!A683</f>
        <v>45440</v>
      </c>
      <c r="B655" s="12">
        <f>STDEV(Dados!D654:D683)*SQRT(252)</f>
        <v>0.1296146463499451</v>
      </c>
      <c r="C655" s="12">
        <f>STDEV(Dados!E654:E683)*SQRT(252)</f>
        <v>0.10484806429398374</v>
      </c>
    </row>
    <row r="656" spans="1:3" ht="15" customHeight="1" x14ac:dyDescent="0.2">
      <c r="A656" s="11">
        <f>Dados!A684</f>
        <v>45441</v>
      </c>
      <c r="B656" s="12">
        <f>STDEV(Dados!D655:D684)*SQRT(252)</f>
        <v>0.13005377404542129</v>
      </c>
      <c r="C656" s="12">
        <f>STDEV(Dados!E655:E684)*SQRT(252)</f>
        <v>0.10557202203281654</v>
      </c>
    </row>
    <row r="657" spans="1:3" ht="15" customHeight="1" x14ac:dyDescent="0.2">
      <c r="A657" s="11">
        <f>Dados!A685</f>
        <v>45443</v>
      </c>
      <c r="B657" s="12">
        <f>STDEV(Dados!D656:D685)*SQRT(252)</f>
        <v>0.1315502869654383</v>
      </c>
      <c r="C657" s="12">
        <f>STDEV(Dados!E656:E685)*SQRT(252)</f>
        <v>0.10632691034448742</v>
      </c>
    </row>
    <row r="658" spans="1:3" ht="15" customHeight="1" x14ac:dyDescent="0.2">
      <c r="A658" s="11">
        <f>Dados!A686</f>
        <v>45446</v>
      </c>
      <c r="B658" s="12">
        <f>STDEV(Dados!D657:D686)*SQRT(252)</f>
        <v>0.13264318825362845</v>
      </c>
      <c r="C658" s="12">
        <f>STDEV(Dados!E657:E686)*SQRT(252)</f>
        <v>0.10630241658534964</v>
      </c>
    </row>
    <row r="659" spans="1:3" ht="15" customHeight="1" x14ac:dyDescent="0.2">
      <c r="A659" s="11">
        <f>Dados!A687</f>
        <v>45447</v>
      </c>
      <c r="B659" s="12">
        <f>STDEV(Dados!D658:D687)*SQRT(252)</f>
        <v>0.13177949090309571</v>
      </c>
      <c r="C659" s="12">
        <f>STDEV(Dados!E658:E687)*SQRT(252)</f>
        <v>0.10358252326475212</v>
      </c>
    </row>
    <row r="660" spans="1:3" ht="15" customHeight="1" x14ac:dyDescent="0.2">
      <c r="A660" s="11">
        <f>Dados!A688</f>
        <v>45448</v>
      </c>
      <c r="B660" s="12">
        <f>STDEV(Dados!D659:D688)*SQRT(252)</f>
        <v>0.13144661489346923</v>
      </c>
      <c r="C660" s="12">
        <f>STDEV(Dados!E659:E688)*SQRT(252)</f>
        <v>0.10290550483544113</v>
      </c>
    </row>
    <row r="661" spans="1:3" ht="15" customHeight="1" x14ac:dyDescent="0.2">
      <c r="A661" s="11">
        <f>Dados!A689</f>
        <v>45449</v>
      </c>
      <c r="B661" s="12">
        <f>STDEV(Dados!D660:D689)*SQRT(252)</f>
        <v>0.13802985595529649</v>
      </c>
      <c r="C661" s="12">
        <f>STDEV(Dados!E660:E689)*SQRT(252)</f>
        <v>0.10963822675259148</v>
      </c>
    </row>
    <row r="662" spans="1:3" ht="15" customHeight="1" x14ac:dyDescent="0.2">
      <c r="A662" s="11">
        <f>Dados!A690</f>
        <v>45450</v>
      </c>
      <c r="B662" s="12">
        <f>STDEV(Dados!D661:D690)*SQRT(252)</f>
        <v>0.14521841944700115</v>
      </c>
      <c r="C662" s="12">
        <f>STDEV(Dados!E661:E690)*SQRT(252)</f>
        <v>0.1199212612330694</v>
      </c>
    </row>
    <row r="663" spans="1:3" ht="15" customHeight="1" x14ac:dyDescent="0.2">
      <c r="A663" s="11">
        <f>Dados!A691</f>
        <v>45453</v>
      </c>
      <c r="B663" s="12">
        <f>STDEV(Dados!D662:D691)*SQRT(252)</f>
        <v>0.14573516349936969</v>
      </c>
      <c r="C663" s="12">
        <f>STDEV(Dados!E662:E691)*SQRT(252)</f>
        <v>0.1199547963865515</v>
      </c>
    </row>
    <row r="664" spans="1:3" ht="15" customHeight="1" x14ac:dyDescent="0.2">
      <c r="A664" s="11">
        <f>Dados!A692</f>
        <v>45454</v>
      </c>
      <c r="B664" s="12">
        <f>STDEV(Dados!D663:D692)*SQRT(252)</f>
        <v>0.13829671857994297</v>
      </c>
      <c r="C664" s="12">
        <f>STDEV(Dados!E663:E692)*SQRT(252)</f>
        <v>0.11284987702343699</v>
      </c>
    </row>
    <row r="665" spans="1:3" ht="15" customHeight="1" x14ac:dyDescent="0.2">
      <c r="A665" s="11">
        <f>Dados!A693</f>
        <v>45455</v>
      </c>
      <c r="B665" s="12">
        <f>STDEV(Dados!D664:D693)*SQRT(252)</f>
        <v>0.14180934063059322</v>
      </c>
      <c r="C665" s="12">
        <f>STDEV(Dados!E664:E693)*SQRT(252)</f>
        <v>0.11616401491726899</v>
      </c>
    </row>
    <row r="666" spans="1:3" ht="15" customHeight="1" x14ac:dyDescent="0.2">
      <c r="A666" s="11">
        <f>Dados!A694</f>
        <v>45456</v>
      </c>
      <c r="B666" s="12">
        <f>STDEV(Dados!D665:D694)*SQRT(252)</f>
        <v>0.13877771634361358</v>
      </c>
      <c r="C666" s="12">
        <f>STDEV(Dados!E665:E694)*SQRT(252)</f>
        <v>0.11285753670012945</v>
      </c>
    </row>
    <row r="667" spans="1:3" ht="15" customHeight="1" x14ac:dyDescent="0.2">
      <c r="A667" s="11">
        <f>Dados!A695</f>
        <v>45457</v>
      </c>
      <c r="B667" s="12">
        <f>STDEV(Dados!D666:D695)*SQRT(252)</f>
        <v>0.13377232565816893</v>
      </c>
      <c r="C667" s="12">
        <f>STDEV(Dados!E666:E695)*SQRT(252)</f>
        <v>0.10807749879985741</v>
      </c>
    </row>
    <row r="668" spans="1:3" ht="15" customHeight="1" x14ac:dyDescent="0.2">
      <c r="A668" s="11">
        <f>Dados!A696</f>
        <v>45460</v>
      </c>
      <c r="B668" s="12">
        <f>STDEV(Dados!D667:D696)*SQRT(252)</f>
        <v>0.12162189452103107</v>
      </c>
      <c r="C668" s="12">
        <f>STDEV(Dados!E667:E696)*SQRT(252)</f>
        <v>0.10111186518257438</v>
      </c>
    </row>
    <row r="669" spans="1:3" ht="15" customHeight="1" x14ac:dyDescent="0.2">
      <c r="A669" s="11">
        <f>Dados!A697</f>
        <v>45461</v>
      </c>
      <c r="B669" s="12">
        <f>STDEV(Dados!D668:D697)*SQRT(252)</f>
        <v>0.12258041869658715</v>
      </c>
      <c r="C669" s="12">
        <f>STDEV(Dados!E668:E697)*SQRT(252)</f>
        <v>0.10276145784707973</v>
      </c>
    </row>
    <row r="670" spans="1:3" ht="15" customHeight="1" x14ac:dyDescent="0.2">
      <c r="A670" s="11">
        <f>Dados!A698</f>
        <v>45462</v>
      </c>
      <c r="B670" s="12">
        <f>STDEV(Dados!D669:D698)*SQRT(252)</f>
        <v>0.12418285603502625</v>
      </c>
      <c r="C670" s="12">
        <f>STDEV(Dados!E669:E698)*SQRT(252)</f>
        <v>0.10241745715088897</v>
      </c>
    </row>
    <row r="671" spans="1:3" ht="15" customHeight="1" x14ac:dyDescent="0.2">
      <c r="A671" s="11">
        <f>Dados!A699</f>
        <v>45463</v>
      </c>
      <c r="B671" s="12">
        <f>STDEV(Dados!D670:D699)*SQRT(252)</f>
        <v>0.12293813400426591</v>
      </c>
      <c r="C671" s="12">
        <f>STDEV(Dados!E670:E699)*SQRT(252)</f>
        <v>0.10221755978844961</v>
      </c>
    </row>
    <row r="672" spans="1:3" ht="15" customHeight="1" x14ac:dyDescent="0.2">
      <c r="A672" s="11">
        <f>Dados!A700</f>
        <v>45464</v>
      </c>
      <c r="B672" s="12">
        <f>STDEV(Dados!D671:D700)*SQRT(252)</f>
        <v>0.12139443486202678</v>
      </c>
      <c r="C672" s="12">
        <f>STDEV(Dados!E671:E700)*SQRT(252)</f>
        <v>0.1034025801716843</v>
      </c>
    </row>
    <row r="673" spans="1:3" ht="15" customHeight="1" x14ac:dyDescent="0.2">
      <c r="A673" s="11">
        <f>Dados!A701</f>
        <v>45467</v>
      </c>
      <c r="B673" s="12">
        <f>STDEV(Dados!D672:D701)*SQRT(252)</f>
        <v>0.12631022459778662</v>
      </c>
      <c r="C673" s="12">
        <f>STDEV(Dados!E672:E701)*SQRT(252)</f>
        <v>0.10911530329705467</v>
      </c>
    </row>
    <row r="674" spans="1:3" ht="15" customHeight="1" x14ac:dyDescent="0.2">
      <c r="A674" s="11">
        <f>Dados!A702</f>
        <v>45468</v>
      </c>
      <c r="B674" s="12">
        <f>STDEV(Dados!D673:D702)*SQRT(252)</f>
        <v>0.12523930689396703</v>
      </c>
      <c r="C674" s="12">
        <f>STDEV(Dados!E673:E702)*SQRT(252)</f>
        <v>0.10782391617921941</v>
      </c>
    </row>
    <row r="675" spans="1:3" ht="15" customHeight="1" x14ac:dyDescent="0.2">
      <c r="A675" s="11">
        <f>Dados!A703</f>
        <v>45469</v>
      </c>
      <c r="B675" s="12">
        <f>STDEV(Dados!D674:D703)*SQRT(252)</f>
        <v>0.12343213807137039</v>
      </c>
      <c r="C675" s="12">
        <f>STDEV(Dados!E674:E703)*SQRT(252)</f>
        <v>0.10773053738274919</v>
      </c>
    </row>
    <row r="676" spans="1:3" ht="15" customHeight="1" x14ac:dyDescent="0.2">
      <c r="A676" s="11">
        <f>Dados!A704</f>
        <v>45470</v>
      </c>
      <c r="B676" s="12">
        <f>STDEV(Dados!D675:D704)*SQRT(252)</f>
        <v>0.13290837094196867</v>
      </c>
      <c r="C676" s="12">
        <f>STDEV(Dados!E675:E704)*SQRT(252)</f>
        <v>0.1159597857708226</v>
      </c>
    </row>
    <row r="677" spans="1:3" ht="15" customHeight="1" x14ac:dyDescent="0.2">
      <c r="A677" s="11">
        <f>Dados!A705</f>
        <v>45471</v>
      </c>
      <c r="B677" s="12">
        <f>STDEV(Dados!D676:D705)*SQRT(252)</f>
        <v>0.13428513589889909</v>
      </c>
      <c r="C677" s="12">
        <f>STDEV(Dados!E676:E705)*SQRT(252)</f>
        <v>0.11578204713084359</v>
      </c>
    </row>
    <row r="678" spans="1:3" ht="15" customHeight="1" x14ac:dyDescent="0.2">
      <c r="A678" s="11">
        <f>Dados!A706</f>
        <v>45474</v>
      </c>
      <c r="B678" s="12">
        <f>STDEV(Dados!D677:D706)*SQRT(252)</f>
        <v>0.13453855732932332</v>
      </c>
      <c r="C678" s="12">
        <f>STDEV(Dados!E677:E706)*SQRT(252)</f>
        <v>0.11790453070868241</v>
      </c>
    </row>
    <row r="679" spans="1:3" ht="15" customHeight="1" x14ac:dyDescent="0.2">
      <c r="A679" s="11">
        <f>Dados!A707</f>
        <v>45475</v>
      </c>
      <c r="B679" s="12">
        <f>STDEV(Dados!D678:D707)*SQRT(252)</f>
        <v>0.13453118234159661</v>
      </c>
      <c r="C679" s="12">
        <f>STDEV(Dados!E678:E707)*SQRT(252)</f>
        <v>0.11778441363680439</v>
      </c>
    </row>
    <row r="680" spans="1:3" ht="15" customHeight="1" x14ac:dyDescent="0.2">
      <c r="A680" s="11">
        <f>Dados!A708</f>
        <v>45476</v>
      </c>
      <c r="B680" s="12">
        <f>STDEV(Dados!D679:D708)*SQRT(252)</f>
        <v>0.13677255558247062</v>
      </c>
      <c r="C680" s="12">
        <f>STDEV(Dados!E679:E708)*SQRT(252)</f>
        <v>0.11975100417794138</v>
      </c>
    </row>
    <row r="681" spans="1:3" ht="15" customHeight="1" x14ac:dyDescent="0.2">
      <c r="A681" s="11">
        <f>Dados!A709</f>
        <v>45477</v>
      </c>
      <c r="B681" s="12">
        <f>STDEV(Dados!D680:D709)*SQRT(252)</f>
        <v>0.1303713106060948</v>
      </c>
      <c r="C681" s="12">
        <f>STDEV(Dados!E680:E709)*SQRT(252)</f>
        <v>0.11333079470635522</v>
      </c>
    </row>
    <row r="682" spans="1:3" ht="15" customHeight="1" x14ac:dyDescent="0.2">
      <c r="A682" s="11">
        <f>Dados!A710</f>
        <v>45478</v>
      </c>
      <c r="B682" s="12">
        <f>STDEV(Dados!D681:D710)*SQRT(252)</f>
        <v>0.12823380869156911</v>
      </c>
      <c r="C682" s="12">
        <f>STDEV(Dados!E681:E710)*SQRT(252)</f>
        <v>0.11108853668388281</v>
      </c>
    </row>
    <row r="683" spans="1:3" ht="15" customHeight="1" x14ac:dyDescent="0.2">
      <c r="A683" s="11">
        <f>Dados!A711</f>
        <v>45481</v>
      </c>
      <c r="B683" s="12">
        <f>STDEV(Dados!D682:D711)*SQRT(252)</f>
        <v>0.12715258949250235</v>
      </c>
      <c r="C683" s="12">
        <f>STDEV(Dados!E682:E711)*SQRT(252)</f>
        <v>0.11060864445128339</v>
      </c>
    </row>
    <row r="684" spans="1:3" ht="15" customHeight="1" x14ac:dyDescent="0.2">
      <c r="A684" s="11">
        <f>Dados!A712</f>
        <v>45482</v>
      </c>
      <c r="B684" s="12">
        <f>STDEV(Dados!D683:D712)*SQRT(252)</f>
        <v>0.1279206641290104</v>
      </c>
      <c r="C684" s="12">
        <f>STDEV(Dados!E683:E712)*SQRT(252)</f>
        <v>0.11113546815084084</v>
      </c>
    </row>
    <row r="685" spans="1:3" ht="15" customHeight="1" x14ac:dyDescent="0.2">
      <c r="A685" s="11">
        <f>Dados!A713</f>
        <v>45483</v>
      </c>
      <c r="B685" s="12">
        <f>STDEV(Dados!D684:D713)*SQRT(252)</f>
        <v>0.12699618980038138</v>
      </c>
      <c r="C685" s="12">
        <f>STDEV(Dados!E684:E713)*SQRT(252)</f>
        <v>0.10943484815997179</v>
      </c>
    </row>
    <row r="686" spans="1:3" ht="15" customHeight="1" x14ac:dyDescent="0.2">
      <c r="A686" s="11">
        <f>Dados!A714</f>
        <v>45484</v>
      </c>
      <c r="B686" s="12">
        <f>STDEV(Dados!D685:D714)*SQRT(252)</f>
        <v>0.12711077073906601</v>
      </c>
      <c r="C686" s="12">
        <f>STDEV(Dados!E685:E714)*SQRT(252)</f>
        <v>0.10759588747465046</v>
      </c>
    </row>
    <row r="687" spans="1:3" ht="15" customHeight="1" x14ac:dyDescent="0.2">
      <c r="A687" s="11">
        <f>Dados!A715</f>
        <v>45485</v>
      </c>
      <c r="B687" s="12">
        <f>STDEV(Dados!D686:D715)*SQRT(252)</f>
        <v>0.12336198851283577</v>
      </c>
      <c r="C687" s="12">
        <f>STDEV(Dados!E686:E715)*SQRT(252)</f>
        <v>0.1061908358954454</v>
      </c>
    </row>
    <row r="688" spans="1:3" ht="15" customHeight="1" x14ac:dyDescent="0.2">
      <c r="A688" s="11">
        <f>Dados!A716</f>
        <v>45488</v>
      </c>
      <c r="B688" s="12">
        <f>STDEV(Dados!D687:D716)*SQRT(252)</f>
        <v>0.12314896545020042</v>
      </c>
      <c r="C688" s="12">
        <f>STDEV(Dados!E687:E716)*SQRT(252)</f>
        <v>0.1060347346022926</v>
      </c>
    </row>
    <row r="689" spans="1:3" ht="15" customHeight="1" x14ac:dyDescent="0.2">
      <c r="A689" s="11">
        <f>Dados!A717</f>
        <v>45489</v>
      </c>
      <c r="B689" s="12">
        <f>STDEV(Dados!D688:D717)*SQRT(252)</f>
        <v>0.12298836415620651</v>
      </c>
      <c r="C689" s="12">
        <f>STDEV(Dados!E688:E717)*SQRT(252)</f>
        <v>0.10595785724156766</v>
      </c>
    </row>
    <row r="690" spans="1:3" ht="15" customHeight="1" x14ac:dyDescent="0.2">
      <c r="A690" s="11">
        <f>Dados!A718</f>
        <v>45490</v>
      </c>
      <c r="B690" s="12">
        <f>STDEV(Dados!D689:D718)*SQRT(252)</f>
        <v>0.12237614913188641</v>
      </c>
      <c r="C690" s="12">
        <f>STDEV(Dados!E689:E718)*SQRT(252)</f>
        <v>0.10481916615857614</v>
      </c>
    </row>
    <row r="691" spans="1:3" ht="15" customHeight="1" x14ac:dyDescent="0.2">
      <c r="A691" s="11">
        <f>Dados!A719</f>
        <v>45491</v>
      </c>
      <c r="B691" s="12">
        <f>STDEV(Dados!D690:D719)*SQRT(252)</f>
        <v>0.13010065721945416</v>
      </c>
      <c r="C691" s="12">
        <f>STDEV(Dados!E690:E719)*SQRT(252)</f>
        <v>0.11029702747826735</v>
      </c>
    </row>
    <row r="692" spans="1:3" ht="15" customHeight="1" x14ac:dyDescent="0.2">
      <c r="A692" s="11">
        <f>Dados!A720</f>
        <v>45492</v>
      </c>
      <c r="B692" s="12">
        <f>STDEV(Dados!D691:D720)*SQRT(252)</f>
        <v>0.11854933730108208</v>
      </c>
      <c r="C692" s="12">
        <f>STDEV(Dados!E691:E720)*SQRT(252)</f>
        <v>9.5082222061323926E-2</v>
      </c>
    </row>
    <row r="693" spans="1:3" ht="15" customHeight="1" x14ac:dyDescent="0.2">
      <c r="A693" s="11">
        <f>Dados!A721</f>
        <v>45495</v>
      </c>
      <c r="B693" s="12">
        <f>STDEV(Dados!D692:D721)*SQRT(252)</f>
        <v>0.11675480414792533</v>
      </c>
      <c r="C693" s="12">
        <f>STDEV(Dados!E692:E721)*SQRT(252)</f>
        <v>9.4912010875980377E-2</v>
      </c>
    </row>
    <row r="694" spans="1:3" ht="15" customHeight="1" x14ac:dyDescent="0.2">
      <c r="A694" s="11">
        <f>Dados!A722</f>
        <v>45496</v>
      </c>
      <c r="B694" s="12">
        <f>STDEV(Dados!D693:D722)*SQRT(252)</f>
        <v>0.11952479203143229</v>
      </c>
      <c r="C694" s="12">
        <f>STDEV(Dados!E693:E722)*SQRT(252)</f>
        <v>9.9523262518730504E-2</v>
      </c>
    </row>
    <row r="695" spans="1:3" ht="15" customHeight="1" x14ac:dyDescent="0.2">
      <c r="A695" s="11">
        <f>Dados!A723</f>
        <v>45497</v>
      </c>
      <c r="B695" s="12">
        <f>STDEV(Dados!D694:D723)*SQRT(252)</f>
        <v>0.11331823348397398</v>
      </c>
      <c r="C695" s="12">
        <f>STDEV(Dados!E694:E723)*SQRT(252)</f>
        <v>8.8649506065856795E-2</v>
      </c>
    </row>
    <row r="696" spans="1:3" ht="15" customHeight="1" x14ac:dyDescent="0.2">
      <c r="A696" s="11">
        <f>Dados!A724</f>
        <v>45498</v>
      </c>
      <c r="B696" s="12">
        <f>STDEV(Dados!D695:D724)*SQRT(252)</f>
        <v>0.1133303837144093</v>
      </c>
      <c r="C696" s="12">
        <f>STDEV(Dados!E695:E724)*SQRT(252)</f>
        <v>8.8973204473539222E-2</v>
      </c>
    </row>
    <row r="697" spans="1:3" ht="15" customHeight="1" x14ac:dyDescent="0.2">
      <c r="A697" s="11">
        <f>Dados!A725</f>
        <v>45499</v>
      </c>
      <c r="B697" s="12">
        <f>STDEV(Dados!D696:D725)*SQRT(252)</f>
        <v>0.11762664522773225</v>
      </c>
      <c r="C697" s="12">
        <f>STDEV(Dados!E696:E725)*SQRT(252)</f>
        <v>9.3869123672412999E-2</v>
      </c>
    </row>
    <row r="698" spans="1:3" ht="15" customHeight="1" x14ac:dyDescent="0.2">
      <c r="A698" s="11">
        <f>Dados!A726</f>
        <v>45502</v>
      </c>
      <c r="B698" s="12">
        <f>STDEV(Dados!D697:D726)*SQRT(252)</f>
        <v>0.11702182108804493</v>
      </c>
      <c r="C698" s="12">
        <f>STDEV(Dados!E697:E726)*SQRT(252)</f>
        <v>9.3774034262051942E-2</v>
      </c>
    </row>
    <row r="699" spans="1:3" ht="15" customHeight="1" x14ac:dyDescent="0.2">
      <c r="A699" s="11">
        <f>Dados!A727</f>
        <v>45503</v>
      </c>
      <c r="B699" s="12">
        <f>STDEV(Dados!D698:D727)*SQRT(252)</f>
        <v>0.11858603255183715</v>
      </c>
      <c r="C699" s="12">
        <f>STDEV(Dados!E698:E727)*SQRT(252)</f>
        <v>9.6761982554430984E-2</v>
      </c>
    </row>
    <row r="700" spans="1:3" ht="15" customHeight="1" x14ac:dyDescent="0.2">
      <c r="A700" s="11">
        <f>Dados!A728</f>
        <v>45504</v>
      </c>
      <c r="B700" s="12">
        <f>STDEV(Dados!D699:D728)*SQRT(252)</f>
        <v>0.11934556949417169</v>
      </c>
      <c r="C700" s="12">
        <f>STDEV(Dados!E699:E728)*SQRT(252)</f>
        <v>0.10069963670189397</v>
      </c>
    </row>
    <row r="701" spans="1:3" ht="15" customHeight="1" x14ac:dyDescent="0.2">
      <c r="A701" s="11">
        <f>Dados!A729</f>
        <v>45505</v>
      </c>
      <c r="B701" s="12">
        <f>STDEV(Dados!D700:D729)*SQRT(252)</f>
        <v>0.11905504131026272</v>
      </c>
      <c r="C701" s="12">
        <f>STDEV(Dados!E700:E729)*SQRT(252)</f>
        <v>0.10136205961685024</v>
      </c>
    </row>
    <row r="702" spans="1:3" ht="15" customHeight="1" x14ac:dyDescent="0.2">
      <c r="A702" s="11">
        <f>Dados!A730</f>
        <v>45506</v>
      </c>
      <c r="B702" s="12">
        <f>STDEV(Dados!D701:D730)*SQRT(252)</f>
        <v>0.11936693320723668</v>
      </c>
      <c r="C702" s="12">
        <f>STDEV(Dados!E701:E730)*SQRT(252)</f>
        <v>0.10774999651499205</v>
      </c>
    </row>
    <row r="703" spans="1:3" ht="15" customHeight="1" x14ac:dyDescent="0.2">
      <c r="A703" s="11">
        <f>Dados!A731</f>
        <v>45509</v>
      </c>
      <c r="B703" s="12">
        <f>STDEV(Dados!D702:D731)*SQRT(252)</f>
        <v>0.11680175614071914</v>
      </c>
      <c r="C703" s="12">
        <f>STDEV(Dados!E702:E731)*SQRT(252)</f>
        <v>0.10522740372912547</v>
      </c>
    </row>
    <row r="704" spans="1:3" ht="15" customHeight="1" x14ac:dyDescent="0.2">
      <c r="A704" s="11">
        <f>Dados!A732</f>
        <v>45510</v>
      </c>
      <c r="B704" s="12">
        <f>STDEV(Dados!D703:D732)*SQRT(252)</f>
        <v>0.11807228138814123</v>
      </c>
      <c r="C704" s="12">
        <f>STDEV(Dados!E703:E732)*SQRT(252)</f>
        <v>0.10679356551757249</v>
      </c>
    </row>
    <row r="705" spans="1:3" ht="15" customHeight="1" x14ac:dyDescent="0.2">
      <c r="A705" s="11">
        <f>Dados!A733</f>
        <v>45511</v>
      </c>
      <c r="B705" s="12">
        <f>STDEV(Dados!D704:D733)*SQRT(252)</f>
        <v>0.12308423551145625</v>
      </c>
      <c r="C705" s="12">
        <f>STDEV(Dados!E704:E733)*SQRT(252)</f>
        <v>0.10972310115156866</v>
      </c>
    </row>
    <row r="706" spans="1:3" ht="15" customHeight="1" x14ac:dyDescent="0.2">
      <c r="A706" s="11">
        <f>Dados!A734</f>
        <v>45512</v>
      </c>
      <c r="B706" s="12">
        <f>STDEV(Dados!D705:D734)*SQRT(252)</f>
        <v>0.11749935540295856</v>
      </c>
      <c r="C706" s="12">
        <f>STDEV(Dados!E705:E734)*SQRT(252)</f>
        <v>0.10605986547239785</v>
      </c>
    </row>
    <row r="707" spans="1:3" ht="15" customHeight="1" x14ac:dyDescent="0.2">
      <c r="A707" s="11">
        <f>Dados!A735</f>
        <v>45513</v>
      </c>
      <c r="B707" s="12">
        <f>STDEV(Dados!D706:D735)*SQRT(252)</f>
        <v>0.12250361382452002</v>
      </c>
      <c r="C707" s="12">
        <f>STDEV(Dados!E706:E735)*SQRT(252)</f>
        <v>0.11256206823570065</v>
      </c>
    </row>
    <row r="708" spans="1:3" ht="15" customHeight="1" x14ac:dyDescent="0.2">
      <c r="A708" s="11">
        <f>Dados!A736</f>
        <v>45516</v>
      </c>
      <c r="B708" s="12">
        <f>STDEV(Dados!D707:D736)*SQRT(252)</f>
        <v>0.12254462312244592</v>
      </c>
      <c r="C708" s="12">
        <f>STDEV(Dados!E707:E736)*SQRT(252)</f>
        <v>0.11183898948280351</v>
      </c>
    </row>
    <row r="709" spans="1:3" ht="15" customHeight="1" x14ac:dyDescent="0.2">
      <c r="A709" s="11">
        <f>Dados!A737</f>
        <v>45517</v>
      </c>
      <c r="B709" s="12">
        <f>STDEV(Dados!D708:D737)*SQRT(252)</f>
        <v>0.12577435192796599</v>
      </c>
      <c r="C709" s="12">
        <f>STDEV(Dados!E708:E737)*SQRT(252)</f>
        <v>0.11418248066149567</v>
      </c>
    </row>
    <row r="710" spans="1:3" ht="15" customHeight="1" x14ac:dyDescent="0.2">
      <c r="A710" s="11">
        <f>Dados!A738</f>
        <v>45518</v>
      </c>
      <c r="B710" s="12">
        <f>STDEV(Dados!D709:D738)*SQRT(252)</f>
        <v>0.12580307804503979</v>
      </c>
      <c r="C710" s="12">
        <f>STDEV(Dados!E709:E738)*SQRT(252)</f>
        <v>0.11415867317789666</v>
      </c>
    </row>
    <row r="711" spans="1:3" ht="15" customHeight="1" x14ac:dyDescent="0.2">
      <c r="A711" s="11">
        <f>Dados!A739</f>
        <v>45519</v>
      </c>
      <c r="B711" s="12">
        <f>STDEV(Dados!D710:D739)*SQRT(252)</f>
        <v>0.12486270417891364</v>
      </c>
      <c r="C711" s="12">
        <f>STDEV(Dados!E710:E739)*SQRT(252)</f>
        <v>0.11469104830950586</v>
      </c>
    </row>
    <row r="712" spans="1:3" ht="15" customHeight="1" x14ac:dyDescent="0.2">
      <c r="A712" s="11">
        <f>Dados!A740</f>
        <v>45520</v>
      </c>
      <c r="B712" s="12">
        <f>STDEV(Dados!D711:D740)*SQRT(252)</f>
        <v>0.12529349626594902</v>
      </c>
      <c r="C712" s="12">
        <f>STDEV(Dados!E711:E740)*SQRT(252)</f>
        <v>0.1151005729574776</v>
      </c>
    </row>
    <row r="713" spans="1:3" ht="15" customHeight="1" x14ac:dyDescent="0.2">
      <c r="A713" s="11">
        <f>Dados!A741</f>
        <v>45523</v>
      </c>
      <c r="B713" s="12">
        <f>STDEV(Dados!D712:D741)*SQRT(252)</f>
        <v>0.13222844962793717</v>
      </c>
      <c r="C713" s="12">
        <f>STDEV(Dados!E712:E741)*SQRT(252)</f>
        <v>0.11988442875256526</v>
      </c>
    </row>
    <row r="714" spans="1:3" ht="15" customHeight="1" x14ac:dyDescent="0.2">
      <c r="A714" s="11">
        <f>Dados!A742</f>
        <v>45524</v>
      </c>
      <c r="B714" s="12">
        <f>STDEV(Dados!D713:D742)*SQRT(252)</f>
        <v>0.13217508705834635</v>
      </c>
      <c r="C714" s="12">
        <f>STDEV(Dados!E713:E742)*SQRT(252)</f>
        <v>0.11972386244662997</v>
      </c>
    </row>
    <row r="715" spans="1:3" ht="15" customHeight="1" x14ac:dyDescent="0.2">
      <c r="A715" s="11">
        <f>Dados!A743</f>
        <v>45525</v>
      </c>
      <c r="B715" s="12">
        <f>STDEV(Dados!D714:D743)*SQRT(252)</f>
        <v>0.132188448040542</v>
      </c>
      <c r="C715" s="12">
        <f>STDEV(Dados!E714:E743)*SQRT(252)</f>
        <v>0.1196560557861734</v>
      </c>
    </row>
    <row r="716" spans="1:3" ht="15" customHeight="1" x14ac:dyDescent="0.2">
      <c r="A716" s="11">
        <f>Dados!A744</f>
        <v>45526</v>
      </c>
      <c r="B716" s="12">
        <f>STDEV(Dados!D715:D744)*SQRT(252)</f>
        <v>0.13637656130480347</v>
      </c>
      <c r="C716" s="12">
        <f>STDEV(Dados!E715:E744)*SQRT(252)</f>
        <v>0.12297092678148547</v>
      </c>
    </row>
    <row r="717" spans="1:3" ht="15" customHeight="1" x14ac:dyDescent="0.2">
      <c r="A717" s="11">
        <f>Dados!A745</f>
        <v>45527</v>
      </c>
      <c r="B717" s="12">
        <f>STDEV(Dados!D716:D745)*SQRT(252)</f>
        <v>0.13754589442611215</v>
      </c>
      <c r="C717" s="12">
        <f>STDEV(Dados!E716:E745)*SQRT(252)</f>
        <v>0.12273760368276346</v>
      </c>
    </row>
    <row r="718" spans="1:3" ht="15" customHeight="1" x14ac:dyDescent="0.2">
      <c r="A718" s="11">
        <f>Dados!A746</f>
        <v>45530</v>
      </c>
      <c r="B718" s="12">
        <f>STDEV(Dados!D717:D746)*SQRT(252)</f>
        <v>0.13760595764830927</v>
      </c>
      <c r="C718" s="12">
        <f>STDEV(Dados!E717:E746)*SQRT(252)</f>
        <v>0.12469250640840689</v>
      </c>
    </row>
    <row r="719" spans="1:3" ht="15" customHeight="1" x14ac:dyDescent="0.2">
      <c r="A719" s="11">
        <f>Dados!A747</f>
        <v>45531</v>
      </c>
      <c r="B719" s="12">
        <f>STDEV(Dados!D718:D747)*SQRT(252)</f>
        <v>0.1385014156970728</v>
      </c>
      <c r="C719" s="12">
        <f>STDEV(Dados!E718:E747)*SQRT(252)</f>
        <v>0.12451584822467865</v>
      </c>
    </row>
    <row r="720" spans="1:3" ht="15" customHeight="1" x14ac:dyDescent="0.2">
      <c r="A720" s="11">
        <f>Dados!A748</f>
        <v>45532</v>
      </c>
      <c r="B720" s="12">
        <f>STDEV(Dados!D719:D748)*SQRT(252)</f>
        <v>0.13847628776760354</v>
      </c>
      <c r="C720" s="12">
        <f>STDEV(Dados!E719:E748)*SQRT(252)</f>
        <v>0.1246678380154872</v>
      </c>
    </row>
    <row r="721" spans="1:3" ht="15" customHeight="1" x14ac:dyDescent="0.2">
      <c r="A721" s="11">
        <f>Dados!A749</f>
        <v>45533</v>
      </c>
      <c r="B721" s="12">
        <f>STDEV(Dados!D720:D749)*SQRT(252)</f>
        <v>0.13205359274756331</v>
      </c>
      <c r="C721" s="12">
        <f>STDEV(Dados!E720:E749)*SQRT(252)</f>
        <v>0.12030456377257782</v>
      </c>
    </row>
    <row r="722" spans="1:3" ht="15" customHeight="1" x14ac:dyDescent="0.2">
      <c r="A722" s="11">
        <f>Dados!A750</f>
        <v>45534</v>
      </c>
      <c r="B722" s="12">
        <f>STDEV(Dados!D721:D750)*SQRT(252)</f>
        <v>0.13207432952571854</v>
      </c>
      <c r="C722" s="12">
        <f>STDEV(Dados!E721:E750)*SQRT(252)</f>
        <v>0.1203028236858075</v>
      </c>
    </row>
    <row r="723" spans="1:3" ht="15" customHeight="1" x14ac:dyDescent="0.2">
      <c r="A723" s="11">
        <f>Dados!A751</f>
        <v>45537</v>
      </c>
      <c r="B723" s="12">
        <f>STDEV(Dados!D722:D751)*SQRT(252)</f>
        <v>0.1364528120990339</v>
      </c>
      <c r="C723" s="12">
        <f>STDEV(Dados!E722:E751)*SQRT(252)</f>
        <v>0.12390465570702364</v>
      </c>
    </row>
    <row r="724" spans="1:3" ht="15" customHeight="1" x14ac:dyDescent="0.2">
      <c r="A724" s="11">
        <f>Dados!A752</f>
        <v>45538</v>
      </c>
      <c r="B724" s="12">
        <f>STDEV(Dados!D723:D752)*SQRT(252)</f>
        <v>0.13223602337571319</v>
      </c>
      <c r="C724" s="12">
        <f>STDEV(Dados!E723:E752)*SQRT(252)</f>
        <v>0.12016866326767263</v>
      </c>
    </row>
    <row r="725" spans="1:3" ht="15" customHeight="1" x14ac:dyDescent="0.2">
      <c r="A725" s="11">
        <f>Dados!A753</f>
        <v>45539</v>
      </c>
      <c r="B725" s="12">
        <f>STDEV(Dados!D724:D753)*SQRT(252)</f>
        <v>0.13615532096831837</v>
      </c>
      <c r="C725" s="12">
        <f>STDEV(Dados!E724:E753)*SQRT(252)</f>
        <v>0.12385793959720351</v>
      </c>
    </row>
    <row r="726" spans="1:3" ht="15" customHeight="1" x14ac:dyDescent="0.2">
      <c r="A726" s="11">
        <f>Dados!A754</f>
        <v>45540</v>
      </c>
      <c r="B726" s="12">
        <f>STDEV(Dados!D725:D754)*SQRT(252)</f>
        <v>0.13389827103495788</v>
      </c>
      <c r="C726" s="12">
        <f>STDEV(Dados!E725:E754)*SQRT(252)</f>
        <v>0.12246638531000557</v>
      </c>
    </row>
    <row r="727" spans="1:3" ht="15" customHeight="1" x14ac:dyDescent="0.2">
      <c r="A727" s="11">
        <f>Dados!A755</f>
        <v>45541</v>
      </c>
      <c r="B727" s="12">
        <f>STDEV(Dados!D726:D755)*SQRT(252)</f>
        <v>0.14074778489082901</v>
      </c>
      <c r="C727" s="12">
        <f>STDEV(Dados!E726:E755)*SQRT(252)</f>
        <v>0.1284811327439018</v>
      </c>
    </row>
    <row r="728" spans="1:3" ht="15" customHeight="1" x14ac:dyDescent="0.2">
      <c r="A728" s="11">
        <f>Dados!A756</f>
        <v>45544</v>
      </c>
      <c r="B728" s="12">
        <f>STDEV(Dados!D727:D756)*SQRT(252)</f>
        <v>0.13927385086773594</v>
      </c>
      <c r="C728" s="12">
        <f>STDEV(Dados!E727:E756)*SQRT(252)</f>
        <v>0.12722292102089666</v>
      </c>
    </row>
    <row r="729" spans="1:3" ht="15" customHeight="1" x14ac:dyDescent="0.2">
      <c r="A729" s="11">
        <f>Dados!A757</f>
        <v>45545</v>
      </c>
      <c r="B729" s="12">
        <f>STDEV(Dados!D728:D757)*SQRT(252)</f>
        <v>0.13821063969915903</v>
      </c>
      <c r="C729" s="12">
        <f>STDEV(Dados!E728:E757)*SQRT(252)</f>
        <v>0.1256596759071926</v>
      </c>
    </row>
    <row r="730" spans="1:3" ht="15" customHeight="1" x14ac:dyDescent="0.2">
      <c r="A730" s="11">
        <f>Dados!A758</f>
        <v>45546</v>
      </c>
      <c r="B730" s="12">
        <f>STDEV(Dados!D729:D758)*SQRT(252)</f>
        <v>0.13698213435717371</v>
      </c>
      <c r="C730" s="12">
        <f>STDEV(Dados!E729:E758)*SQRT(252)</f>
        <v>0.12218325610897812</v>
      </c>
    </row>
    <row r="731" spans="1:3" ht="15" customHeight="1" x14ac:dyDescent="0.2">
      <c r="A731" s="11">
        <f>Dados!A759</f>
        <v>45547</v>
      </c>
      <c r="B731" s="12">
        <f>STDEV(Dados!D730:D759)*SQRT(252)</f>
        <v>0.13874416493810737</v>
      </c>
      <c r="C731" s="12">
        <f>STDEV(Dados!E730:E759)*SQRT(252)</f>
        <v>0.12320898460838003</v>
      </c>
    </row>
    <row r="732" spans="1:3" ht="15" customHeight="1" x14ac:dyDescent="0.2">
      <c r="A732" s="11">
        <f>Dados!A760</f>
        <v>45548</v>
      </c>
      <c r="B732" s="12">
        <f>STDEV(Dados!D731:D760)*SQRT(252)</f>
        <v>0.13647873407766106</v>
      </c>
      <c r="C732" s="12">
        <f>STDEV(Dados!E731:E760)*SQRT(252)</f>
        <v>0.11661660914627792</v>
      </c>
    </row>
    <row r="733" spans="1:3" ht="15" customHeight="1" x14ac:dyDescent="0.2">
      <c r="A733" s="11">
        <f>Dados!A761</f>
        <v>45551</v>
      </c>
      <c r="B733" s="12">
        <f>STDEV(Dados!D732:D761)*SQRT(252)</f>
        <v>0.1345576912817269</v>
      </c>
      <c r="C733" s="12">
        <f>STDEV(Dados!E732:E761)*SQRT(252)</f>
        <v>0.11475767466396301</v>
      </c>
    </row>
    <row r="734" spans="1:3" ht="15" customHeight="1" x14ac:dyDescent="0.2">
      <c r="A734" s="11">
        <f>Dados!A762</f>
        <v>45552</v>
      </c>
      <c r="B734" s="12">
        <f>STDEV(Dados!D733:D762)*SQRT(252)</f>
        <v>0.13397629251326831</v>
      </c>
      <c r="C734" s="12">
        <f>STDEV(Dados!E733:E762)*SQRT(252)</f>
        <v>0.1140613987114566</v>
      </c>
    </row>
    <row r="735" spans="1:3" ht="15" customHeight="1" x14ac:dyDescent="0.2">
      <c r="A735" s="11">
        <f>Dados!A763</f>
        <v>45553</v>
      </c>
      <c r="B735" s="12">
        <f>STDEV(Dados!D734:D763)*SQRT(252)</f>
        <v>0.1333501429334101</v>
      </c>
      <c r="C735" s="12">
        <f>STDEV(Dados!E734:E763)*SQRT(252)</f>
        <v>0.11619812761327543</v>
      </c>
    </row>
    <row r="736" spans="1:3" ht="15" customHeight="1" x14ac:dyDescent="0.2">
      <c r="A736" s="11">
        <f>Dados!A764</f>
        <v>45554</v>
      </c>
      <c r="B736" s="12">
        <f>STDEV(Dados!D735:D764)*SQRT(252)</f>
        <v>0.13417768323243839</v>
      </c>
      <c r="C736" s="12">
        <f>STDEV(Dados!E735:E764)*SQRT(252)</f>
        <v>0.11540829677084741</v>
      </c>
    </row>
    <row r="737" spans="1:3" ht="15" customHeight="1" x14ac:dyDescent="0.2">
      <c r="A737" s="11">
        <f>Dados!A765</f>
        <v>45555</v>
      </c>
      <c r="B737" s="12">
        <f>STDEV(Dados!D736:D765)*SQRT(252)</f>
        <v>0.13610832285862862</v>
      </c>
      <c r="C737" s="12">
        <f>STDEV(Dados!E736:E765)*SQRT(252)</f>
        <v>0.11741971150777671</v>
      </c>
    </row>
    <row r="738" spans="1:3" ht="15" customHeight="1" x14ac:dyDescent="0.2">
      <c r="A738" s="11">
        <f>Dados!A766</f>
        <v>45558</v>
      </c>
      <c r="B738" s="12">
        <f>STDEV(Dados!D737:D766)*SQRT(252)</f>
        <v>0.13692217567817735</v>
      </c>
      <c r="C738" s="12">
        <f>STDEV(Dados!E737:E766)*SQRT(252)</f>
        <v>0.11740443903849947</v>
      </c>
    </row>
    <row r="739" spans="1:3" ht="15" customHeight="1" x14ac:dyDescent="0.2">
      <c r="A739" s="11">
        <f>Dados!A767</f>
        <v>45559</v>
      </c>
      <c r="B739" s="12">
        <f>STDEV(Dados!D738:D767)*SQRT(252)</f>
        <v>0.13363060023683151</v>
      </c>
      <c r="C739" s="12">
        <f>STDEV(Dados!E738:E767)*SQRT(252)</f>
        <v>0.11931108594426944</v>
      </c>
    </row>
    <row r="740" spans="1:3" ht="15" customHeight="1" x14ac:dyDescent="0.2">
      <c r="A740" s="11">
        <f>Dados!A768</f>
        <v>45560</v>
      </c>
      <c r="B740" s="12">
        <f>STDEV(Dados!D739:D768)*SQRT(252)</f>
        <v>0.13247680600470424</v>
      </c>
      <c r="C740" s="12">
        <f>STDEV(Dados!E739:E768)*SQRT(252)</f>
        <v>0.1180349178157323</v>
      </c>
    </row>
    <row r="741" spans="1:3" ht="15" customHeight="1" x14ac:dyDescent="0.2">
      <c r="A741" s="11">
        <f>Dados!A769</f>
        <v>45561</v>
      </c>
      <c r="B741" s="12">
        <f>STDEV(Dados!D740:D769)*SQRT(252)</f>
        <v>0.13318887733269008</v>
      </c>
      <c r="C741" s="12">
        <f>STDEV(Dados!E740:E769)*SQRT(252)</f>
        <v>0.12094861245540114</v>
      </c>
    </row>
    <row r="742" spans="1:3" ht="15" customHeight="1" x14ac:dyDescent="0.2">
      <c r="A742" s="11">
        <f>Dados!A770</f>
        <v>45562</v>
      </c>
      <c r="B742" s="12">
        <f>STDEV(Dados!D741:D770)*SQRT(252)</f>
        <v>0.13320241499478278</v>
      </c>
      <c r="C742" s="12">
        <f>STDEV(Dados!E741:E770)*SQRT(252)</f>
        <v>0.12101509637535324</v>
      </c>
    </row>
    <row r="743" spans="1:3" ht="15" customHeight="1" x14ac:dyDescent="0.2">
      <c r="A743" s="11">
        <f>Dados!A771</f>
        <v>45565</v>
      </c>
      <c r="B743" s="12">
        <f>STDEV(Dados!D742:D771)*SQRT(252)</f>
        <v>0.12329686329623087</v>
      </c>
      <c r="C743" s="12">
        <f>STDEV(Dados!E742:E771)*SQRT(252)</f>
        <v>0.11505933364980969</v>
      </c>
    </row>
    <row r="744" spans="1:3" ht="15" customHeight="1" x14ac:dyDescent="0.2">
      <c r="A744" s="11">
        <f>Dados!A772</f>
        <v>45566</v>
      </c>
      <c r="B744" s="12">
        <f>STDEV(Dados!D743:D772)*SQRT(252)</f>
        <v>0.12355381401033383</v>
      </c>
      <c r="C744" s="12">
        <f>STDEV(Dados!E743:E772)*SQRT(252)</f>
        <v>0.11605992548110797</v>
      </c>
    </row>
    <row r="745" spans="1:3" ht="15" customHeight="1" x14ac:dyDescent="0.2">
      <c r="A745" s="11">
        <f>Dados!A773</f>
        <v>45567</v>
      </c>
      <c r="B745" s="12">
        <f>STDEV(Dados!D744:D773)*SQRT(252)</f>
        <v>0.12565707708777027</v>
      </c>
      <c r="C745" s="12">
        <f>STDEV(Dados!E744:E773)*SQRT(252)</f>
        <v>0.11825172021181338</v>
      </c>
    </row>
    <row r="746" spans="1:3" ht="15" customHeight="1" x14ac:dyDescent="0.2">
      <c r="A746" s="11">
        <f>Dados!A774</f>
        <v>45568</v>
      </c>
      <c r="B746" s="12">
        <f>STDEV(Dados!D745:D774)*SQRT(252)</f>
        <v>0.12894060601481769</v>
      </c>
      <c r="C746" s="12">
        <f>STDEV(Dados!E745:E774)*SQRT(252)</f>
        <v>0.12172106143967995</v>
      </c>
    </row>
    <row r="747" spans="1:3" ht="15" customHeight="1" x14ac:dyDescent="0.2">
      <c r="A747" s="11">
        <f>Dados!A775</f>
        <v>45569</v>
      </c>
      <c r="B747" s="12">
        <f>STDEV(Dados!D746:D775)*SQRT(252)</f>
        <v>0.12604975182056394</v>
      </c>
      <c r="C747" s="12">
        <f>STDEV(Dados!E746:E775)*SQRT(252)</f>
        <v>0.12123116442499164</v>
      </c>
    </row>
    <row r="748" spans="1:3" ht="15" customHeight="1" x14ac:dyDescent="0.2">
      <c r="A748" s="11">
        <f>Dados!A776</f>
        <v>45572</v>
      </c>
      <c r="B748" s="12">
        <f>STDEV(Dados!D747:D776)*SQRT(252)</f>
        <v>0.12492505740988945</v>
      </c>
      <c r="C748" s="12">
        <f>STDEV(Dados!E747:E776)*SQRT(252)</f>
        <v>0.11751638008520358</v>
      </c>
    </row>
    <row r="749" spans="1:3" ht="15" customHeight="1" x14ac:dyDescent="0.2">
      <c r="A749" s="11">
        <f>Dados!A777</f>
        <v>45573</v>
      </c>
      <c r="B749" s="12">
        <f>STDEV(Dados!D748:D777)*SQRT(252)</f>
        <v>0.12586446969430731</v>
      </c>
      <c r="C749" s="12">
        <f>STDEV(Dados!E748:E777)*SQRT(252)</f>
        <v>0.11775575243527212</v>
      </c>
    </row>
    <row r="750" spans="1:3" ht="15" customHeight="1" x14ac:dyDescent="0.2">
      <c r="A750" s="11">
        <f>Dados!A778</f>
        <v>45574</v>
      </c>
      <c r="B750" s="12">
        <f>STDEV(Dados!D749:D778)*SQRT(252)</f>
        <v>0.12956749940264387</v>
      </c>
      <c r="C750" s="12">
        <f>STDEV(Dados!E749:E778)*SQRT(252)</f>
        <v>0.12041888343467769</v>
      </c>
    </row>
    <row r="751" spans="1:3" ht="15" customHeight="1" x14ac:dyDescent="0.2">
      <c r="A751" s="11">
        <f>Dados!A779</f>
        <v>45575</v>
      </c>
      <c r="B751" s="12">
        <f>STDEV(Dados!D750:D779)*SQRT(252)</f>
        <v>0.12730691311658651</v>
      </c>
      <c r="C751" s="12">
        <f>STDEV(Dados!E750:E779)*SQRT(252)</f>
        <v>0.11893371801963906</v>
      </c>
    </row>
    <row r="752" spans="1:3" ht="15" customHeight="1" x14ac:dyDescent="0.2">
      <c r="A752" s="11">
        <f>Dados!A780</f>
        <v>45576</v>
      </c>
      <c r="B752" s="12">
        <f>STDEV(Dados!D751:D780)*SQRT(252)</f>
        <v>0.12768325957426171</v>
      </c>
      <c r="C752" s="12">
        <f>STDEV(Dados!E751:E780)*SQRT(252)</f>
        <v>0.11894418357118669</v>
      </c>
    </row>
    <row r="753" spans="1:3" ht="15" customHeight="1" x14ac:dyDescent="0.2">
      <c r="A753" s="11">
        <f>Dados!A781</f>
        <v>45579</v>
      </c>
      <c r="B753" s="12">
        <f>STDEV(Dados!D752:D781)*SQRT(252)</f>
        <v>0.13034356082763168</v>
      </c>
      <c r="C753" s="12">
        <f>STDEV(Dados!E752:E781)*SQRT(252)</f>
        <v>0.12017919457050981</v>
      </c>
    </row>
    <row r="754" spans="1:3" ht="15" customHeight="1" x14ac:dyDescent="0.2">
      <c r="A754" s="11">
        <f>Dados!A782</f>
        <v>45580</v>
      </c>
      <c r="B754" s="12">
        <f>STDEV(Dados!D753:D782)*SQRT(252)</f>
        <v>0.13067520237427127</v>
      </c>
      <c r="C754" s="12">
        <f>STDEV(Dados!E753:E782)*SQRT(252)</f>
        <v>0.11985953272833738</v>
      </c>
    </row>
    <row r="755" spans="1:3" ht="15" customHeight="1" x14ac:dyDescent="0.2">
      <c r="A755" s="11">
        <f>Dados!A783</f>
        <v>45581</v>
      </c>
      <c r="B755" s="12">
        <f>STDEV(Dados!D754:D783)*SQRT(252)</f>
        <v>0.12064835190290547</v>
      </c>
      <c r="C755" s="12">
        <f>STDEV(Dados!E754:E783)*SQRT(252)</f>
        <v>0.1141157194556127</v>
      </c>
    </row>
    <row r="756" spans="1:3" ht="15" customHeight="1" x14ac:dyDescent="0.2">
      <c r="A756" s="11">
        <f>Dados!A784</f>
        <v>45582</v>
      </c>
      <c r="B756" s="12">
        <f>STDEV(Dados!D755:D784)*SQRT(252)</f>
        <v>0.12028412305819899</v>
      </c>
      <c r="C756" s="12">
        <f>STDEV(Dados!E755:E784)*SQRT(252)</f>
        <v>0.1148529227154798</v>
      </c>
    </row>
    <row r="757" spans="1:3" ht="15" customHeight="1" x14ac:dyDescent="0.2">
      <c r="A757" s="11">
        <f>Dados!A785</f>
        <v>45583</v>
      </c>
      <c r="B757" s="12">
        <f>STDEV(Dados!D756:D785)*SQRT(252)</f>
        <v>0.11388662771031062</v>
      </c>
      <c r="C757" s="12">
        <f>STDEV(Dados!E756:E785)*SQRT(252)</f>
        <v>0.10829710130224186</v>
      </c>
    </row>
    <row r="758" spans="1:3" ht="15" customHeight="1" x14ac:dyDescent="0.2">
      <c r="A758" s="11">
        <f>Dados!A786</f>
        <v>45586</v>
      </c>
      <c r="B758" s="12">
        <f>STDEV(Dados!D757:D786)*SQRT(252)</f>
        <v>0.11401399911913403</v>
      </c>
      <c r="C758" s="12">
        <f>STDEV(Dados!E757:E786)*SQRT(252)</f>
        <v>0.10808692608722148</v>
      </c>
    </row>
    <row r="759" spans="1:3" ht="15" customHeight="1" x14ac:dyDescent="0.2">
      <c r="A759" s="11">
        <f>Dados!A787</f>
        <v>45587</v>
      </c>
      <c r="B759" s="12">
        <f>STDEV(Dados!D758:D787)*SQRT(252)</f>
        <v>0.11452719117704242</v>
      </c>
      <c r="C759" s="12">
        <f>STDEV(Dados!E758:E787)*SQRT(252)</f>
        <v>0.10809638309394136</v>
      </c>
    </row>
    <row r="760" spans="1:3" ht="15" customHeight="1" x14ac:dyDescent="0.2">
      <c r="A760" s="11">
        <f>Dados!A788</f>
        <v>45588</v>
      </c>
      <c r="B760" s="12">
        <f>STDEV(Dados!D759:D788)*SQRT(252)</f>
        <v>0.11427546174008865</v>
      </c>
      <c r="C760" s="12">
        <f>STDEV(Dados!E759:E788)*SQRT(252)</f>
        <v>0.10823085505357538</v>
      </c>
    </row>
    <row r="761" spans="1:3" ht="15" customHeight="1" x14ac:dyDescent="0.2">
      <c r="A761" s="11">
        <f>Dados!A789</f>
        <v>45589</v>
      </c>
      <c r="B761" s="12">
        <f>STDEV(Dados!D760:D789)*SQRT(252)</f>
        <v>0.11687096941736647</v>
      </c>
      <c r="C761" s="12">
        <f>STDEV(Dados!E760:E789)*SQRT(252)</f>
        <v>0.11001686713940786</v>
      </c>
    </row>
    <row r="762" spans="1:3" ht="15" customHeight="1" x14ac:dyDescent="0.2">
      <c r="A762" s="11">
        <f>Dados!A790</f>
        <v>45590</v>
      </c>
      <c r="B762" s="12">
        <f>STDEV(Dados!D761:D790)*SQRT(252)</f>
        <v>0.1150418815835301</v>
      </c>
      <c r="C762" s="12">
        <f>STDEV(Dados!E761:E790)*SQRT(252)</f>
        <v>0.10779097713256393</v>
      </c>
    </row>
    <row r="763" spans="1:3" ht="15" customHeight="1" x14ac:dyDescent="0.2">
      <c r="A763" s="11">
        <f>Dados!A791</f>
        <v>45593</v>
      </c>
      <c r="B763" s="12">
        <f>STDEV(Dados!D762:D791)*SQRT(252)</f>
        <v>0.1207024361218401</v>
      </c>
      <c r="C763" s="12">
        <f>STDEV(Dados!E762:E791)*SQRT(252)</f>
        <v>0.11244119660336546</v>
      </c>
    </row>
    <row r="764" spans="1:3" ht="15" customHeight="1" x14ac:dyDescent="0.2">
      <c r="A764" s="11">
        <f>Dados!A792</f>
        <v>45594</v>
      </c>
      <c r="B764" s="12">
        <f>STDEV(Dados!D763:D792)*SQRT(252)</f>
        <v>0.12084927110939976</v>
      </c>
      <c r="C764" s="12">
        <f>STDEV(Dados!E763:E792)*SQRT(252)</f>
        <v>0.1127151071096554</v>
      </c>
    </row>
    <row r="765" spans="1:3" ht="15" customHeight="1" x14ac:dyDescent="0.2">
      <c r="A765" s="11">
        <f>Dados!A793</f>
        <v>45595</v>
      </c>
      <c r="B765" s="12">
        <f>STDEV(Dados!D764:D793)*SQRT(252)</f>
        <v>0.11937935230230018</v>
      </c>
      <c r="C765" s="12">
        <f>STDEV(Dados!E764:E793)*SQRT(252)</f>
        <v>0.11016013586261143</v>
      </c>
    </row>
    <row r="766" spans="1:3" ht="15" customHeight="1" x14ac:dyDescent="0.2">
      <c r="A766" s="11">
        <f>Dados!A794</f>
        <v>45596</v>
      </c>
      <c r="B766" s="12">
        <f>STDEV(Dados!D765:D794)*SQRT(252)</f>
        <v>0.11915018389087974</v>
      </c>
      <c r="C766" s="12">
        <f>STDEV(Dados!E765:E794)*SQRT(252)</f>
        <v>0.11112834654807098</v>
      </c>
    </row>
    <row r="767" spans="1:3" ht="15" customHeight="1" x14ac:dyDescent="0.2">
      <c r="A767" s="11">
        <f>Dados!A795</f>
        <v>45597</v>
      </c>
      <c r="B767" s="12">
        <f>STDEV(Dados!D766:D795)*SQRT(252)</f>
        <v>0.11255072016478802</v>
      </c>
      <c r="C767" s="12">
        <f>STDEV(Dados!E766:E795)*SQRT(252)</f>
        <v>0.10775397060894647</v>
      </c>
    </row>
    <row r="768" spans="1:3" ht="15" customHeight="1" x14ac:dyDescent="0.2">
      <c r="A768" s="11">
        <f>Dados!A796</f>
        <v>45600</v>
      </c>
      <c r="B768" s="12">
        <f>STDEV(Dados!D767:D796)*SQRT(252)</f>
        <v>0.13232862656862135</v>
      </c>
      <c r="C768" s="12">
        <f>STDEV(Dados!E767:E796)*SQRT(252)</f>
        <v>0.12088492929765787</v>
      </c>
    </row>
    <row r="769" spans="1:3" ht="15" customHeight="1" x14ac:dyDescent="0.2">
      <c r="A769" s="11">
        <f>Dados!A797</f>
        <v>45601</v>
      </c>
      <c r="B769" s="12">
        <f>STDEV(Dados!D768:D797)*SQRT(252)</f>
        <v>0.13094143819725221</v>
      </c>
      <c r="C769" s="12">
        <f>STDEV(Dados!E768:E797)*SQRT(252)</f>
        <v>0.11539787637478836</v>
      </c>
    </row>
    <row r="770" spans="1:3" ht="15" customHeight="1" x14ac:dyDescent="0.2">
      <c r="A770" s="11">
        <f>Dados!A798</f>
        <v>45602</v>
      </c>
      <c r="B770" s="12">
        <f>STDEV(Dados!D769:D798)*SQRT(252)</f>
        <v>0.12983355152504306</v>
      </c>
      <c r="C770" s="12">
        <f>STDEV(Dados!E769:E798)*SQRT(252)</f>
        <v>0.11496904402010612</v>
      </c>
    </row>
    <row r="771" spans="1:3" ht="15" customHeight="1" x14ac:dyDescent="0.2">
      <c r="A771" s="11">
        <f>Dados!A799</f>
        <v>45603</v>
      </c>
      <c r="B771" s="12">
        <f>STDEV(Dados!D770:D799)*SQRT(252)</f>
        <v>0.13359513700642292</v>
      </c>
      <c r="C771" s="12">
        <f>STDEV(Dados!E770:E799)*SQRT(252)</f>
        <v>0.11079072587626677</v>
      </c>
    </row>
    <row r="772" spans="1:3" ht="15" customHeight="1" x14ac:dyDescent="0.2">
      <c r="A772" s="11">
        <f>Dados!A800</f>
        <v>45604</v>
      </c>
      <c r="B772" s="12">
        <f>STDEV(Dados!D771:D800)*SQRT(252)</f>
        <v>0.13742488780684281</v>
      </c>
      <c r="C772" s="12">
        <f>STDEV(Dados!E771:E800)*SQRT(252)</f>
        <v>0.11751605680010303</v>
      </c>
    </row>
    <row r="773" spans="1:3" ht="15" customHeight="1" x14ac:dyDescent="0.2">
      <c r="A773" s="11">
        <f>Dados!A801</f>
        <v>45607</v>
      </c>
      <c r="B773" s="12">
        <f>STDEV(Dados!D772:D801)*SQRT(252)</f>
        <v>0.137374305361014</v>
      </c>
      <c r="C773" s="12">
        <f>STDEV(Dados!E772:E801)*SQRT(252)</f>
        <v>0.11635709893373127</v>
      </c>
    </row>
    <row r="774" spans="1:3" ht="15" customHeight="1" x14ac:dyDescent="0.2">
      <c r="A774" s="11">
        <f>Dados!A802</f>
        <v>45608</v>
      </c>
      <c r="B774" s="12">
        <f>STDEV(Dados!D773:D802)*SQRT(252)</f>
        <v>0.13716700346529245</v>
      </c>
      <c r="C774" s="12">
        <f>STDEV(Dados!E773:E802)*SQRT(252)</f>
        <v>0.11488768071285137</v>
      </c>
    </row>
    <row r="775" spans="1:3" ht="15" customHeight="1" x14ac:dyDescent="0.2">
      <c r="A775" s="11">
        <f>Dados!A803</f>
        <v>45609</v>
      </c>
      <c r="B775" s="12">
        <f>STDEV(Dados!D774:D803)*SQRT(252)</f>
        <v>0.13538784369688223</v>
      </c>
      <c r="C775" s="12">
        <f>STDEV(Dados!E774:E803)*SQRT(252)</f>
        <v>0.11187132801770409</v>
      </c>
    </row>
    <row r="776" spans="1:3" ht="15" customHeight="1" x14ac:dyDescent="0.2">
      <c r="A776" s="11">
        <f>Dados!A804</f>
        <v>45610</v>
      </c>
      <c r="B776" s="12">
        <f>STDEV(Dados!D775:D804)*SQRT(252)</f>
        <v>0.12750733735959688</v>
      </c>
      <c r="C776" s="12">
        <f>STDEV(Dados!E775:E804)*SQRT(252)</f>
        <v>0.10557690347320181</v>
      </c>
    </row>
    <row r="777" spans="1:3" ht="15" customHeight="1" x14ac:dyDescent="0.2">
      <c r="A777" s="11">
        <f>Dados!A805</f>
        <v>45614</v>
      </c>
      <c r="B777" s="12">
        <f>STDEV(Dados!D776:D805)*SQRT(252)</f>
        <v>0.12817375506598255</v>
      </c>
      <c r="C777" s="12">
        <f>STDEV(Dados!E776:E805)*SQRT(252)</f>
        <v>0.10545231211240358</v>
      </c>
    </row>
    <row r="778" spans="1:3" ht="15" customHeight="1" x14ac:dyDescent="0.2">
      <c r="A778" s="11">
        <f>Dados!A806</f>
        <v>45615</v>
      </c>
      <c r="B778" s="12">
        <f>STDEV(Dados!D777:D806)*SQRT(252)</f>
        <v>0.12913067742535095</v>
      </c>
      <c r="C778" s="12">
        <f>STDEV(Dados!E777:E806)*SQRT(252)</f>
        <v>0.10592911422635452</v>
      </c>
    </row>
    <row r="779" spans="1:3" ht="15" customHeight="1" x14ac:dyDescent="0.2">
      <c r="A779" s="11">
        <f>Dados!A807</f>
        <v>45617</v>
      </c>
      <c r="B779" s="12">
        <f>STDEV(Dados!D778:D807)*SQRT(252)</f>
        <v>0.13325202572346273</v>
      </c>
      <c r="C779" s="12">
        <f>STDEV(Dados!E778:E807)*SQRT(252)</f>
        <v>0.1088361098750404</v>
      </c>
    </row>
    <row r="780" spans="1:3" ht="15" customHeight="1" x14ac:dyDescent="0.2">
      <c r="A780" s="11">
        <f>Dados!A808</f>
        <v>45618</v>
      </c>
      <c r="B780" s="12">
        <f>STDEV(Dados!D779:D808)*SQRT(252)</f>
        <v>0.13613799112024094</v>
      </c>
      <c r="C780" s="12">
        <f>STDEV(Dados!E779:E808)*SQRT(252)</f>
        <v>0.11641672103674292</v>
      </c>
    </row>
    <row r="781" spans="1:3" ht="15" customHeight="1" x14ac:dyDescent="0.2">
      <c r="A781" s="11">
        <f>Dados!A809</f>
        <v>45621</v>
      </c>
      <c r="B781" s="12">
        <f>STDEV(Dados!D780:D809)*SQRT(252)</f>
        <v>0.1360494846387437</v>
      </c>
      <c r="C781" s="12">
        <f>STDEV(Dados!E780:E809)*SQRT(252)</f>
        <v>0.1160209174623329</v>
      </c>
    </row>
    <row r="782" spans="1:3" ht="15" customHeight="1" x14ac:dyDescent="0.2">
      <c r="A782" s="11">
        <f>Dados!A810</f>
        <v>45622</v>
      </c>
      <c r="B782" s="12">
        <f>STDEV(Dados!D781:D810)*SQRT(252)</f>
        <v>0.13966271898735252</v>
      </c>
      <c r="C782" s="12">
        <f>STDEV(Dados!E781:E810)*SQRT(252)</f>
        <v>0.11760397391254554</v>
      </c>
    </row>
    <row r="783" spans="1:3" ht="15" customHeight="1" x14ac:dyDescent="0.2">
      <c r="A783" s="11">
        <f>Dados!A811</f>
        <v>45623</v>
      </c>
      <c r="B783" s="12">
        <f>STDEV(Dados!D782:D811)*SQRT(252)</f>
        <v>0.15387099458013415</v>
      </c>
      <c r="C783" s="12">
        <f>STDEV(Dados!E782:E811)*SQRT(252)</f>
        <v>0.12559300911033167</v>
      </c>
    </row>
    <row r="784" spans="1:3" ht="15" customHeight="1" x14ac:dyDescent="0.2">
      <c r="A784" s="11">
        <f>Dados!A812</f>
        <v>45624</v>
      </c>
      <c r="B784" s="12">
        <f>STDEV(Dados!D783:D812)*SQRT(252)</f>
        <v>0.1751928971759272</v>
      </c>
      <c r="C784" s="12">
        <f>STDEV(Dados!E783:E812)*SQRT(252)</f>
        <v>0.14262758372918122</v>
      </c>
    </row>
    <row r="785" spans="1:3" ht="15" customHeight="1" x14ac:dyDescent="0.2">
      <c r="A785" s="11">
        <f>Dados!A813</f>
        <v>45625</v>
      </c>
      <c r="B785" s="12">
        <f>STDEV(Dados!D784:D813)*SQRT(252)</f>
        <v>0.17586072597841357</v>
      </c>
      <c r="C785" s="12">
        <f>STDEV(Dados!E784:E813)*SQRT(252)</f>
        <v>0.14421891525935657</v>
      </c>
    </row>
    <row r="786" spans="1:3" ht="15" customHeight="1" x14ac:dyDescent="0.2">
      <c r="A786" s="11">
        <f>Dados!A814</f>
        <v>45628</v>
      </c>
      <c r="B786" s="12">
        <f>STDEV(Dados!D785:D814)*SQRT(252)</f>
        <v>0.17555165050200291</v>
      </c>
      <c r="C786" s="12">
        <f>STDEV(Dados!E785:E814)*SQRT(252)</f>
        <v>0.14332249025563842</v>
      </c>
    </row>
    <row r="787" spans="1:3" ht="15" customHeight="1" x14ac:dyDescent="0.2">
      <c r="A787" s="11">
        <f>Dados!A815</f>
        <v>45629</v>
      </c>
      <c r="B787" s="12">
        <f>STDEV(Dados!D786:D815)*SQRT(252)</f>
        <v>0.17802275853027844</v>
      </c>
      <c r="C787" s="12">
        <f>STDEV(Dados!E786:E815)*SQRT(252)</f>
        <v>0.14545577500562926</v>
      </c>
    </row>
    <row r="788" spans="1:3" ht="15" customHeight="1" x14ac:dyDescent="0.2">
      <c r="A788" s="11">
        <f>Dados!A816</f>
        <v>45630</v>
      </c>
      <c r="B788" s="12">
        <f>STDEV(Dados!D787:D816)*SQRT(252)</f>
        <v>0.17870351225370087</v>
      </c>
      <c r="C788" s="12">
        <f>STDEV(Dados!E787:E816)*SQRT(252)</f>
        <v>0.1454706673557806</v>
      </c>
    </row>
    <row r="789" spans="1:3" ht="15" customHeight="1" x14ac:dyDescent="0.2">
      <c r="A789" s="11">
        <f>Dados!A817</f>
        <v>45631</v>
      </c>
      <c r="B789" s="12">
        <f>STDEV(Dados!D788:D817)*SQRT(252)</f>
        <v>0.18368431256940376</v>
      </c>
      <c r="C789" s="12">
        <f>STDEV(Dados!E788:E817)*SQRT(252)</f>
        <v>0.15169476882214283</v>
      </c>
    </row>
    <row r="790" spans="1:3" ht="15" customHeight="1" x14ac:dyDescent="0.2">
      <c r="A790" s="11">
        <f>Dados!A818</f>
        <v>45632</v>
      </c>
      <c r="B790" s="12">
        <f>STDEV(Dados!D789:D818)*SQRT(252)</f>
        <v>0.18813314498517991</v>
      </c>
      <c r="C790" s="12">
        <f>STDEV(Dados!E789:E818)*SQRT(252)</f>
        <v>0.15684815807259528</v>
      </c>
    </row>
    <row r="791" spans="1:3" ht="15" customHeight="1" x14ac:dyDescent="0.2">
      <c r="A791" s="11">
        <f>Dados!A819</f>
        <v>45635</v>
      </c>
      <c r="B791" s="12">
        <f>STDEV(Dados!D790:D819)*SQRT(252)</f>
        <v>0.18646221778378713</v>
      </c>
      <c r="C791" s="12">
        <f>STDEV(Dados!E790:E819)*SQRT(252)</f>
        <v>0.15861173116008226</v>
      </c>
    </row>
    <row r="792" spans="1:3" ht="15" customHeight="1" x14ac:dyDescent="0.2">
      <c r="A792" s="11">
        <f>Dados!A820</f>
        <v>45636</v>
      </c>
      <c r="B792" s="12">
        <f>STDEV(Dados!D791:D820)*SQRT(252)</f>
        <v>0.18782991397908322</v>
      </c>
      <c r="C792" s="12">
        <f>STDEV(Dados!E791:E820)*SQRT(252)</f>
        <v>0.16058908474982403</v>
      </c>
    </row>
    <row r="793" spans="1:3" ht="15" customHeight="1" x14ac:dyDescent="0.2">
      <c r="A793" s="11">
        <f>Dados!A821</f>
        <v>45637</v>
      </c>
      <c r="B793" s="12">
        <f>STDEV(Dados!D792:D821)*SQRT(252)</f>
        <v>0.19136785360523387</v>
      </c>
      <c r="C793" s="12">
        <f>STDEV(Dados!E792:E821)*SQRT(252)</f>
        <v>0.16086741379131808</v>
      </c>
    </row>
    <row r="794" spans="1:3" ht="15" customHeight="1" x14ac:dyDescent="0.2">
      <c r="A794" s="11">
        <f>Dados!A822</f>
        <v>45638</v>
      </c>
      <c r="B794" s="12">
        <f>STDEV(Dados!D793:D822)*SQRT(252)</f>
        <v>0.20989099413713821</v>
      </c>
      <c r="C794" s="12">
        <f>STDEV(Dados!E793:E822)*SQRT(252)</f>
        <v>0.17923822113036242</v>
      </c>
    </row>
    <row r="795" spans="1:3" ht="15" customHeight="1" x14ac:dyDescent="0.2">
      <c r="A795" s="11">
        <f>Dados!A823</f>
        <v>45639</v>
      </c>
      <c r="B795" s="12">
        <f>STDEV(Dados!D794:D823)*SQRT(252)</f>
        <v>0.21213298236907172</v>
      </c>
      <c r="C795" s="12">
        <f>STDEV(Dados!E794:E823)*SQRT(252)</f>
        <v>0.18164129365425585</v>
      </c>
    </row>
    <row r="796" spans="1:3" ht="15" customHeight="1" x14ac:dyDescent="0.2">
      <c r="A796" s="11">
        <f>Dados!A824</f>
        <v>45642</v>
      </c>
      <c r="B796" s="12">
        <f>STDEV(Dados!D795:D824)*SQRT(252)</f>
        <v>0.2133404264282123</v>
      </c>
      <c r="C796" s="12">
        <f>STDEV(Dados!E795:E824)*SQRT(252)</f>
        <v>0.18204548972128087</v>
      </c>
    </row>
    <row r="797" spans="1:3" ht="15" customHeight="1" x14ac:dyDescent="0.2">
      <c r="A797" s="11">
        <f>Dados!A825</f>
        <v>45643</v>
      </c>
      <c r="B797" s="12">
        <f>STDEV(Dados!D796:D825)*SQRT(252)</f>
        <v>0.21320682897595938</v>
      </c>
      <c r="C797" s="12">
        <f>STDEV(Dados!E796:E825)*SQRT(252)</f>
        <v>0.18170692987591994</v>
      </c>
    </row>
    <row r="798" spans="1:3" ht="15" customHeight="1" x14ac:dyDescent="0.2">
      <c r="A798" s="11">
        <f>Dados!A826</f>
        <v>45644</v>
      </c>
      <c r="B798" s="12">
        <f>STDEV(Dados!D797:D826)*SQRT(252)</f>
        <v>0.22031661318201204</v>
      </c>
      <c r="C798" s="12">
        <f>STDEV(Dados!E797:E826)*SQRT(252)</f>
        <v>0.19339321432937748</v>
      </c>
    </row>
    <row r="799" spans="1:3" ht="15" customHeight="1" x14ac:dyDescent="0.2">
      <c r="A799" s="11">
        <f>Dados!A827</f>
        <v>45645</v>
      </c>
      <c r="B799" s="12">
        <f>STDEV(Dados!D798:D827)*SQRT(252)</f>
        <v>0.22240482100218129</v>
      </c>
      <c r="C799" s="12">
        <f>STDEV(Dados!E798:E827)*SQRT(252)</f>
        <v>0.19389573817641009</v>
      </c>
    </row>
    <row r="800" spans="1:3" ht="15" customHeight="1" x14ac:dyDescent="0.2">
      <c r="A800" s="11">
        <f>Dados!A828</f>
        <v>45646</v>
      </c>
      <c r="B800" s="12">
        <f>STDEV(Dados!D799:D828)*SQRT(252)</f>
        <v>0.22481639459558492</v>
      </c>
      <c r="C800" s="12">
        <f>STDEV(Dados!E799:E828)*SQRT(252)</f>
        <v>0.19606028979041057</v>
      </c>
    </row>
    <row r="801" spans="1:3" ht="15" customHeight="1" x14ac:dyDescent="0.2">
      <c r="A801" s="11">
        <f>Dados!A829</f>
        <v>45649</v>
      </c>
      <c r="B801" s="12">
        <f>STDEV(Dados!D800:D829)*SQRT(252)</f>
        <v>0.22572320902732834</v>
      </c>
      <c r="C801" s="12">
        <f>STDEV(Dados!E800:E829)*SQRT(252)</f>
        <v>0.19756600839361882</v>
      </c>
    </row>
    <row r="802" spans="1:3" ht="15" customHeight="1" x14ac:dyDescent="0.2">
      <c r="A802" s="11">
        <f>Dados!A830</f>
        <v>45652</v>
      </c>
      <c r="B802" s="12">
        <f>STDEV(Dados!D801:D830)*SQRT(252)</f>
        <v>0.22423045169476671</v>
      </c>
      <c r="C802" s="12">
        <f>STDEV(Dados!E801:E830)*SQRT(252)</f>
        <v>0.19470036505618973</v>
      </c>
    </row>
    <row r="803" spans="1:3" ht="15" customHeight="1" x14ac:dyDescent="0.2">
      <c r="A803" s="11">
        <f>Dados!A831</f>
        <v>45653</v>
      </c>
      <c r="B803" s="12">
        <f>STDEV(Dados!D802:D831)*SQRT(252)</f>
        <v>0.22326267831284446</v>
      </c>
      <c r="C803" s="12">
        <f>STDEV(Dados!E802:E831)*SQRT(252)</f>
        <v>0.19509431302339814</v>
      </c>
    </row>
    <row r="804" spans="1:3" ht="15" customHeight="1" x14ac:dyDescent="0.2">
      <c r="A804" s="11">
        <f>Dados!A832</f>
        <v>45656</v>
      </c>
      <c r="B804" s="12">
        <f>STDEV(Dados!D803:D832)*SQRT(252)</f>
        <v>0.22328758710750496</v>
      </c>
      <c r="C804" s="12">
        <f>STDEV(Dados!E803:E832)*SQRT(252)</f>
        <v>0.19518666697871989</v>
      </c>
    </row>
    <row r="805" spans="1:3" ht="15" customHeight="1" x14ac:dyDescent="0.2">
      <c r="A805" s="11">
        <f>Dados!A833</f>
        <v>45659</v>
      </c>
      <c r="B805" s="12">
        <f>STDEV(Dados!D804:D833)*SQRT(252)</f>
        <v>0.2229163811696708</v>
      </c>
      <c r="C805" s="12">
        <f>STDEV(Dados!E804:E833)*SQRT(252)</f>
        <v>0.19507972754733491</v>
      </c>
    </row>
    <row r="806" spans="1:3" ht="15" customHeight="1" x14ac:dyDescent="0.2">
      <c r="A806" s="11">
        <f>Dados!A834</f>
        <v>45660</v>
      </c>
      <c r="B806" s="12">
        <f>STDEV(Dados!D805:D834)*SQRT(252)</f>
        <v>0.22527271821116857</v>
      </c>
      <c r="C806" s="12">
        <f>STDEV(Dados!E805:E834)*SQRT(252)</f>
        <v>0.19762353303699937</v>
      </c>
    </row>
    <row r="807" spans="1:3" ht="15" customHeight="1" x14ac:dyDescent="0.2">
      <c r="A807" s="11">
        <f>Dados!A835</f>
        <v>45663</v>
      </c>
      <c r="B807" s="12">
        <f>STDEV(Dados!D806:D835)*SQRT(252)</f>
        <v>0.23825760432857729</v>
      </c>
      <c r="C807" s="12">
        <f>STDEV(Dados!E806:E835)*SQRT(252)</f>
        <v>0.20227350284427184</v>
      </c>
    </row>
    <row r="808" spans="1:3" ht="15" customHeight="1" x14ac:dyDescent="0.2">
      <c r="A808" s="11">
        <f>Dados!A836</f>
        <v>45664</v>
      </c>
      <c r="B808" s="12">
        <f>STDEV(Dados!D807:D836)*SQRT(252)</f>
        <v>0.2396030925244137</v>
      </c>
      <c r="C808" s="12">
        <f>STDEV(Dados!E807:E836)*SQRT(252)</f>
        <v>0.20446370341576384</v>
      </c>
    </row>
    <row r="809" spans="1:3" ht="15" customHeight="1" x14ac:dyDescent="0.2">
      <c r="A809" s="11">
        <f>Dados!A837</f>
        <v>45665</v>
      </c>
      <c r="B809" s="12">
        <f>STDEV(Dados!D808:D837)*SQRT(252)</f>
        <v>0.24076378762048667</v>
      </c>
      <c r="C809" s="12">
        <f>STDEV(Dados!E808:E837)*SQRT(252)</f>
        <v>0.20557788859126969</v>
      </c>
    </row>
    <row r="810" spans="1:3" ht="15" customHeight="1" x14ac:dyDescent="0.2">
      <c r="A810" s="11">
        <f>Dados!A838</f>
        <v>45666</v>
      </c>
      <c r="B810" s="12">
        <f>STDEV(Dados!D809:D838)*SQRT(252)</f>
        <v>0.23471704453107797</v>
      </c>
      <c r="C810" s="12">
        <f>STDEV(Dados!E809:E838)*SQRT(252)</f>
        <v>0.19769252693364769</v>
      </c>
    </row>
    <row r="811" spans="1:3" ht="15" customHeight="1" x14ac:dyDescent="0.2">
      <c r="A811" s="11">
        <f>Dados!A839</f>
        <v>45667</v>
      </c>
      <c r="B811" s="12">
        <f>STDEV(Dados!D810:D839)*SQRT(252)</f>
        <v>0.23760547145867505</v>
      </c>
      <c r="C811" s="12">
        <f>STDEV(Dados!E810:E839)*SQRT(252)</f>
        <v>0.19818904850392688</v>
      </c>
    </row>
    <row r="812" spans="1:3" ht="15" customHeight="1" x14ac:dyDescent="0.2">
      <c r="A812" s="11">
        <f>Dados!A840</f>
        <v>45670</v>
      </c>
      <c r="B812" s="12">
        <f>STDEV(Dados!D811:D840)*SQRT(252)</f>
        <v>0.23299406536397679</v>
      </c>
      <c r="C812" s="12">
        <f>STDEV(Dados!E811:E840)*SQRT(252)</f>
        <v>0.19649859705151351</v>
      </c>
    </row>
    <row r="813" spans="1:3" ht="15" customHeight="1" x14ac:dyDescent="0.2">
      <c r="A813" s="11">
        <f>Dados!A841</f>
        <v>45671</v>
      </c>
      <c r="B813" s="12">
        <f>STDEV(Dados!D812:D841)*SQRT(252)</f>
        <v>0.22627847930608735</v>
      </c>
      <c r="C813" s="12">
        <f>STDEV(Dados!E812:E841)*SQRT(252)</f>
        <v>0.19210248858387666</v>
      </c>
    </row>
    <row r="814" spans="1:3" ht="15" customHeight="1" x14ac:dyDescent="0.2">
      <c r="A814" s="11">
        <f>Dados!A842</f>
        <v>45672</v>
      </c>
      <c r="B814" s="12">
        <f>STDEV(Dados!D813:D842)*SQRT(252)</f>
        <v>0.23927959624342318</v>
      </c>
      <c r="C814" s="12">
        <f>STDEV(Dados!E813:E842)*SQRT(252)</f>
        <v>0.19929823253710788</v>
      </c>
    </row>
    <row r="815" spans="1:3" ht="15" customHeight="1" x14ac:dyDescent="0.2">
      <c r="A815" s="11">
        <f>Dados!A843</f>
        <v>45673</v>
      </c>
      <c r="B815" s="12">
        <f>STDEV(Dados!D814:D843)*SQRT(252)</f>
        <v>0.24322083755293053</v>
      </c>
      <c r="C815" s="12">
        <f>STDEV(Dados!E814:E843)*SQRT(252)</f>
        <v>0.19992358841441843</v>
      </c>
    </row>
    <row r="816" spans="1:3" ht="15" customHeight="1" x14ac:dyDescent="0.2">
      <c r="A816" s="11">
        <f>Dados!A844</f>
        <v>45674</v>
      </c>
      <c r="B816" s="12">
        <f>STDEV(Dados!D815:D844)*SQRT(252)</f>
        <v>0.24348494496429895</v>
      </c>
      <c r="C816" s="12">
        <f>STDEV(Dados!E815:E844)*SQRT(252)</f>
        <v>0.20202061168431157</v>
      </c>
    </row>
    <row r="817" spans="1:3" ht="15" customHeight="1" x14ac:dyDescent="0.2">
      <c r="A817" s="11">
        <f>Dados!A845</f>
        <v>45677</v>
      </c>
      <c r="B817" s="12">
        <f>STDEV(Dados!D816:D845)*SQRT(252)</f>
        <v>0.24260183826302675</v>
      </c>
      <c r="C817" s="12">
        <f>STDEV(Dados!E816:E845)*SQRT(252)</f>
        <v>0.20116435260119336</v>
      </c>
    </row>
    <row r="818" spans="1:3" ht="15" customHeight="1" x14ac:dyDescent="0.2">
      <c r="A818" s="11">
        <f>Dados!A846</f>
        <v>45678</v>
      </c>
      <c r="B818" s="12">
        <f>STDEV(Dados!D817:D846)*SQRT(252)</f>
        <v>0.24314794330886416</v>
      </c>
      <c r="C818" s="12">
        <f>STDEV(Dados!E817:E846)*SQRT(252)</f>
        <v>0.20164380040434482</v>
      </c>
    </row>
    <row r="819" spans="1:3" ht="15" customHeight="1" x14ac:dyDescent="0.2">
      <c r="A819" s="11">
        <f>Dados!A847</f>
        <v>45679</v>
      </c>
      <c r="B819" s="12">
        <f>STDEV(Dados!D818:D847)*SQRT(252)</f>
        <v>0.23996438102698767</v>
      </c>
      <c r="C819" s="12">
        <f>STDEV(Dados!E818:E847)*SQRT(252)</f>
        <v>0.19684359368100027</v>
      </c>
    </row>
    <row r="820" spans="1:3" ht="15" customHeight="1" x14ac:dyDescent="0.2">
      <c r="A820" s="11">
        <f>Dados!A848</f>
        <v>45680</v>
      </c>
      <c r="B820" s="12">
        <f>STDEV(Dados!D819:D848)*SQRT(252)</f>
        <v>0.23694851239714573</v>
      </c>
      <c r="C820" s="12">
        <f>STDEV(Dados!E819:E848)*SQRT(252)</f>
        <v>0.192684326847015</v>
      </c>
    </row>
    <row r="821" spans="1:3" ht="15" customHeight="1" x14ac:dyDescent="0.2">
      <c r="A821" s="11">
        <f>Dados!A849</f>
        <v>45681</v>
      </c>
      <c r="B821" s="12">
        <f>STDEV(Dados!D820:D849)*SQRT(252)</f>
        <v>0.23683823587696573</v>
      </c>
      <c r="C821" s="12">
        <f>STDEV(Dados!E820:E849)*SQRT(252)</f>
        <v>0.18990738042488658</v>
      </c>
    </row>
    <row r="822" spans="1:3" ht="15" customHeight="1" x14ac:dyDescent="0.2">
      <c r="A822" s="11">
        <f>Dados!A850</f>
        <v>45684</v>
      </c>
      <c r="B822" s="12">
        <f>STDEV(Dados!D821:D850)*SQRT(252)</f>
        <v>0.24797230257886743</v>
      </c>
      <c r="C822" s="12">
        <f>STDEV(Dados!E821:E850)*SQRT(252)</f>
        <v>0.19759630943492834</v>
      </c>
    </row>
    <row r="823" spans="1:3" ht="15" customHeight="1" x14ac:dyDescent="0.2">
      <c r="A823" s="11">
        <f>Dados!A851</f>
        <v>45685</v>
      </c>
      <c r="B823" s="12">
        <f>STDEV(Dados!D822:D851)*SQRT(252)</f>
        <v>0.24315153353706662</v>
      </c>
      <c r="C823" s="12">
        <f>STDEV(Dados!E822:E851)*SQRT(252)</f>
        <v>0.19515916930607674</v>
      </c>
    </row>
    <row r="824" spans="1:3" ht="15" customHeight="1" x14ac:dyDescent="0.2">
      <c r="A824" s="11">
        <f>Dados!A852</f>
        <v>45686</v>
      </c>
      <c r="B824" s="12">
        <f>STDEV(Dados!D823:D852)*SQRT(252)</f>
        <v>0.22725706667772089</v>
      </c>
      <c r="C824" s="12">
        <f>STDEV(Dados!E823:E852)*SQRT(252)</f>
        <v>0.17895737291953948</v>
      </c>
    </row>
    <row r="825" spans="1:3" ht="15" customHeight="1" x14ac:dyDescent="0.2">
      <c r="A825" s="11">
        <f>Dados!A853</f>
        <v>45687</v>
      </c>
      <c r="B825" s="12">
        <f>STDEV(Dados!D824:D853)*SQRT(252)</f>
        <v>0.24380787139267682</v>
      </c>
      <c r="C825" s="12">
        <f>STDEV(Dados!E824:E853)*SQRT(252)</f>
        <v>0.19402443491195795</v>
      </c>
    </row>
    <row r="826" spans="1:3" ht="15" customHeight="1" x14ac:dyDescent="0.2">
      <c r="A826" s="11">
        <f>Dados!A854</f>
        <v>45688</v>
      </c>
      <c r="B826" s="12">
        <f>STDEV(Dados!D825:D854)*SQRT(252)</f>
        <v>0.24237976504228573</v>
      </c>
      <c r="C826" s="12">
        <f>STDEV(Dados!E825:E854)*SQRT(252)</f>
        <v>0.193192129286725</v>
      </c>
    </row>
    <row r="827" spans="1:3" ht="15" customHeight="1" x14ac:dyDescent="0.2">
      <c r="A827" s="11">
        <f>Dados!A855</f>
        <v>45691</v>
      </c>
      <c r="B827" s="12">
        <f>STDEV(Dados!D826:D855)*SQRT(252)</f>
        <v>0.24158473490628071</v>
      </c>
      <c r="C827" s="12">
        <f>STDEV(Dados!E826:E855)*SQRT(252)</f>
        <v>0.19157532196180863</v>
      </c>
    </row>
    <row r="828" spans="1:3" ht="15" customHeight="1" x14ac:dyDescent="0.2">
      <c r="A828" s="11">
        <f>Dados!A856</f>
        <v>45692</v>
      </c>
      <c r="B828" s="12">
        <f>STDEV(Dados!D827:D856)*SQRT(252)</f>
        <v>0.21867437586588451</v>
      </c>
      <c r="C828" s="12">
        <f>STDEV(Dados!E827:E856)*SQRT(252)</f>
        <v>0.16686722137828078</v>
      </c>
    </row>
    <row r="829" spans="1:3" ht="15" customHeight="1" x14ac:dyDescent="0.2">
      <c r="A829" s="11">
        <f>Dados!A857</f>
        <v>45693</v>
      </c>
      <c r="B829" s="12">
        <f>STDEV(Dados!D828:D857)*SQRT(252)</f>
        <v>0.21752444256196951</v>
      </c>
      <c r="C829" s="12">
        <f>STDEV(Dados!E828:E857)*SQRT(252)</f>
        <v>0.16682914736104587</v>
      </c>
    </row>
    <row r="830" spans="1:3" ht="15" customHeight="1" x14ac:dyDescent="0.2">
      <c r="A830" s="11">
        <f>Dados!A858</f>
        <v>45694</v>
      </c>
      <c r="B830" s="12">
        <f>STDEV(Dados!D829:D858)*SQRT(252)</f>
        <v>0.21738017207808311</v>
      </c>
      <c r="C830" s="12">
        <f>STDEV(Dados!E829:E858)*SQRT(252)</f>
        <v>0.16626293699777581</v>
      </c>
    </row>
    <row r="831" spans="1:3" ht="15" customHeight="1" x14ac:dyDescent="0.2">
      <c r="A831" s="11">
        <f>Dados!A859</f>
        <v>45695</v>
      </c>
      <c r="B831" s="12">
        <f>STDEV(Dados!D830:D859)*SQRT(252)</f>
        <v>0.21707213227170977</v>
      </c>
      <c r="C831" s="12">
        <f>STDEV(Dados!E830:E859)*SQRT(252)</f>
        <v>0.16748680750806791</v>
      </c>
    </row>
    <row r="832" spans="1:3" ht="15" customHeight="1" x14ac:dyDescent="0.2">
      <c r="A832" s="11">
        <f>Dados!A860</f>
        <v>45698</v>
      </c>
      <c r="B832" s="12">
        <f>STDEV(Dados!D831:D860)*SQRT(252)</f>
        <v>0.21781059825958798</v>
      </c>
      <c r="C832" s="12">
        <f>STDEV(Dados!E831:E860)*SQRT(252)</f>
        <v>0.16852154295627766</v>
      </c>
    </row>
    <row r="833" spans="1:3" ht="15" customHeight="1" x14ac:dyDescent="0.2">
      <c r="A833" s="11">
        <f>Dados!A861</f>
        <v>45699</v>
      </c>
      <c r="B833" s="12">
        <f>STDEV(Dados!D832:D861)*SQRT(252)</f>
        <v>0.21934819195943017</v>
      </c>
      <c r="C833" s="12">
        <f>STDEV(Dados!E832:E861)*SQRT(252)</f>
        <v>0.16775925191215138</v>
      </c>
    </row>
    <row r="834" spans="1:3" ht="15" customHeight="1" x14ac:dyDescent="0.2">
      <c r="A834" s="11">
        <f>Dados!A862</f>
        <v>45700</v>
      </c>
      <c r="B834" s="12">
        <f>STDEV(Dados!D833:D862)*SQRT(252)</f>
        <v>0.22559159473352169</v>
      </c>
      <c r="C834" s="12">
        <f>STDEV(Dados!E833:E862)*SQRT(252)</f>
        <v>0.17633968270161485</v>
      </c>
    </row>
    <row r="835" spans="1:3" ht="15" customHeight="1" x14ac:dyDescent="0.2">
      <c r="A835" s="11">
        <f>Dados!A863</f>
        <v>45701</v>
      </c>
      <c r="B835" s="12">
        <f>STDEV(Dados!D834:D863)*SQRT(252)</f>
        <v>0.22523524320842395</v>
      </c>
      <c r="C835" s="12">
        <f>STDEV(Dados!E834:E863)*SQRT(252)</f>
        <v>0.1763465390435186</v>
      </c>
    </row>
    <row r="836" spans="1:3" ht="15" customHeight="1" x14ac:dyDescent="0.2">
      <c r="A836" s="11">
        <f>Dados!A864</f>
        <v>45702</v>
      </c>
      <c r="B836" s="12">
        <f>STDEV(Dados!D835:D864)*SQRT(252)</f>
        <v>0.23331065361930878</v>
      </c>
      <c r="C836" s="12">
        <f>STDEV(Dados!E835:E864)*SQRT(252)</f>
        <v>0.18535427207922839</v>
      </c>
    </row>
    <row r="837" spans="1:3" ht="15" customHeight="1" x14ac:dyDescent="0.2">
      <c r="A837" s="11">
        <f>Dados!A865</f>
        <v>45705</v>
      </c>
      <c r="B837" s="12">
        <f>STDEV(Dados!D836:D865)*SQRT(252)</f>
        <v>0.22601952451109464</v>
      </c>
      <c r="C837" s="12">
        <f>STDEV(Dados!E836:E865)*SQRT(252)</f>
        <v>0.18298129260640897</v>
      </c>
    </row>
    <row r="838" spans="1:3" ht="15" customHeight="1" x14ac:dyDescent="0.2">
      <c r="A838" s="11">
        <f>Dados!A866</f>
        <v>45706</v>
      </c>
      <c r="B838" s="12">
        <f>STDEV(Dados!D837:D866)*SQRT(252)</f>
        <v>0.22665189047478898</v>
      </c>
      <c r="C838" s="12">
        <f>STDEV(Dados!E837:E866)*SQRT(252)</f>
        <v>0.18182455080882989</v>
      </c>
    </row>
    <row r="839" spans="1:3" ht="15" customHeight="1" x14ac:dyDescent="0.2">
      <c r="A839" s="11">
        <f>Dados!A867</f>
        <v>45707</v>
      </c>
      <c r="B839" s="12">
        <f>STDEV(Dados!D838:D867)*SQRT(252)</f>
        <v>0.22799657165972703</v>
      </c>
      <c r="C839" s="12">
        <f>STDEV(Dados!E838:E867)*SQRT(252)</f>
        <v>0.17978709573903651</v>
      </c>
    </row>
    <row r="840" spans="1:3" ht="15" customHeight="1" x14ac:dyDescent="0.2">
      <c r="A840" s="11">
        <f>Dados!A868</f>
        <v>45708</v>
      </c>
      <c r="B840" s="12">
        <f>STDEV(Dados!D839:D868)*SQRT(252)</f>
        <v>0.22827207464123073</v>
      </c>
      <c r="C840" s="12">
        <f>STDEV(Dados!E839:E868)*SQRT(252)</f>
        <v>0.17977303382289042</v>
      </c>
    </row>
    <row r="841" spans="1:3" ht="15" customHeight="1" x14ac:dyDescent="0.2">
      <c r="A841" s="11">
        <f>Dados!A869</f>
        <v>45709</v>
      </c>
      <c r="B841" s="12">
        <f>STDEV(Dados!D840:D869)*SQRT(252)</f>
        <v>0.22399955916047765</v>
      </c>
      <c r="C841" s="12">
        <f>STDEV(Dados!E840:E869)*SQRT(252)</f>
        <v>0.17822248937362159</v>
      </c>
    </row>
    <row r="842" spans="1:3" ht="15" customHeight="1" x14ac:dyDescent="0.2">
      <c r="A842" s="11">
        <f>Dados!A870</f>
        <v>45712</v>
      </c>
      <c r="B842" s="12">
        <f>STDEV(Dados!D841:D870)*SQRT(252)</f>
        <v>0.23243860267300301</v>
      </c>
      <c r="C842" s="12">
        <f>STDEV(Dados!E841:E870)*SQRT(252)</f>
        <v>0.18410005925084116</v>
      </c>
    </row>
    <row r="843" spans="1:3" ht="15" customHeight="1" x14ac:dyDescent="0.2">
      <c r="A843" s="11">
        <f>Dados!A871</f>
        <v>45713</v>
      </c>
      <c r="B843" s="12">
        <f>STDEV(Dados!D842:D871)*SQRT(252)</f>
        <v>0.23301381835885779</v>
      </c>
      <c r="C843" s="12">
        <f>STDEV(Dados!E842:E871)*SQRT(252)</f>
        <v>0.18427787152113675</v>
      </c>
    </row>
    <row r="844" spans="1:3" ht="15" customHeight="1" x14ac:dyDescent="0.2">
      <c r="A844" s="11">
        <f>Dados!A872</f>
        <v>45714</v>
      </c>
      <c r="B844" s="12">
        <f>STDEV(Dados!D843:D872)*SQRT(252)</f>
        <v>0.21413742004746372</v>
      </c>
      <c r="C844" s="12">
        <f>STDEV(Dados!E843:E872)*SQRT(252)</f>
        <v>0.1699286823865338</v>
      </c>
    </row>
    <row r="845" spans="1:3" ht="15" customHeight="1" x14ac:dyDescent="0.2">
      <c r="A845" s="11">
        <f>Dados!A873</f>
        <v>45715</v>
      </c>
      <c r="B845" s="12">
        <f>STDEV(Dados!D844:D873)*SQRT(252)</f>
        <v>0.20744933794955911</v>
      </c>
      <c r="C845" s="12">
        <f>STDEV(Dados!E844:E873)*SQRT(252)</f>
        <v>0.16597050734055324</v>
      </c>
    </row>
    <row r="846" spans="1:3" ht="15" customHeight="1" x14ac:dyDescent="0.2">
      <c r="A846" s="11">
        <f>Dados!A874</f>
        <v>45716</v>
      </c>
      <c r="B846" s="12">
        <f>STDEV(Dados!D845:D874)*SQRT(252)</f>
        <v>0.21932981019670317</v>
      </c>
      <c r="C846" s="12">
        <f>STDEV(Dados!E845:E874)*SQRT(252)</f>
        <v>0.1712425623224067</v>
      </c>
    </row>
    <row r="847" spans="1:3" ht="15" customHeight="1" x14ac:dyDescent="0.2">
      <c r="A847" s="11">
        <f>Dados!A875</f>
        <v>45721</v>
      </c>
      <c r="B847" s="12">
        <f>STDEV(Dados!D846:D875)*SQRT(252)</f>
        <v>0.22038129728335887</v>
      </c>
      <c r="C847" s="12">
        <f>STDEV(Dados!E846:E875)*SQRT(252)</f>
        <v>0.17092435506985254</v>
      </c>
    </row>
    <row r="848" spans="1:3" ht="15" customHeight="1" x14ac:dyDescent="0.2">
      <c r="A848" s="11">
        <f>Dados!A876</f>
        <v>45722</v>
      </c>
      <c r="B848" s="12">
        <f>STDEV(Dados!D847:D876)*SQRT(252)</f>
        <v>0.21995349520660917</v>
      </c>
      <c r="C848" s="12">
        <f>STDEV(Dados!E847:E876)*SQRT(252)</f>
        <v>0.17069686720872299</v>
      </c>
    </row>
    <row r="849" spans="1:3" ht="15" customHeight="1" x14ac:dyDescent="0.2">
      <c r="A849" s="11">
        <f>Dados!A877</f>
        <v>45723</v>
      </c>
      <c r="B849" s="12">
        <f>STDEV(Dados!D848:D877)*SQRT(252)</f>
        <v>0.22296136303993827</v>
      </c>
      <c r="C849" s="12">
        <f>STDEV(Dados!E848:E877)*SQRT(252)</f>
        <v>0.1748282050629946</v>
      </c>
    </row>
    <row r="850" spans="1:3" ht="15" customHeight="1" x14ac:dyDescent="0.2">
      <c r="A850" s="11">
        <f>Dados!A878</f>
        <v>45726</v>
      </c>
      <c r="B850" s="12">
        <f>STDEV(Dados!D849:D878)*SQRT(252)</f>
        <v>0.22318092707681134</v>
      </c>
      <c r="C850" s="12">
        <f>STDEV(Dados!E849:E878)*SQRT(252)</f>
        <v>0.17486280230082199</v>
      </c>
    </row>
    <row r="851" spans="1:3" ht="15" customHeight="1" x14ac:dyDescent="0.2">
      <c r="A851" s="11">
        <f>Dados!A879</f>
        <v>45727</v>
      </c>
      <c r="B851" s="12">
        <f>STDEV(Dados!D850:D879)*SQRT(252)</f>
        <v>0.22494451952081485</v>
      </c>
      <c r="C851" s="12">
        <f>STDEV(Dados!E850:E879)*SQRT(252)</f>
        <v>0.17666954413407554</v>
      </c>
    </row>
    <row r="852" spans="1:3" ht="15" customHeight="1" x14ac:dyDescent="0.2">
      <c r="A852" s="11">
        <f>Dados!A880</f>
        <v>45728</v>
      </c>
      <c r="B852" s="12">
        <f>STDEV(Dados!D851:D880)*SQRT(252)</f>
        <v>0.21285343183155239</v>
      </c>
      <c r="C852" s="12">
        <f>STDEV(Dados!E851:E880)*SQRT(252)</f>
        <v>0.16725036871888604</v>
      </c>
    </row>
    <row r="853" spans="1:3" ht="15" customHeight="1" x14ac:dyDescent="0.2">
      <c r="A853" s="11">
        <f>Dados!A881</f>
        <v>45729</v>
      </c>
      <c r="B853" s="12">
        <f>STDEV(Dados!D852:D881)*SQRT(252)</f>
        <v>0.21973710271717695</v>
      </c>
      <c r="C853" s="12">
        <f>STDEV(Dados!E852:E881)*SQRT(252)</f>
        <v>0.17127680754322447</v>
      </c>
    </row>
    <row r="854" spans="1:3" ht="15" customHeight="1" x14ac:dyDescent="0.2">
      <c r="A854" s="11">
        <f>Dados!A882</f>
        <v>45730</v>
      </c>
      <c r="B854" s="12">
        <f>STDEV(Dados!D853:D882)*SQRT(252)</f>
        <v>0.23544203421437879</v>
      </c>
      <c r="C854" s="12">
        <f>STDEV(Dados!E853:E882)*SQRT(252)</f>
        <v>0.18578818783299483</v>
      </c>
    </row>
    <row r="855" spans="1:3" ht="15" customHeight="1" x14ac:dyDescent="0.2">
      <c r="A855" s="11">
        <f>Dados!A883</f>
        <v>45733</v>
      </c>
      <c r="B855" s="12">
        <f>STDEV(Dados!D854:D883)*SQRT(252)</f>
        <v>0.21832850185923242</v>
      </c>
      <c r="C855" s="12">
        <f>STDEV(Dados!E854:E883)*SQRT(252)</f>
        <v>0.17290965867592648</v>
      </c>
    </row>
    <row r="856" spans="1:3" ht="15" customHeight="1" x14ac:dyDescent="0.2">
      <c r="A856" s="11">
        <f>Dados!A884</f>
        <v>45734</v>
      </c>
      <c r="B856" s="12">
        <f>STDEV(Dados!D855:D884)*SQRT(252)</f>
        <v>0.2174612799691559</v>
      </c>
      <c r="C856" s="12">
        <f>STDEV(Dados!E855:E884)*SQRT(252)</f>
        <v>0.17189221128786569</v>
      </c>
    </row>
    <row r="857" spans="1:3" ht="15" customHeight="1" x14ac:dyDescent="0.2">
      <c r="A857" s="11">
        <f>Dados!A885</f>
        <v>45735</v>
      </c>
      <c r="B857" s="12">
        <f>STDEV(Dados!D856:D885)*SQRT(252)</f>
        <v>0.21934394475568578</v>
      </c>
      <c r="C857" s="12">
        <f>STDEV(Dados!E856:E885)*SQRT(252)</f>
        <v>0.17268667166786222</v>
      </c>
    </row>
    <row r="858" spans="1:3" ht="15" customHeight="1" x14ac:dyDescent="0.2">
      <c r="A858" s="11">
        <f>Dados!A886</f>
        <v>45736</v>
      </c>
      <c r="B858" s="12">
        <f>STDEV(Dados!D857:D886)*SQRT(252)</f>
        <v>0.22006808886332649</v>
      </c>
      <c r="C858" s="12">
        <f>STDEV(Dados!E857:E886)*SQRT(252)</f>
        <v>0.17183753514859429</v>
      </c>
    </row>
    <row r="859" spans="1:3" ht="15" customHeight="1" x14ac:dyDescent="0.2">
      <c r="A859" s="11">
        <f>Dados!A887</f>
        <v>45737</v>
      </c>
      <c r="B859" s="12">
        <f>STDEV(Dados!D858:D887)*SQRT(252)</f>
        <v>0.22037804676892112</v>
      </c>
      <c r="C859" s="12">
        <f>STDEV(Dados!E858:E887)*SQRT(252)</f>
        <v>0.17182887210327452</v>
      </c>
    </row>
    <row r="860" spans="1:3" ht="15" customHeight="1" x14ac:dyDescent="0.2">
      <c r="A860" s="11">
        <f>Dados!A888</f>
        <v>45740</v>
      </c>
      <c r="B860" s="12">
        <f>STDEV(Dados!D859:D888)*SQRT(252)</f>
        <v>0.22178246107939723</v>
      </c>
      <c r="C860" s="12">
        <f>STDEV(Dados!E859:E888)*SQRT(252)</f>
        <v>0.17361580808484856</v>
      </c>
    </row>
    <row r="861" spans="1:3" ht="15" customHeight="1" x14ac:dyDescent="0.2">
      <c r="A861" s="11">
        <f>Dados!A889</f>
        <v>45741</v>
      </c>
      <c r="B861" s="12">
        <f>STDEV(Dados!D860:D889)*SQRT(252)</f>
        <v>0.2167985710469735</v>
      </c>
      <c r="C861" s="12">
        <f>STDEV(Dados!E860:E889)*SQRT(252)</f>
        <v>0.16874441370630502</v>
      </c>
    </row>
    <row r="862" spans="1:3" ht="15" customHeight="1" x14ac:dyDescent="0.2">
      <c r="A862" s="11">
        <f>Dados!A890</f>
        <v>45742</v>
      </c>
      <c r="B862" s="12">
        <f>STDEV(Dados!D861:D890)*SQRT(252)</f>
        <v>0.21640130418959005</v>
      </c>
      <c r="C862" s="12">
        <f>STDEV(Dados!E861:E890)*SQRT(252)</f>
        <v>0.16795233620193245</v>
      </c>
    </row>
    <row r="863" spans="1:3" ht="15" customHeight="1" x14ac:dyDescent="0.2">
      <c r="A863" s="11">
        <f>Dados!A891</f>
        <v>45743</v>
      </c>
      <c r="B863" s="12">
        <f>STDEV(Dados!D862:D891)*SQRT(252)</f>
        <v>0.21292299467325029</v>
      </c>
      <c r="C863" s="12">
        <f>STDEV(Dados!E862:E891)*SQRT(252)</f>
        <v>0.16731511704129881</v>
      </c>
    </row>
    <row r="864" spans="1:3" ht="15" customHeight="1" x14ac:dyDescent="0.2">
      <c r="A864" s="11">
        <f>Dados!A892</f>
        <v>45744</v>
      </c>
      <c r="B864" s="12">
        <f>STDEV(Dados!D863:D892)*SQRT(252)</f>
        <v>0.20861759707691682</v>
      </c>
      <c r="C864" s="12">
        <f>STDEV(Dados!E863:E892)*SQRT(252)</f>
        <v>0.16120344308334206</v>
      </c>
    </row>
    <row r="865" spans="1:3" ht="15" customHeight="1" x14ac:dyDescent="0.2">
      <c r="A865" s="11">
        <f>Dados!A893</f>
        <v>45747</v>
      </c>
      <c r="B865" s="12">
        <f>STDEV(Dados!D864:D893)*SQRT(252)</f>
        <v>0.21254747657407849</v>
      </c>
      <c r="C865" s="12">
        <f>STDEV(Dados!E864:E893)*SQRT(252)</f>
        <v>0.16644512354137087</v>
      </c>
    </row>
    <row r="866" spans="1:3" ht="15" customHeight="1" x14ac:dyDescent="0.2">
      <c r="A866" s="11">
        <f>Dados!A894</f>
        <v>45748</v>
      </c>
      <c r="B866" s="12">
        <f>STDEV(Dados!D865:D894)*SQRT(252)</f>
        <v>0.19630823027631708</v>
      </c>
      <c r="C866" s="12">
        <f>STDEV(Dados!E865:E894)*SQRT(252)</f>
        <v>0.14938843900629528</v>
      </c>
    </row>
    <row r="867" spans="1:3" ht="15" customHeight="1" x14ac:dyDescent="0.2">
      <c r="A867" s="11">
        <f>Dados!A895</f>
        <v>45749</v>
      </c>
      <c r="B867" s="12">
        <f>STDEV(Dados!D866:D895)*SQRT(252)</f>
        <v>0.19636982873917697</v>
      </c>
      <c r="C867" s="12">
        <f>STDEV(Dados!E866:E895)*SQRT(252)</f>
        <v>0.14929009107967323</v>
      </c>
    </row>
    <row r="868" spans="1:3" ht="15" customHeight="1" x14ac:dyDescent="0.2">
      <c r="A868" s="11">
        <f>Dados!A896</f>
        <v>45750</v>
      </c>
      <c r="B868" s="12">
        <f>STDEV(Dados!D867:D896)*SQRT(252)</f>
        <v>0.20150818157561814</v>
      </c>
      <c r="C868" s="12">
        <f>STDEV(Dados!E867:E896)*SQRT(252)</f>
        <v>0.14930199265583335</v>
      </c>
    </row>
    <row r="869" spans="1:3" ht="15" customHeight="1" x14ac:dyDescent="0.2">
      <c r="A869" s="11">
        <f>Dados!A897</f>
        <v>45751</v>
      </c>
      <c r="B869" s="12">
        <f>STDEV(Dados!D868:D897)*SQRT(252)</f>
        <v>0.2148789320596832</v>
      </c>
      <c r="C869" s="12">
        <f>STDEV(Dados!E868:E897)*SQRT(252)</f>
        <v>0.17167447364606384</v>
      </c>
    </row>
    <row r="870" spans="1:3" ht="15" customHeight="1" x14ac:dyDescent="0.2">
      <c r="A870" s="11">
        <f>Dados!A898</f>
        <v>45754</v>
      </c>
      <c r="B870" s="12">
        <f>STDEV(Dados!D869:D898)*SQRT(252)</f>
        <v>0.21802592946048741</v>
      </c>
      <c r="C870" s="12">
        <f>STDEV(Dados!E869:E898)*SQRT(252)</f>
        <v>0.17568738111389809</v>
      </c>
    </row>
    <row r="871" spans="1:3" ht="15" customHeight="1" x14ac:dyDescent="0.2">
      <c r="A871" s="11">
        <f>Dados!A899</f>
        <v>45755</v>
      </c>
      <c r="B871" s="12">
        <f>STDEV(Dados!D870:D899)*SQRT(252)</f>
        <v>0.2172642202297384</v>
      </c>
      <c r="C871" s="12">
        <f>STDEV(Dados!E870:E899)*SQRT(252)</f>
        <v>0.17933963988913659</v>
      </c>
    </row>
    <row r="872" spans="1:3" ht="15" customHeight="1" x14ac:dyDescent="0.2">
      <c r="A872" s="11">
        <f>Dados!A900</f>
        <v>45756</v>
      </c>
      <c r="B872" s="12">
        <f>STDEV(Dados!D871:D900)*SQRT(252)</f>
        <v>0.22559580543264243</v>
      </c>
      <c r="C872" s="12">
        <f>STDEV(Dados!E871:E900)*SQRT(252)</f>
        <v>0.19700816271174768</v>
      </c>
    </row>
    <row r="873" spans="1:3" ht="15" customHeight="1" x14ac:dyDescent="0.2">
      <c r="A873" s="11">
        <f>Dados!A901</f>
        <v>45757</v>
      </c>
      <c r="B873" s="12">
        <f>STDEV(Dados!D872:D901)*SQRT(252)</f>
        <v>0.22729252965483401</v>
      </c>
      <c r="C873" s="12">
        <f>STDEV(Dados!E872:E901)*SQRT(252)</f>
        <v>0.19961550652287166</v>
      </c>
    </row>
    <row r="874" spans="1:3" ht="15" customHeight="1" x14ac:dyDescent="0.2">
      <c r="A874" s="11">
        <f>Dados!A902</f>
        <v>45758</v>
      </c>
      <c r="B874" s="12">
        <f>STDEV(Dados!D873:D902)*SQRT(252)</f>
        <v>0.22296263107006098</v>
      </c>
      <c r="C874" s="12">
        <f>STDEV(Dados!E873:E902)*SQRT(252)</f>
        <v>0.1995804435658263</v>
      </c>
    </row>
    <row r="875" spans="1:3" ht="15" customHeight="1" x14ac:dyDescent="0.2">
      <c r="A875" s="11">
        <f>Dados!A903</f>
        <v>45761</v>
      </c>
      <c r="B875" s="12">
        <f>STDEV(Dados!D874:D903)*SQRT(252)</f>
        <v>0.22520034028960709</v>
      </c>
      <c r="C875" s="12">
        <f>STDEV(Dados!E874:E903)*SQRT(252)</f>
        <v>0.20309704098220638</v>
      </c>
    </row>
    <row r="876" spans="1:3" ht="15" customHeight="1" x14ac:dyDescent="0.2">
      <c r="A876" s="11">
        <f>Dados!A904</f>
        <v>45762</v>
      </c>
      <c r="B876" s="12">
        <f>STDEV(Dados!D875:D904)*SQRT(252)</f>
        <v>0.21125856117322497</v>
      </c>
      <c r="C876" s="12">
        <f>STDEV(Dados!E875:E904)*SQRT(252)</f>
        <v>0.19655374926174501</v>
      </c>
    </row>
    <row r="877" spans="1:3" ht="15" customHeight="1" x14ac:dyDescent="0.2">
      <c r="A877" s="11">
        <f>Dados!A905</f>
        <v>45763</v>
      </c>
      <c r="B877" s="12">
        <f>STDEV(Dados!D876:D905)*SQRT(252)</f>
        <v>0.21276208548247708</v>
      </c>
      <c r="C877" s="12">
        <f>STDEV(Dados!E876:E905)*SQRT(252)</f>
        <v>0.19823714011885765</v>
      </c>
    </row>
    <row r="878" spans="1:3" ht="15" customHeight="1" x14ac:dyDescent="0.2">
      <c r="A878" s="11">
        <f>Dados!A906</f>
        <v>45764</v>
      </c>
      <c r="B878" s="12">
        <f>STDEV(Dados!D877:D906)*SQRT(252)</f>
        <v>0.21322895333885239</v>
      </c>
      <c r="C878" s="12">
        <f>STDEV(Dados!E877:E906)*SQRT(252)</f>
        <v>0.19990819319192737</v>
      </c>
    </row>
    <row r="879" spans="1:3" ht="15" customHeight="1" x14ac:dyDescent="0.2">
      <c r="A879" s="11">
        <f>Dados!A907</f>
        <v>45769</v>
      </c>
      <c r="B879" s="12">
        <f>STDEV(Dados!D878:D907)*SQRT(252)</f>
        <v>0.21097418380450486</v>
      </c>
      <c r="C879" s="12">
        <f>STDEV(Dados!E878:E907)*SQRT(252)</f>
        <v>0.1972634338006912</v>
      </c>
    </row>
    <row r="880" spans="1:3" ht="15" customHeight="1" x14ac:dyDescent="0.2">
      <c r="A880" s="11">
        <f>Dados!A908</f>
        <v>45770</v>
      </c>
      <c r="B880" s="12">
        <f>STDEV(Dados!D879:D908)*SQRT(252)</f>
        <v>0.21153163031328387</v>
      </c>
      <c r="C880" s="12">
        <f>STDEV(Dados!E879:E908)*SQRT(252)</f>
        <v>0.19947883392648827</v>
      </c>
    </row>
    <row r="881" spans="1:3" ht="15" customHeight="1" x14ac:dyDescent="0.2">
      <c r="A881" s="11">
        <f>Dados!A909</f>
        <v>45771</v>
      </c>
      <c r="B881" s="12">
        <f>STDEV(Dados!D880:D909)*SQRT(252)</f>
        <v>0.21786720685165498</v>
      </c>
      <c r="C881" s="12">
        <f>STDEV(Dados!E880:E909)*SQRT(252)</f>
        <v>0.20211108671091044</v>
      </c>
    </row>
    <row r="882" spans="1:3" ht="15" customHeight="1" x14ac:dyDescent="0.2">
      <c r="A882" s="11">
        <f>Dados!A910</f>
        <v>45772</v>
      </c>
      <c r="B882" s="12">
        <f>STDEV(Dados!D881:D910)*SQRT(252)</f>
        <v>0.21772221566297112</v>
      </c>
      <c r="C882" s="12">
        <f>STDEV(Dados!E881:E910)*SQRT(252)</f>
        <v>0.20216974694147705</v>
      </c>
    </row>
    <row r="883" spans="1:3" ht="15" customHeight="1" x14ac:dyDescent="0.2">
      <c r="A883" s="11">
        <f>Dados!A911</f>
        <v>45775</v>
      </c>
      <c r="B883" s="12">
        <f>STDEV(Dados!D882:D911)*SQRT(252)</f>
        <v>0.21295128313713585</v>
      </c>
      <c r="C883" s="12">
        <f>STDEV(Dados!E882:E911)*SQRT(252)</f>
        <v>0.19925840437976547</v>
      </c>
    </row>
    <row r="884" spans="1:3" ht="15" customHeight="1" x14ac:dyDescent="0.2">
      <c r="A884" s="11">
        <f>Dados!A912</f>
        <v>45776</v>
      </c>
      <c r="B884" s="12">
        <f>STDEV(Dados!D883:D912)*SQRT(252)</f>
        <v>0.1984421241345736</v>
      </c>
      <c r="C884" s="12">
        <f>STDEV(Dados!E883:E912)*SQRT(252)</f>
        <v>0.18620112295588492</v>
      </c>
    </row>
    <row r="885" spans="1:3" ht="15" customHeight="1" x14ac:dyDescent="0.2">
      <c r="A885" s="11">
        <f>Dados!A913</f>
        <v>45777</v>
      </c>
      <c r="B885" s="12">
        <f>STDEV(Dados!D884:D913)*SQRT(252)</f>
        <v>0.19815688401758547</v>
      </c>
      <c r="C885" s="12">
        <f>STDEV(Dados!E884:E913)*SQRT(252)</f>
        <v>0.18217816858210725</v>
      </c>
    </row>
    <row r="886" spans="1:3" ht="15" customHeight="1" x14ac:dyDescent="0.2">
      <c r="A886" s="11">
        <f>Dados!A914</f>
        <v>45779</v>
      </c>
      <c r="B886" s="12">
        <f>STDEV(Dados!D885:D914)*SQRT(252)</f>
        <v>0.19793627898646582</v>
      </c>
      <c r="C886" s="12">
        <f>STDEV(Dados!E885:E914)*SQRT(252)</f>
        <v>0.18182100216475786</v>
      </c>
    </row>
    <row r="887" spans="1:3" ht="15" customHeight="1" x14ac:dyDescent="0.2">
      <c r="A887" s="11">
        <f>Dados!A915</f>
        <v>45782</v>
      </c>
      <c r="B887" s="12">
        <f>STDEV(Dados!D886:D915)*SQRT(252)</f>
        <v>0.19939564184535624</v>
      </c>
      <c r="C887" s="12">
        <f>STDEV(Dados!E886:E915)*SQRT(252)</f>
        <v>0.18447058913115302</v>
      </c>
    </row>
    <row r="888" spans="1:3" ht="15" customHeight="1" x14ac:dyDescent="0.2">
      <c r="A888" s="11">
        <f>Dados!A916</f>
        <v>45783</v>
      </c>
      <c r="B888" s="12">
        <f>STDEV(Dados!D887:D916)*SQRT(252)</f>
        <v>0.19835777259141563</v>
      </c>
      <c r="C888" s="12">
        <f>STDEV(Dados!E887:E916)*SQRT(252)</f>
        <v>0.18399316772070176</v>
      </c>
    </row>
    <row r="889" spans="1:3" ht="15" customHeight="1" x14ac:dyDescent="0.2">
      <c r="A889" s="11">
        <f>Dados!A917</f>
        <v>45784</v>
      </c>
      <c r="B889" s="12">
        <f>STDEV(Dados!D888:D917)*SQRT(252)</f>
        <v>0.20105221285539487</v>
      </c>
      <c r="C889" s="12">
        <f>STDEV(Dados!E888:E917)*SQRT(252)</f>
        <v>0.18386534566414564</v>
      </c>
    </row>
    <row r="890" spans="1:3" ht="15" customHeight="1" x14ac:dyDescent="0.2">
      <c r="A890" s="11">
        <f>Dados!A918</f>
        <v>45785</v>
      </c>
      <c r="B890" s="12">
        <f>STDEV(Dados!D889:D918)*SQRT(252)</f>
        <v>0.21836379563491587</v>
      </c>
      <c r="C890" s="12">
        <f>STDEV(Dados!E889:E918)*SQRT(252)</f>
        <v>0.19170334794507962</v>
      </c>
    </row>
    <row r="891" spans="1:3" ht="15" customHeight="1" x14ac:dyDescent="0.2">
      <c r="A891" s="11">
        <f>Dados!A919</f>
        <v>45786</v>
      </c>
      <c r="B891" s="12">
        <f>STDEV(Dados!D890:D919)*SQRT(252)</f>
        <v>0.21812328735714101</v>
      </c>
      <c r="C891" s="12">
        <f>STDEV(Dados!E890:E919)*SQRT(252)</f>
        <v>0.19126004063666341</v>
      </c>
    </row>
    <row r="892" spans="1:3" ht="15" customHeight="1" x14ac:dyDescent="0.2">
      <c r="A892" s="11">
        <f>Dados!A920</f>
        <v>45789</v>
      </c>
      <c r="B892" s="12">
        <f>STDEV(Dados!D891:D920)*SQRT(252)</f>
        <v>0.21968832896505108</v>
      </c>
      <c r="C892" s="12">
        <f>STDEV(Dados!E891:E920)*SQRT(252)</f>
        <v>0.19114350562625251</v>
      </c>
    </row>
    <row r="893" spans="1:3" ht="15" customHeight="1" x14ac:dyDescent="0.2">
      <c r="A893" s="11">
        <f>Dados!A921</f>
        <v>45790</v>
      </c>
      <c r="B893" s="12">
        <f>STDEV(Dados!D892:D921)*SQRT(252)</f>
        <v>0.22645764613812303</v>
      </c>
      <c r="C893" s="12">
        <f>STDEV(Dados!E892:E921)*SQRT(252)</f>
        <v>0.19675097604322386</v>
      </c>
    </row>
    <row r="894" spans="1:3" ht="15" customHeight="1" x14ac:dyDescent="0.2">
      <c r="A894" s="11">
        <f>Dados!A922</f>
        <v>45791</v>
      </c>
      <c r="B894" s="12">
        <f>STDEV(Dados!D893:D922)*SQRT(252)</f>
        <v>0.22481192552687729</v>
      </c>
      <c r="C894" s="12">
        <f>STDEV(Dados!E893:E922)*SQRT(252)</f>
        <v>0.19475088069557231</v>
      </c>
    </row>
    <row r="895" spans="1:3" ht="15" customHeight="1" x14ac:dyDescent="0.2">
      <c r="A895" s="11">
        <f>Dados!A923</f>
        <v>45792</v>
      </c>
      <c r="B895" s="12">
        <f>STDEV(Dados!D894:D923)*SQRT(252)</f>
        <v>0.22024657356052599</v>
      </c>
      <c r="C895" s="12">
        <f>STDEV(Dados!E894:E923)*SQRT(252)</f>
        <v>0.19052339720409384</v>
      </c>
    </row>
    <row r="896" spans="1:3" ht="15" customHeight="1" x14ac:dyDescent="0.2">
      <c r="A896" s="11">
        <f>Dados!A924</f>
        <v>45793</v>
      </c>
      <c r="B896" s="12">
        <f>STDEV(Dados!D895:D924)*SQRT(252)</f>
        <v>0.22031802324021368</v>
      </c>
      <c r="C896" s="12">
        <f>STDEV(Dados!E895:E924)*SQRT(252)</f>
        <v>0.19025446210882382</v>
      </c>
    </row>
    <row r="897" spans="1:3" ht="15" customHeight="1" x14ac:dyDescent="0.2">
      <c r="A897" s="11">
        <f>Dados!A925</f>
        <v>45796</v>
      </c>
      <c r="B897" s="12">
        <f>STDEV(Dados!D896:D925)*SQRT(252)</f>
        <v>0.21995543806986184</v>
      </c>
      <c r="C897" s="12">
        <f>STDEV(Dados!E896:E925)*SQRT(252)</f>
        <v>0.1902204653522154</v>
      </c>
    </row>
    <row r="898" spans="1:3" ht="15" customHeight="1" x14ac:dyDescent="0.2">
      <c r="A898" s="11">
        <f>Dados!A926</f>
        <v>45797</v>
      </c>
      <c r="B898" s="12">
        <f>STDEV(Dados!D897:D926)*SQRT(252)</f>
        <v>0.21622846860841363</v>
      </c>
      <c r="C898" s="12">
        <f>STDEV(Dados!E897:E926)*SQRT(252)</f>
        <v>0.19011132196577013</v>
      </c>
    </row>
    <row r="899" spans="1:3" ht="15" customHeight="1" x14ac:dyDescent="0.2">
      <c r="A899" s="11">
        <f>Dados!A927</f>
        <v>45798</v>
      </c>
      <c r="B899" s="12">
        <f>STDEV(Dados!D898:D927)*SQRT(252)</f>
        <v>0.20638789437411395</v>
      </c>
      <c r="C899" s="12">
        <f>STDEV(Dados!E898:E927)*SQRT(252)</f>
        <v>0.17298481682685943</v>
      </c>
    </row>
    <row r="900" spans="1:3" ht="15" customHeight="1" x14ac:dyDescent="0.2">
      <c r="A900" s="11">
        <f>Dados!A928</f>
        <v>45799</v>
      </c>
      <c r="B900" s="12">
        <f>STDEV(Dados!D899:D928)*SQRT(252)</f>
        <v>0.20149507659890448</v>
      </c>
      <c r="C900" s="12">
        <f>STDEV(Dados!E899:E928)*SQRT(252)</f>
        <v>0.16778199107324895</v>
      </c>
    </row>
    <row r="901" spans="1:3" ht="15" customHeight="1" x14ac:dyDescent="0.2">
      <c r="A901" s="11">
        <f>Dados!A929</f>
        <v>45800</v>
      </c>
      <c r="B901" s="12">
        <f>STDEV(Dados!D900:D929)*SQRT(252)</f>
        <v>0.19871706103679465</v>
      </c>
      <c r="C901" s="12">
        <f>STDEV(Dados!E900:E929)*SQRT(252)</f>
        <v>0.16056823821390001</v>
      </c>
    </row>
    <row r="902" spans="1:3" ht="15" customHeight="1" x14ac:dyDescent="0.2">
      <c r="A902" s="11">
        <f>Dados!A930</f>
        <v>45803</v>
      </c>
      <c r="B902" s="12">
        <f>STDEV(Dados!D901:D930)*SQRT(252)</f>
        <v>0.18278273318927243</v>
      </c>
      <c r="C902" s="12">
        <f>STDEV(Dados!E901:E930)*SQRT(252)</f>
        <v>0.13838965962881841</v>
      </c>
    </row>
    <row r="903" spans="1:3" ht="15" customHeight="1" x14ac:dyDescent="0.2">
      <c r="A903" s="11">
        <f>Dados!A931</f>
        <v>45804</v>
      </c>
      <c r="B903" s="12">
        <f>STDEV(Dados!D902:D931)*SQRT(252)</f>
        <v>0.18040695674338522</v>
      </c>
      <c r="C903" s="12">
        <f>STDEV(Dados!E902:E931)*SQRT(252)</f>
        <v>0.13350489547490918</v>
      </c>
    </row>
    <row r="904" spans="1:3" ht="15" customHeight="1" x14ac:dyDescent="0.2">
      <c r="A904" s="11">
        <f>Dados!A932</f>
        <v>45805</v>
      </c>
      <c r="B904" s="12">
        <f>STDEV(Dados!D903:D932)*SQRT(252)</f>
        <v>0.1800812720974253</v>
      </c>
      <c r="C904" s="12">
        <f>STDEV(Dados!E903:E932)*SQRT(252)</f>
        <v>0.13368024329679537</v>
      </c>
    </row>
    <row r="905" spans="1:3" ht="15" customHeight="1" x14ac:dyDescent="0.2">
      <c r="A905" s="11">
        <f>Dados!A933</f>
        <v>45806</v>
      </c>
      <c r="B905" s="12">
        <f>STDEV(Dados!D904:D933)*SQRT(252)</f>
        <v>0.17912658807892864</v>
      </c>
      <c r="C905" s="12">
        <f>STDEV(Dados!E904:E933)*SQRT(252)</f>
        <v>0.13036506675629922</v>
      </c>
    </row>
    <row r="906" spans="1:3" ht="15" customHeight="1" x14ac:dyDescent="0.2">
      <c r="A906" s="11">
        <f>Dados!A934</f>
        <v>45807</v>
      </c>
      <c r="B906" s="12">
        <f>STDEV(Dados!D905:D934)*SQRT(252)</f>
        <v>0.18020763337095785</v>
      </c>
      <c r="C906" s="12">
        <f>STDEV(Dados!E905:E934)*SQRT(252)</f>
        <v>0.13547277785059147</v>
      </c>
    </row>
    <row r="907" spans="1:3" ht="15" customHeight="1" x14ac:dyDescent="0.2">
      <c r="A907" s="11">
        <f>Dados!A935</f>
        <v>45810</v>
      </c>
      <c r="B907" s="12">
        <f>STDEV(Dados!D906:D935)*SQRT(252)</f>
        <v>0.17920178689421801</v>
      </c>
      <c r="C907" s="12">
        <f>STDEV(Dados!E906:E935)*SQRT(252)</f>
        <v>0.13317294105782984</v>
      </c>
    </row>
    <row r="908" spans="1:3" ht="15" customHeight="1" x14ac:dyDescent="0.2">
      <c r="A908" s="11">
        <f>Dados!A936</f>
        <v>45811</v>
      </c>
      <c r="B908" s="12">
        <f>STDEV(Dados!D907:D936)*SQRT(252)</f>
        <v>0.18045179180711626</v>
      </c>
      <c r="C908" s="12">
        <f>STDEV(Dados!E907:E936)*SQRT(252)</f>
        <v>0.13131679358546117</v>
      </c>
    </row>
    <row r="909" spans="1:3" ht="15" customHeight="1" x14ac:dyDescent="0.2">
      <c r="A909" s="11">
        <f>Dados!A937</f>
        <v>45812</v>
      </c>
      <c r="B909" s="12">
        <f>STDEV(Dados!D908:D937)*SQRT(252)</f>
        <v>0.18123094189505165</v>
      </c>
      <c r="C909" s="12">
        <f>STDEV(Dados!E908:E937)*SQRT(252)</f>
        <v>0.13175729611217069</v>
      </c>
    </row>
    <row r="910" spans="1:3" ht="15" customHeight="1" x14ac:dyDescent="0.2">
      <c r="A910" s="11">
        <f>Dados!A938</f>
        <v>45813</v>
      </c>
      <c r="B910" s="12">
        <f>STDEV(Dados!D909:D938)*SQRT(252)</f>
        <v>0.18217923473284039</v>
      </c>
      <c r="C910" s="12">
        <f>STDEV(Dados!E909:E938)*SQRT(252)</f>
        <v>0.12852858931266012</v>
      </c>
    </row>
    <row r="911" spans="1:3" ht="15" customHeight="1" x14ac:dyDescent="0.2">
      <c r="A911" s="11">
        <f>Dados!A939</f>
        <v>45814</v>
      </c>
      <c r="B911" s="12">
        <f>STDEV(Dados!D910:D939)*SQRT(252)</f>
        <v>0.16824960128676358</v>
      </c>
      <c r="C911" s="12">
        <f>STDEV(Dados!E910:E939)*SQRT(252)</f>
        <v>0.11841502964548956</v>
      </c>
    </row>
    <row r="912" spans="1:3" ht="15" customHeight="1" x14ac:dyDescent="0.2">
      <c r="A912" s="11">
        <f>Dados!A940</f>
        <v>45817</v>
      </c>
      <c r="B912" s="12">
        <f>STDEV(Dados!D911:D940)*SQRT(252)</f>
        <v>0.16860295949271339</v>
      </c>
      <c r="C912" s="12">
        <f>STDEV(Dados!E911:E940)*SQRT(252)</f>
        <v>0.11877899649638167</v>
      </c>
    </row>
    <row r="913" spans="1:3" ht="15" customHeight="1" x14ac:dyDescent="0.2">
      <c r="A913" s="11">
        <f>Dados!A941</f>
        <v>45818</v>
      </c>
      <c r="B913" s="12">
        <f>STDEV(Dados!D912:D941)*SQRT(252)</f>
        <v>0.16874345306443878</v>
      </c>
      <c r="C913" s="12">
        <f>STDEV(Dados!E912:E941)*SQRT(252)</f>
        <v>0.11962286198552695</v>
      </c>
    </row>
    <row r="914" spans="1:3" ht="15" customHeight="1" x14ac:dyDescent="0.2">
      <c r="A914" s="11">
        <f>Dados!A942</f>
        <v>45819</v>
      </c>
      <c r="B914" s="12">
        <f>STDEV(Dados!D913:D942)*SQRT(252)</f>
        <v>0.16927405446018789</v>
      </c>
      <c r="C914" s="12">
        <f>STDEV(Dados!E913:E942)*SQRT(252)</f>
        <v>0.12040005018470806</v>
      </c>
    </row>
    <row r="915" spans="1:3" ht="15" customHeight="1" x14ac:dyDescent="0.2">
      <c r="A915" s="11">
        <f>Dados!A943</f>
        <v>45820</v>
      </c>
      <c r="B915" s="12">
        <f>STDEV(Dados!D914:D943)*SQRT(252)</f>
        <v>0.16764686532810774</v>
      </c>
      <c r="C915" s="12">
        <f>STDEV(Dados!E914:E943)*SQRT(252)</f>
        <v>0.12104556388035795</v>
      </c>
    </row>
    <row r="916" spans="1:3" ht="15" customHeight="1" x14ac:dyDescent="0.2">
      <c r="A916" s="11">
        <f>Dados!A944</f>
        <v>45821</v>
      </c>
      <c r="B916" s="12">
        <f>STDEV(Dados!D915:D944)*SQRT(252)</f>
        <v>0.16920084979866248</v>
      </c>
      <c r="C916" s="12">
        <f>STDEV(Dados!E915:E944)*SQRT(252)</f>
        <v>0.12188915667173902</v>
      </c>
    </row>
    <row r="917" spans="1:3" ht="15" customHeight="1" x14ac:dyDescent="0.2">
      <c r="A917" s="11">
        <f>Dados!A945</f>
        <v>45824</v>
      </c>
      <c r="B917" s="12">
        <f>STDEV(Dados!D916:D945)*SQRT(252)</f>
        <v>0.17601815396876191</v>
      </c>
      <c r="C917" s="12">
        <f>STDEV(Dados!E916:E945)*SQRT(252)</f>
        <v>0.12249276504074715</v>
      </c>
    </row>
    <row r="918" spans="1:3" ht="15" customHeight="1" x14ac:dyDescent="0.2">
      <c r="A918" s="11">
        <f>Dados!A946</f>
        <v>45825</v>
      </c>
      <c r="B918" s="12">
        <f>STDEV(Dados!D917:D946)*SQRT(252)</f>
        <v>0.17493760236273817</v>
      </c>
      <c r="C918" s="12">
        <f>STDEV(Dados!E917:E946)*SQRT(252)</f>
        <v>0.12311331690367859</v>
      </c>
    </row>
    <row r="919" spans="1:3" ht="15" customHeight="1" x14ac:dyDescent="0.2">
      <c r="A919" s="11">
        <f>Dados!A947</f>
        <v>45826</v>
      </c>
      <c r="B919" s="12">
        <f>STDEV(Dados!D918:D947)*SQRT(252)</f>
        <v>0.17184239281931032</v>
      </c>
      <c r="C919" s="12">
        <f>STDEV(Dados!E918:E947)*SQRT(252)</f>
        <v>0.12311364508692661</v>
      </c>
    </row>
    <row r="920" spans="1:3" ht="15" customHeight="1" x14ac:dyDescent="0.2">
      <c r="A920" s="11">
        <f>Dados!A948</f>
        <v>45828</v>
      </c>
      <c r="B920" s="12">
        <f>STDEV(Dados!D919:D948)*SQRT(252)</f>
        <v>0.1482549471288705</v>
      </c>
      <c r="C920" s="12">
        <f>STDEV(Dados!E919:E948)*SQRT(252)</f>
        <v>0.11365927828085688</v>
      </c>
    </row>
    <row r="921" spans="1:3" ht="15" customHeight="1" x14ac:dyDescent="0.2">
      <c r="A921" s="11">
        <f>Dados!A949</f>
        <v>45831</v>
      </c>
      <c r="B921" s="12">
        <f>STDEV(Dados!D920:D949)*SQRT(252)</f>
        <v>0.14827657112402923</v>
      </c>
      <c r="C921" s="12">
        <f>STDEV(Dados!E920:E949)*SQRT(252)</f>
        <v>0.11420178492110311</v>
      </c>
    </row>
    <row r="922" spans="1:3" ht="15" customHeight="1" x14ac:dyDescent="0.2">
      <c r="A922" s="11">
        <f>Dados!A950</f>
        <v>45832</v>
      </c>
      <c r="B922" s="12">
        <f>STDEV(Dados!D921:D950)*SQRT(252)</f>
        <v>0.15098576984516091</v>
      </c>
      <c r="C922" s="12">
        <f>STDEV(Dados!E921:E950)*SQRT(252)</f>
        <v>0.11493545664949481</v>
      </c>
    </row>
    <row r="923" spans="1:3" ht="15" customHeight="1" x14ac:dyDescent="0.2">
      <c r="A923" s="11">
        <f>Dados!A951</f>
        <v>45833</v>
      </c>
      <c r="B923" s="12">
        <f>STDEV(Dados!D922:D951)*SQRT(252)</f>
        <v>0.13947707431442208</v>
      </c>
      <c r="C923" s="12">
        <f>STDEV(Dados!E922:E951)*SQRT(252)</f>
        <v>0.10645879248259692</v>
      </c>
    </row>
    <row r="924" spans="1:3" ht="15" customHeight="1" x14ac:dyDescent="0.2">
      <c r="A924" s="11">
        <f>Dados!A952</f>
        <v>45834</v>
      </c>
      <c r="B924" s="12">
        <f>STDEV(Dados!D923:D952)*SQRT(252)</f>
        <v>0.14235396437703149</v>
      </c>
      <c r="C924" s="12">
        <f>STDEV(Dados!E923:E952)*SQRT(252)</f>
        <v>0.11036013446299797</v>
      </c>
    </row>
    <row r="925" spans="1:3" ht="15" customHeight="1" x14ac:dyDescent="0.2">
      <c r="A925" s="11">
        <f>Dados!A953</f>
        <v>45835</v>
      </c>
      <c r="B925" s="12">
        <f>STDEV(Dados!D924:D953)*SQRT(252)</f>
        <v>0.1391180913678472</v>
      </c>
      <c r="C925" s="12">
        <f>STDEV(Dados!E924:E953)*SQRT(252)</f>
        <v>0.108478383621523</v>
      </c>
    </row>
    <row r="926" spans="1:3" ht="15" customHeight="1" x14ac:dyDescent="0.2">
      <c r="A926" s="11">
        <f>Dados!A954</f>
        <v>45838</v>
      </c>
      <c r="B926" s="12">
        <f>STDEV(Dados!D925:D954)*SQRT(252)</f>
        <v>0.15000454732796292</v>
      </c>
      <c r="C926" s="12">
        <f>STDEV(Dados!E925:E954)*SQRT(252)</f>
        <v>0.11686577721731696</v>
      </c>
    </row>
    <row r="927" spans="1:3" ht="15" customHeight="1" x14ac:dyDescent="0.2">
      <c r="A927" s="11">
        <f>Dados!A955</f>
        <v>45839</v>
      </c>
      <c r="B927" s="12">
        <f>STDEV(Dados!D926:D955)*SQRT(252)</f>
        <v>0.14988073493734189</v>
      </c>
      <c r="C927" s="12">
        <f>STDEV(Dados!E926:E955)*SQRT(252)</f>
        <v>0.11740955058705674</v>
      </c>
    </row>
    <row r="928" spans="1:3" ht="15" customHeight="1" x14ac:dyDescent="0.2">
      <c r="A928" s="11">
        <f>Dados!A956</f>
        <v>45840</v>
      </c>
      <c r="B928" s="12">
        <f>STDEV(Dados!D927:D956)*SQRT(252)</f>
        <v>0.1565139704358606</v>
      </c>
      <c r="C928" s="12">
        <f>STDEV(Dados!E927:E956)*SQRT(252)</f>
        <v>0.11738701336241167</v>
      </c>
    </row>
    <row r="929" spans="1:3" ht="15" customHeight="1" x14ac:dyDescent="0.2">
      <c r="A929" s="11">
        <f>Dados!A957</f>
        <v>45841</v>
      </c>
      <c r="B929" s="12">
        <f>STDEV(Dados!D928:D957)*SQRT(252)</f>
        <v>0.14930290410017513</v>
      </c>
      <c r="C929" s="12">
        <f>STDEV(Dados!E928:E957)*SQRT(252)</f>
        <v>0.11395370655441685</v>
      </c>
    </row>
    <row r="930" spans="1:3" ht="15" customHeight="1" x14ac:dyDescent="0.2">
      <c r="A930" s="11">
        <f>Dados!A958</f>
        <v>45842</v>
      </c>
      <c r="B930" s="12">
        <f>STDEV(Dados!D929:D958)*SQRT(252)</f>
        <v>0.14924174166221127</v>
      </c>
      <c r="C930" s="12">
        <f>STDEV(Dados!E929:E958)*SQRT(252)</f>
        <v>0.11298450805172788</v>
      </c>
    </row>
    <row r="931" spans="1:3" ht="15" customHeight="1" x14ac:dyDescent="0.2">
      <c r="A931" s="11">
        <f>Dados!A959</f>
        <v>45845</v>
      </c>
      <c r="B931" s="12">
        <f>STDEV(Dados!D930:D959)*SQRT(252)</f>
        <v>0.15321879729486951</v>
      </c>
      <c r="C931" s="12">
        <f>STDEV(Dados!E930:E959)*SQRT(252)</f>
        <v>0.11920549197696464</v>
      </c>
    </row>
    <row r="932" spans="1:3" ht="15" customHeight="1" x14ac:dyDescent="0.2">
      <c r="A932" s="11">
        <f>Dados!A960</f>
        <v>45846</v>
      </c>
      <c r="B932" s="12">
        <f>STDEV(Dados!D931:D960)*SQRT(252)</f>
        <v>0.15380559144194034</v>
      </c>
      <c r="C932" s="12">
        <f>STDEV(Dados!E931:E960)*SQRT(252)</f>
        <v>0.11917413534509438</v>
      </c>
    </row>
    <row r="933" spans="1:3" ht="15" customHeight="1" x14ac:dyDescent="0.2">
      <c r="A933" s="11">
        <f>Dados!A961</f>
        <v>45847</v>
      </c>
      <c r="B933" s="12">
        <f>STDEV(Dados!D932:D961)*SQRT(252)</f>
        <v>0.15456991130151665</v>
      </c>
      <c r="C933" s="12">
        <f>STDEV(Dados!E932:E961)*SQRT(252)</f>
        <v>0.12155338361046157</v>
      </c>
    </row>
    <row r="934" spans="1:3" ht="15" customHeight="1" x14ac:dyDescent="0.2">
      <c r="A934" s="11">
        <f>Dados!A962</f>
        <v>45848</v>
      </c>
      <c r="B934" s="12">
        <f>STDEV(Dados!D933:D962)*SQRT(252)</f>
        <v>0.15716262074199946</v>
      </c>
      <c r="C934" s="12">
        <f>STDEV(Dados!E933:E962)*SQRT(252)</f>
        <v>0.12177719493918505</v>
      </c>
    </row>
    <row r="935" spans="1:3" ht="15" customHeight="1" x14ac:dyDescent="0.2">
      <c r="A935" s="11">
        <f>Dados!A963</f>
        <v>45849</v>
      </c>
      <c r="B935" s="12">
        <f>STDEV(Dados!D934:D963)*SQRT(252)</f>
        <v>0.16192415866134896</v>
      </c>
      <c r="C935" s="12">
        <f>STDEV(Dados!E934:E963)*SQRT(252)</f>
        <v>0.12207760006825666</v>
      </c>
    </row>
    <row r="936" spans="1:3" ht="15" customHeight="1" x14ac:dyDescent="0.2">
      <c r="A936" s="11">
        <f>Dados!A964</f>
        <v>45852</v>
      </c>
      <c r="B936" s="12">
        <f>STDEV(Dados!D935:D964)*SQRT(252)</f>
        <v>0.16289894344310005</v>
      </c>
      <c r="C936" s="12">
        <f>STDEV(Dados!E935:E964)*SQRT(252)</f>
        <v>0.11947025394797044</v>
      </c>
    </row>
    <row r="937" spans="1:3" ht="15" customHeight="1" x14ac:dyDescent="0.2">
      <c r="A937" s="11">
        <f>Dados!A965</f>
        <v>45853</v>
      </c>
      <c r="B937" s="12">
        <f>STDEV(Dados!D936:D965)*SQRT(252)</f>
        <v>0.16451698664508141</v>
      </c>
      <c r="C937" s="12">
        <f>STDEV(Dados!E936:E965)*SQRT(252)</f>
        <v>0.11940369587958367</v>
      </c>
    </row>
    <row r="938" spans="1:3" ht="15" customHeight="1" x14ac:dyDescent="0.2">
      <c r="A938" s="11">
        <f>Dados!A966</f>
        <v>45854</v>
      </c>
      <c r="B938" s="12">
        <f>STDEV(Dados!D937:D966)*SQRT(252)</f>
        <v>0.1600418346004793</v>
      </c>
      <c r="C938" s="12">
        <f>STDEV(Dados!E937:E966)*SQRT(252)</f>
        <v>0.11830513256204495</v>
      </c>
    </row>
    <row r="939" spans="1:3" ht="15" customHeight="1" x14ac:dyDescent="0.2">
      <c r="A939" s="11">
        <f>Dados!A967</f>
        <v>45855</v>
      </c>
      <c r="B939" s="12">
        <f>STDEV(Dados!D938:D967)*SQRT(252)</f>
        <v>0.15997298836017793</v>
      </c>
      <c r="C939" s="12">
        <f>STDEV(Dados!E938:E967)*SQRT(252)</f>
        <v>0.11786928223437804</v>
      </c>
    </row>
    <row r="940" spans="1:3" ht="15" customHeight="1" x14ac:dyDescent="0.2">
      <c r="A940" s="11">
        <f>Dados!A968</f>
        <v>45856</v>
      </c>
      <c r="B940" s="12">
        <f>STDEV(Dados!D939:D968)*SQRT(252)</f>
        <v>0.1762553189761138</v>
      </c>
      <c r="C940" s="12">
        <f>STDEV(Dados!E939:E968)*SQRT(252)</f>
        <v>0.1257476500832676</v>
      </c>
    </row>
    <row r="941" spans="1:3" ht="15" customHeight="1" x14ac:dyDescent="0.2">
      <c r="A941" s="11">
        <f>Dados!A969</f>
        <v>45859</v>
      </c>
      <c r="B941" s="12">
        <f>STDEV(Dados!D940:D969)*SQRT(252)</f>
        <v>0.17617525914621457</v>
      </c>
      <c r="C941" s="12">
        <f>STDEV(Dados!E940:E969)*SQRT(252)</f>
        <v>0.1271759501547704</v>
      </c>
    </row>
    <row r="942" spans="1:3" ht="15" customHeight="1" x14ac:dyDescent="0.2">
      <c r="A942" s="11">
        <f>Dados!A970</f>
        <v>45860</v>
      </c>
      <c r="B942" s="12">
        <f>STDEV(Dados!D941:D970)*SQRT(252)</f>
        <v>0.17637712109649606</v>
      </c>
      <c r="C942" s="12">
        <f>STDEV(Dados!E941:E970)*SQRT(252)</f>
        <v>0.12696830760037073</v>
      </c>
    </row>
    <row r="943" spans="1:3" ht="15" customHeight="1" x14ac:dyDescent="0.2">
      <c r="A943" s="11">
        <f>Dados!A971</f>
        <v>45861</v>
      </c>
      <c r="B943" s="12">
        <f>STDEV(Dados!D942:D971)*SQRT(252)</f>
        <v>0.18179555950470264</v>
      </c>
      <c r="C943" s="12">
        <f>STDEV(Dados!E942:E971)*SQRT(252)</f>
        <v>0.12939040447224343</v>
      </c>
    </row>
    <row r="944" spans="1:3" ht="15" customHeight="1" x14ac:dyDescent="0.2">
      <c r="A944" s="11">
        <f>Dados!A972</f>
        <v>45862</v>
      </c>
      <c r="B944" s="12">
        <f>STDEV(Dados!D943:D972)*SQRT(252)</f>
        <v>0.18349179315081257</v>
      </c>
      <c r="C944" s="12">
        <f>STDEV(Dados!E943:E972)*SQRT(252)</f>
        <v>0.13240407874276547</v>
      </c>
    </row>
    <row r="945" spans="1:3" ht="15" customHeight="1" x14ac:dyDescent="0.2">
      <c r="A945" s="11">
        <f>Dados!A973</f>
        <v>45863</v>
      </c>
      <c r="B945" s="12">
        <f>STDEV(Dados!D944:D973)*SQRT(252)</f>
        <v>0.18330173559397381</v>
      </c>
      <c r="C945" s="12">
        <f>STDEV(Dados!E944:E973)*SQRT(252)</f>
        <v>0.13133384778135107</v>
      </c>
    </row>
    <row r="946" spans="1:3" ht="15" customHeight="1" x14ac:dyDescent="0.2">
      <c r="A946" s="11">
        <f>Dados!A974</f>
        <v>45866</v>
      </c>
      <c r="B946" s="12">
        <f>STDEV(Dados!D945:D974)*SQRT(252)</f>
        <v>0.18613350427562605</v>
      </c>
      <c r="C946" s="12">
        <f>STDEV(Dados!E945:E974)*SQRT(252)</f>
        <v>0.13387916153790205</v>
      </c>
    </row>
    <row r="947" spans="1:3" ht="15" customHeight="1" x14ac:dyDescent="0.2">
      <c r="A947" s="11">
        <f>Dados!A975</f>
        <v>45867</v>
      </c>
      <c r="B947" s="12">
        <f>STDEV(Dados!D946:D975)*SQRT(252)</f>
        <v>0.17481386576606314</v>
      </c>
      <c r="C947" s="12">
        <f>STDEV(Dados!E946:E975)*SQRT(252)</f>
        <v>0.12628104099245721</v>
      </c>
    </row>
    <row r="948" spans="1:3" ht="15" customHeight="1" x14ac:dyDescent="0.2">
      <c r="A948" s="11">
        <f>Dados!A976</f>
        <v>45868</v>
      </c>
      <c r="B948" s="12">
        <f>STDEV(Dados!D947:D976)*SQRT(252)</f>
        <v>0.18063053691676687</v>
      </c>
      <c r="C948" s="12">
        <f>STDEV(Dados!E947:E976)*SQRT(252)</f>
        <v>0.13019868050272398</v>
      </c>
    </row>
    <row r="949" spans="1:3" ht="15" customHeight="1" x14ac:dyDescent="0.2">
      <c r="A949" s="11">
        <f>Dados!A977</f>
        <v>45869</v>
      </c>
      <c r="B949" s="12">
        <f>STDEV(Dados!D948:D977)*SQRT(252)</f>
        <v>0.1815095887897851</v>
      </c>
      <c r="C949" s="12">
        <f>STDEV(Dados!E948:E977)*SQRT(252)</f>
        <v>0.13123470320932065</v>
      </c>
    </row>
    <row r="950" spans="1:3" ht="15" customHeight="1" x14ac:dyDescent="0.2">
      <c r="A950" s="11">
        <f>Dados!A978</f>
        <v>45870</v>
      </c>
      <c r="B950" s="12">
        <f>STDEV(Dados!D949:D978)*SQRT(252)</f>
        <v>0.17857878537295974</v>
      </c>
      <c r="C950" s="12">
        <f>STDEV(Dados!E949:E978)*SQRT(252)</f>
        <v>0.12806514948099221</v>
      </c>
    </row>
    <row r="951" spans="1:3" ht="15" customHeight="1" x14ac:dyDescent="0.2">
      <c r="A951" s="11">
        <f>Dados!A979</f>
        <v>45873</v>
      </c>
      <c r="B951" s="12">
        <f>STDEV(Dados!D950:D979)*SQRT(252)</f>
        <v>0.18094153790114711</v>
      </c>
      <c r="C951" s="12">
        <f>STDEV(Dados!E950:E979)*SQRT(252)</f>
        <v>0.128600043105631</v>
      </c>
    </row>
    <row r="952" spans="1:3" ht="15" customHeight="1" x14ac:dyDescent="0.2">
      <c r="A952" s="11">
        <f>Dados!A980</f>
        <v>45874</v>
      </c>
      <c r="B952" s="12">
        <f>STDEV(Dados!D951:D980)*SQRT(252)</f>
        <v>0.17618476989595336</v>
      </c>
      <c r="C952" s="12">
        <f>STDEV(Dados!E951:E980)*SQRT(252)</f>
        <v>0.12778065419734547</v>
      </c>
    </row>
    <row r="953" spans="1:3" ht="15" customHeight="1" x14ac:dyDescent="0.2">
      <c r="A953" s="11">
        <f>Dados!A981</f>
        <v>45875</v>
      </c>
      <c r="B953" s="12">
        <f>STDEV(Dados!D952:D981)*SQRT(252)</f>
        <v>0.18604505900199267</v>
      </c>
      <c r="C953" s="12">
        <f>STDEV(Dados!E952:E981)*SQRT(252)</f>
        <v>0.12876595831096585</v>
      </c>
    </row>
    <row r="954" spans="1:3" ht="15" customHeight="1" x14ac:dyDescent="0.2">
      <c r="A954" s="11">
        <f>Dados!A982</f>
        <v>45876</v>
      </c>
      <c r="B954" s="12">
        <f>STDEV(Dados!D953:D982)*SQRT(252)</f>
        <v>0.18498667123280371</v>
      </c>
      <c r="C954" s="12">
        <f>STDEV(Dados!E953:E982)*SQRT(252)</f>
        <v>0.13276210212160333</v>
      </c>
    </row>
    <row r="955" spans="1:3" ht="15" customHeight="1" x14ac:dyDescent="0.2">
      <c r="A955" s="11">
        <f>Dados!A983</f>
        <v>45877</v>
      </c>
      <c r="B955" s="12">
        <f>STDEV(Dados!D954:D983)*SQRT(252)</f>
        <v>0.18496085790243316</v>
      </c>
      <c r="C955" s="12">
        <f>STDEV(Dados!E954:E983)*SQRT(252)</f>
        <v>0.13328761637986128</v>
      </c>
    </row>
    <row r="956" spans="1:3" ht="15" customHeight="1" x14ac:dyDescent="0.2">
      <c r="A956" s="11">
        <f>Dados!A984</f>
        <v>45880</v>
      </c>
      <c r="B956" s="12">
        <f>STDEV(Dados!D955:D984)*SQRT(252)</f>
        <v>0.17468558247455632</v>
      </c>
      <c r="C956" s="12">
        <f>STDEV(Dados!E955:E984)*SQRT(252)</f>
        <v>0.12589617172190648</v>
      </c>
    </row>
    <row r="957" spans="1:3" ht="15" customHeight="1" x14ac:dyDescent="0.2">
      <c r="A957" s="11">
        <f>Dados!A985</f>
        <v>45881</v>
      </c>
      <c r="B957" s="12">
        <f>STDEV(Dados!D956:D985)*SQRT(252)</f>
        <v>0.17738883637638861</v>
      </c>
      <c r="C957" s="12">
        <f>STDEV(Dados!E956:E985)*SQRT(252)</f>
        <v>0.13488017561838492</v>
      </c>
    </row>
    <row r="958" spans="1:3" ht="15" customHeight="1" x14ac:dyDescent="0.2">
      <c r="A958" s="11">
        <f>Dados!A986</f>
        <v>45882</v>
      </c>
      <c r="B958" s="12">
        <f>STDEV(Dados!D957:D986)*SQRT(252)</f>
        <v>0.17391446470415056</v>
      </c>
      <c r="C958" s="12">
        <f>STDEV(Dados!E957:E986)*SQRT(252)</f>
        <v>0.13685999436129512</v>
      </c>
    </row>
    <row r="959" spans="1:3" ht="15" customHeight="1" x14ac:dyDescent="0.2">
      <c r="A959" s="11">
        <f>Dados!A987</f>
        <v>45883</v>
      </c>
      <c r="B959" s="12">
        <f>STDEV(Dados!D958:D987)*SQRT(252)</f>
        <v>0.16510763640279935</v>
      </c>
      <c r="C959" s="12">
        <f>STDEV(Dados!E958:E987)*SQRT(252)</f>
        <v>0.13034413080821594</v>
      </c>
    </row>
    <row r="960" spans="1:3" ht="15" customHeight="1" x14ac:dyDescent="0.2">
      <c r="A960" s="11">
        <f>Dados!A988</f>
        <v>45884</v>
      </c>
      <c r="B960" s="12">
        <f>STDEV(Dados!D959:D988)*SQRT(252)</f>
        <v>0.16594213410013409</v>
      </c>
      <c r="C960" s="12">
        <f>STDEV(Dados!E959:E988)*SQRT(252)</f>
        <v>0.12996546680889492</v>
      </c>
    </row>
    <row r="961" spans="1:3" ht="15" customHeight="1" x14ac:dyDescent="0.2">
      <c r="A961" s="11">
        <f>Dados!A989</f>
        <v>45887</v>
      </c>
      <c r="B961" s="12">
        <f>STDEV(Dados!D960:D989)*SQRT(252)</f>
        <v>0.16627634529353469</v>
      </c>
      <c r="C961" s="12">
        <f>STDEV(Dados!E960:E989)*SQRT(252)</f>
        <v>0.12744899144584287</v>
      </c>
    </row>
    <row r="962" spans="1:3" ht="15" customHeight="1" x14ac:dyDescent="0.2">
      <c r="A962" s="11">
        <f>Dados!A990</f>
        <v>45888</v>
      </c>
      <c r="B962" s="12">
        <f>STDEV(Dados!D961:D990)*SQRT(252)</f>
        <v>0.18210664050980843</v>
      </c>
      <c r="C962" s="12">
        <f>STDEV(Dados!E961:E990)*SQRT(252)</f>
        <v>0.14093635311832406</v>
      </c>
    </row>
    <row r="963" spans="1:3" ht="15" customHeight="1" x14ac:dyDescent="0.2">
      <c r="A963" s="11">
        <f>Dados!A991</f>
        <v>45889</v>
      </c>
      <c r="B963" s="12">
        <f>STDEV(Dados!D962:D991)*SQRT(252)</f>
        <v>0.17826482444545347</v>
      </c>
      <c r="C963" s="12">
        <f>STDEV(Dados!E962:E991)*SQRT(252)</f>
        <v>0.13647744646893403</v>
      </c>
    </row>
    <row r="964" spans="1:3" ht="15" customHeight="1" x14ac:dyDescent="0.2">
      <c r="A964" s="11">
        <f>Dados!A992</f>
        <v>45890</v>
      </c>
      <c r="B964" s="12">
        <f>STDEV(Dados!D963:D992)*SQRT(252)</f>
        <v>0.17654767628177465</v>
      </c>
      <c r="C964" s="12">
        <f>STDEV(Dados!E963:E992)*SQRT(252)</f>
        <v>0.13576225988128912</v>
      </c>
    </row>
    <row r="965" spans="1:3" ht="15" customHeight="1" x14ac:dyDescent="0.2">
      <c r="A965" s="11">
        <f>Dados!A993</f>
        <v>45891</v>
      </c>
      <c r="B965" s="12">
        <f>STDEV(Dados!D964:D993)*SQRT(252)</f>
        <v>0.19058551520277622</v>
      </c>
      <c r="C965" s="12">
        <f>STDEV(Dados!E964:E993)*SQRT(252)</f>
        <v>0.15463580944566693</v>
      </c>
    </row>
    <row r="966" spans="1:3" ht="15" customHeight="1" x14ac:dyDescent="0.2">
      <c r="A966" s="11">
        <f>Dados!A994</f>
        <v>45894</v>
      </c>
      <c r="B966" s="12">
        <f>STDEV(Dados!D965:D994)*SQRT(252)</f>
        <v>0.18921934067577997</v>
      </c>
      <c r="C966" s="12">
        <f>STDEV(Dados!E965:E994)*SQRT(252)</f>
        <v>0.15321710882373496</v>
      </c>
    </row>
    <row r="967" spans="1:3" ht="15" customHeight="1" x14ac:dyDescent="0.2">
      <c r="A967" s="11">
        <f>Dados!A995</f>
        <v>45895</v>
      </c>
      <c r="B967" s="12">
        <f>STDEV(Dados!D966:D995)*SQRT(252)</f>
        <v>0.18794622728834198</v>
      </c>
      <c r="C967" s="12">
        <f>STDEV(Dados!E966:E995)*SQRT(252)</f>
        <v>0.15336325938119932</v>
      </c>
    </row>
    <row r="968" spans="1:3" ht="15" customHeight="1" x14ac:dyDescent="0.2">
      <c r="A968" s="11">
        <f>Dados!A996</f>
        <v>45896</v>
      </c>
      <c r="B968" s="12">
        <f>STDEV(Dados!D967:D996)*SQRT(252)</f>
        <v>0.1921180781700636</v>
      </c>
      <c r="C968" s="12">
        <f>STDEV(Dados!E967:E996)*SQRT(252)</f>
        <v>0.15591717325498705</v>
      </c>
    </row>
    <row r="969" spans="1:3" ht="15" customHeight="1" x14ac:dyDescent="0.2">
      <c r="A969" s="11">
        <f>Dados!A997</f>
        <v>45897</v>
      </c>
      <c r="B969" s="12">
        <f>STDEV(Dados!D968:D997)*SQRT(252)</f>
        <v>0.19939397405971271</v>
      </c>
      <c r="C969" s="12">
        <f>STDEV(Dados!E968:E997)*SQRT(252)</f>
        <v>0.15989405360988038</v>
      </c>
    </row>
    <row r="970" spans="1:3" ht="15" customHeight="1" x14ac:dyDescent="0.2">
      <c r="A970" s="11">
        <f>Dados!A998</f>
        <v>45898</v>
      </c>
      <c r="B970" s="12">
        <f>STDEV(Dados!D969:D998)*SQRT(252)</f>
        <v>0.17930290883459998</v>
      </c>
      <c r="C970" s="12">
        <f>STDEV(Dados!E969:E998)*SQRT(252)</f>
        <v>0.15099601445183428</v>
      </c>
    </row>
    <row r="971" spans="1:3" ht="15" customHeight="1" x14ac:dyDescent="0.2">
      <c r="A971" s="11">
        <f>Dados!A999</f>
        <v>45901</v>
      </c>
      <c r="B971" s="12">
        <f>STDEV(Dados!D970:D999)*SQRT(252)</f>
        <v>0.17949381901973679</v>
      </c>
      <c r="C971" s="12">
        <f>STDEV(Dados!E970:E999)*SQRT(252)</f>
        <v>0.15075707063560276</v>
      </c>
    </row>
    <row r="972" spans="1:3" ht="15" customHeight="1" x14ac:dyDescent="0.2">
      <c r="A972" s="11">
        <f>Dados!A1000</f>
        <v>45902</v>
      </c>
      <c r="B972" s="12">
        <f>STDEV(Dados!D971:D1000)*SQRT(252)</f>
        <v>0.18271064434129952</v>
      </c>
      <c r="C972" s="12">
        <f>STDEV(Dados!E971:E1000)*SQRT(252)</f>
        <v>0.15256474384626595</v>
      </c>
    </row>
    <row r="973" spans="1:3" ht="15" customHeight="1" x14ac:dyDescent="0.2">
      <c r="A973" s="11">
        <f>Dados!A1001</f>
        <v>45903</v>
      </c>
      <c r="B973" s="12">
        <f>STDEV(Dados!D972:D1001)*SQRT(252)</f>
        <v>0.17863724189504657</v>
      </c>
      <c r="C973" s="12">
        <f>STDEV(Dados!E972:E1001)*SQRT(252)</f>
        <v>0.1510833177637223</v>
      </c>
    </row>
    <row r="974" spans="1:3" ht="15" customHeight="1" x14ac:dyDescent="0.2">
      <c r="A974" s="11">
        <f>Dados!A1002</f>
        <v>45904</v>
      </c>
      <c r="B974" s="12">
        <f>STDEV(Dados!D973:D1002)*SQRT(252)</f>
        <v>0.17577740930618235</v>
      </c>
      <c r="C974" s="12">
        <f>STDEV(Dados!E973:E1002)*SQRT(252)</f>
        <v>0.14743530011227149</v>
      </c>
    </row>
    <row r="975" spans="1:3" ht="15" customHeight="1" x14ac:dyDescent="0.2">
      <c r="A975" s="11">
        <f>Dados!A1003</f>
        <v>45905</v>
      </c>
      <c r="B975" s="12">
        <f>STDEV(Dados!D974:D1003)*SQRT(252)</f>
        <v>0.18117522448386172</v>
      </c>
      <c r="C975" s="12">
        <f>STDEV(Dados!E974:E1003)*SQRT(252)</f>
        <v>0.14966308188145624</v>
      </c>
    </row>
    <row r="976" spans="1:3" ht="15" customHeight="1" x14ac:dyDescent="0.2">
      <c r="A976" s="11">
        <f>Dados!A1004</f>
        <v>45908</v>
      </c>
      <c r="B976" s="12">
        <f>STDEV(Dados!D975:D1004)*SQRT(252)</f>
        <v>0.18040042663727202</v>
      </c>
      <c r="C976" s="12">
        <f>STDEV(Dados!E975:E1004)*SQRT(252)</f>
        <v>0.14686676146866276</v>
      </c>
    </row>
    <row r="977" spans="1:3" ht="15" customHeight="1" x14ac:dyDescent="0.2">
      <c r="A977" s="11">
        <f>Dados!A1005</f>
        <v>45909</v>
      </c>
      <c r="B977" s="12">
        <f>STDEV(Dados!D976:D1005)*SQRT(252)</f>
        <v>0.18085770826340714</v>
      </c>
      <c r="C977" s="12">
        <f>STDEV(Dados!E976:E1005)*SQRT(252)</f>
        <v>0.14707602330004635</v>
      </c>
    </row>
    <row r="978" spans="1:3" ht="15" customHeight="1" x14ac:dyDescent="0.2">
      <c r="A978" s="11">
        <f>Dados!A1006</f>
        <v>45910</v>
      </c>
      <c r="B978" s="12">
        <f>STDEV(Dados!D977:D1006)*SQRT(252)</f>
        <v>0.17800123338695403</v>
      </c>
      <c r="C978" s="12">
        <f>STDEV(Dados!E977:E1006)*SQRT(252)</f>
        <v>0.14573349850974357</v>
      </c>
    </row>
    <row r="979" spans="1:3" ht="15" customHeight="1" x14ac:dyDescent="0.2">
      <c r="A979" s="11">
        <f>Dados!A1007</f>
        <v>45911</v>
      </c>
      <c r="B979" s="12">
        <f>STDEV(Dados!D978:D1007)*SQRT(252)</f>
        <v>0.17523900001502726</v>
      </c>
      <c r="C979" s="12">
        <f>STDEV(Dados!E978:E1007)*SQRT(252)</f>
        <v>0.14358770703647095</v>
      </c>
    </row>
    <row r="980" spans="1:3" ht="15" customHeight="1" x14ac:dyDescent="0.2">
      <c r="A980" s="11">
        <f>Dados!A1008</f>
        <v>45912</v>
      </c>
      <c r="B980" s="12">
        <f>STDEV(Dados!D979:D1008)*SQRT(252)</f>
        <v>0.17609955268464267</v>
      </c>
      <c r="C980" s="12">
        <f>STDEV(Dados!E979:E1008)*SQRT(252)</f>
        <v>0.14424584859943604</v>
      </c>
    </row>
    <row r="981" spans="1:3" ht="15" customHeight="1" x14ac:dyDescent="0.2">
      <c r="A981" s="11">
        <f>Dados!A1009</f>
        <v>45915</v>
      </c>
      <c r="B981" s="12">
        <f>STDEV(Dados!D980:D1009)*SQRT(252)</f>
        <v>0.17602654261744147</v>
      </c>
      <c r="C981" s="12">
        <f>STDEV(Dados!E980:E1009)*SQRT(252)</f>
        <v>0.14542228707590246</v>
      </c>
    </row>
    <row r="982" spans="1:3" ht="15" customHeight="1" x14ac:dyDescent="0.2">
      <c r="A982" s="11">
        <f>Dados!A1010</f>
        <v>45916</v>
      </c>
      <c r="B982" s="12">
        <f>STDEV(Dados!D981:D1010)*SQRT(252)</f>
        <v>0.17617423815124733</v>
      </c>
      <c r="C982" s="12">
        <f>STDEV(Dados!E981:E1010)*SQRT(252)</f>
        <v>0.14540614941761315</v>
      </c>
    </row>
    <row r="983" spans="1:3" ht="15" customHeight="1" x14ac:dyDescent="0.2">
      <c r="A983" s="11">
        <f>Dados!A1011</f>
        <v>45917</v>
      </c>
      <c r="B983" s="12">
        <f>STDEV(Dados!D982:D1011)*SQRT(252)</f>
        <v>0.17177215347248412</v>
      </c>
      <c r="C983" s="12">
        <f>STDEV(Dados!E982:E1011)*SQRT(252)</f>
        <v>0.14550700871749847</v>
      </c>
    </row>
    <row r="984" spans="1:3" ht="15" customHeight="1" x14ac:dyDescent="0.2">
      <c r="A984" s="11">
        <f>Dados!A1012</f>
        <v>45918</v>
      </c>
      <c r="B984" s="12">
        <f>STDEV(Dados!D983:D1012)*SQRT(252)</f>
        <v>0.17101065487561271</v>
      </c>
      <c r="C984" s="12">
        <f>STDEV(Dados!E983:E1012)*SQRT(252)</f>
        <v>0.14119518977966253</v>
      </c>
    </row>
    <row r="985" spans="1:3" ht="15" customHeight="1" x14ac:dyDescent="0.2">
      <c r="A985" s="11">
        <f>Dados!A1013</f>
        <v>45919</v>
      </c>
      <c r="B985" s="12">
        <f>STDEV(Dados!D984:D1013)*SQRT(252)</f>
        <v>0.17080724160288704</v>
      </c>
      <c r="C985" s="12">
        <f>STDEV(Dados!E984:E1013)*SQRT(252)</f>
        <v>0.13978711607643091</v>
      </c>
    </row>
    <row r="986" spans="1:3" ht="15" customHeight="1" x14ac:dyDescent="0.2">
      <c r="A986" s="11">
        <f>Dados!A1014</f>
        <v>45922</v>
      </c>
      <c r="B986" s="12">
        <f>STDEV(Dados!D985:D1014)*SQRT(252)</f>
        <v>0.17563944445999083</v>
      </c>
      <c r="C986" s="12">
        <f>STDEV(Dados!E985:E1014)*SQRT(252)</f>
        <v>0.14091842212186079</v>
      </c>
    </row>
    <row r="987" spans="1:3" ht="15" customHeight="1" x14ac:dyDescent="0.2">
      <c r="A987" s="11">
        <f>Dados!A1015</f>
        <v>45923</v>
      </c>
      <c r="B987" s="12">
        <f>STDEV(Dados!D986:D1015)*SQRT(252)</f>
        <v>0.17480328995942759</v>
      </c>
      <c r="C987" s="12">
        <f>STDEV(Dados!E986:E1015)*SQRT(252)</f>
        <v>0.13569487674227326</v>
      </c>
    </row>
    <row r="988" spans="1:3" ht="15" customHeight="1" x14ac:dyDescent="0.2">
      <c r="A988" s="11">
        <f>Dados!A1016</f>
        <v>45924</v>
      </c>
      <c r="B988" s="12">
        <f>STDEV(Dados!D987:D1016)*SQRT(252)</f>
        <v>0.17241861941162367</v>
      </c>
      <c r="C988" s="12">
        <f>STDEV(Dados!E987:E1016)*SQRT(252)</f>
        <v>0.1317933064190068</v>
      </c>
    </row>
    <row r="989" spans="1:3" ht="15" customHeight="1" x14ac:dyDescent="0.2">
      <c r="A989" s="11">
        <f>Dados!A1017</f>
        <v>45925</v>
      </c>
      <c r="B989" s="12">
        <f>STDEV(Dados!D988:D1017)*SQRT(252)</f>
        <v>0.17823627425275357</v>
      </c>
      <c r="C989" s="12">
        <f>STDEV(Dados!E988:E1017)*SQRT(252)</f>
        <v>0.13458126495119827</v>
      </c>
    </row>
    <row r="990" spans="1:3" ht="15" customHeight="1" x14ac:dyDescent="0.2">
      <c r="A990" s="11">
        <f>Dados!A1018</f>
        <v>45926</v>
      </c>
      <c r="B990" s="12">
        <f>STDEV(Dados!D989:D1018)*SQRT(252)</f>
        <v>0.17865178566959786</v>
      </c>
      <c r="C990" s="12">
        <f>STDEV(Dados!E989:E1018)*SQRT(252)</f>
        <v>0.13446217693222187</v>
      </c>
    </row>
    <row r="991" spans="1:3" ht="15" customHeight="1" x14ac:dyDescent="0.2">
      <c r="A991" s="11">
        <f>Dados!A1019</f>
        <v>45929</v>
      </c>
      <c r="B991" s="12">
        <f>STDEV(Dados!D990:D1019)*SQRT(252)</f>
        <v>0.17841936058429964</v>
      </c>
      <c r="C991" s="12">
        <f>STDEV(Dados!E990:E1019)*SQRT(252)</f>
        <v>0.13415109611062387</v>
      </c>
    </row>
    <row r="992" spans="1:3" ht="15" customHeight="1" x14ac:dyDescent="0.2">
      <c r="A992" s="11">
        <f>Dados!A1020</f>
        <v>45930</v>
      </c>
      <c r="B992" s="12">
        <f>STDEV(Dados!D991:D1020)*SQRT(252)</f>
        <v>0.15665934837973478</v>
      </c>
      <c r="C992" s="12">
        <f>STDEV(Dados!E991:E1020)*SQRT(252)</f>
        <v>0.11483988690361355</v>
      </c>
    </row>
    <row r="993" spans="1:3" ht="15" customHeight="1" x14ac:dyDescent="0.2">
      <c r="A993" s="11">
        <f>Dados!A1021</f>
        <v>45931</v>
      </c>
      <c r="B993" s="12">
        <f>STDEV(Dados!D992:D1021)*SQRT(252)</f>
        <v>0.16179156298705294</v>
      </c>
      <c r="C993" s="12">
        <f>STDEV(Dados!E992:E1021)*SQRT(252)</f>
        <v>0.11698789502990251</v>
      </c>
    </row>
    <row r="994" spans="1:3" ht="15" customHeight="1" x14ac:dyDescent="0.2">
      <c r="A994" s="11">
        <f>Dados!A1022</f>
        <v>45932</v>
      </c>
      <c r="B994" s="12">
        <f>STDEV(Dados!D993:D1022)*SQRT(252)</f>
        <v>0.1686734674485432</v>
      </c>
      <c r="C994" s="12">
        <f>STDEV(Dados!E993:E1022)*SQRT(252)</f>
        <v>0.12288410445541964</v>
      </c>
    </row>
    <row r="995" spans="1:3" ht="15" customHeight="1" x14ac:dyDescent="0.2">
      <c r="A995" s="11">
        <f>Dados!A1023</f>
        <v>45933</v>
      </c>
      <c r="B995" s="12">
        <f>STDEV(Dados!D994:D1023)*SQRT(252)</f>
        <v>0.14990688370115257</v>
      </c>
      <c r="C995" s="12">
        <f>STDEV(Dados!E994:E1023)*SQRT(252)</f>
        <v>0.10147951154782653</v>
      </c>
    </row>
    <row r="996" spans="1:3" ht="15" customHeight="1" x14ac:dyDescent="0.2">
      <c r="A996" s="11">
        <f>Dados!A1024</f>
        <v>45936</v>
      </c>
      <c r="B996" s="12">
        <f>STDEV(Dados!D995:D1024)*SQRT(252)</f>
        <v>0.15319107380026081</v>
      </c>
      <c r="C996" s="12">
        <f>STDEV(Dados!E995:E1024)*SQRT(252)</f>
        <v>0.10273397166201156</v>
      </c>
    </row>
    <row r="997" spans="1:3" ht="15" customHeight="1" x14ac:dyDescent="0.2">
      <c r="A997" s="11">
        <f>Dados!A1025</f>
        <v>45937</v>
      </c>
      <c r="B997" s="12">
        <f>STDEV(Dados!D996:D1025)*SQRT(252)</f>
        <v>0.16663211091789745</v>
      </c>
      <c r="C997" s="12">
        <f>STDEV(Dados!E996:E1025)*SQRT(252)</f>
        <v>0.1138418260648139</v>
      </c>
    </row>
    <row r="998" spans="1:3" ht="15" customHeight="1" x14ac:dyDescent="0.2">
      <c r="A998" s="11">
        <f>Dados!A1026</f>
        <v>45938</v>
      </c>
      <c r="B998" s="12">
        <f>STDEV(Dados!D997:D1026)*SQRT(252)</f>
        <v>0.16347163569447573</v>
      </c>
      <c r="C998" s="12">
        <f>STDEV(Dados!E997:E1026)*SQRT(252)</f>
        <v>0.11117949436615884</v>
      </c>
    </row>
    <row r="999" spans="1:3" ht="15" customHeight="1" x14ac:dyDescent="0.2">
      <c r="A999" s="11">
        <f>Dados!A1027</f>
        <v>45939</v>
      </c>
      <c r="B999" s="12">
        <f>STDEV(Dados!D998:D1027)*SQRT(252)</f>
        <v>0.15300396529082125</v>
      </c>
      <c r="C999" s="12">
        <f>STDEV(Dados!E998:E1027)*SQRT(252)</f>
        <v>0.10516748271942283</v>
      </c>
    </row>
    <row r="1000" spans="1:3" ht="15" customHeight="1" x14ac:dyDescent="0.2">
      <c r="A1000" s="11">
        <f>Dados!A1028</f>
        <v>45940</v>
      </c>
      <c r="B1000" s="12">
        <f>STDEV(Dados!D999:D1028)*SQRT(252)</f>
        <v>0.15461414965213147</v>
      </c>
      <c r="C1000" s="12">
        <f>STDEV(Dados!E999:E1028)*SQRT(252)</f>
        <v>0.10704441675974609</v>
      </c>
    </row>
    <row r="1001" spans="1:3" ht="15" customHeight="1" x14ac:dyDescent="0.2">
      <c r="A1001" s="11">
        <f>Dados!A1029</f>
        <v>45943</v>
      </c>
      <c r="B1001" s="12">
        <f>STDEV(Dados!D1000:D1029)*SQRT(252)</f>
        <v>0.15559146884509714</v>
      </c>
      <c r="C1001" s="12">
        <f>STDEV(Dados!E1000:E1029)*SQRT(252)</f>
        <v>0.10947386971219925</v>
      </c>
    </row>
    <row r="1002" spans="1:3" ht="15" customHeight="1" x14ac:dyDescent="0.2">
      <c r="A1002" s="11">
        <f>Dados!A1030</f>
        <v>45944</v>
      </c>
      <c r="B1002" s="12">
        <f>STDEV(Dados!D1001:D1030)*SQRT(252)</f>
        <v>0.15180691612346434</v>
      </c>
      <c r="C1002" s="12">
        <f>STDEV(Dados!E1001:E1030)*SQRT(252)</f>
        <v>0.10757378725405228</v>
      </c>
    </row>
    <row r="1003" spans="1:3" ht="15" customHeight="1" x14ac:dyDescent="0.2">
      <c r="A1003" s="11">
        <f>Dados!A1031</f>
        <v>45945</v>
      </c>
      <c r="B1003" s="12">
        <f>STDEV(Dados!D1002:D1031)*SQRT(252)</f>
        <v>0.15388274126936732</v>
      </c>
      <c r="C1003" s="12">
        <f>STDEV(Dados!E1002:E1031)*SQRT(252)</f>
        <v>0.1084258475615368</v>
      </c>
    </row>
    <row r="1004" spans="1:3" ht="15" customHeight="1" x14ac:dyDescent="0.2">
      <c r="A1004" s="11">
        <f>Dados!A1032</f>
        <v>45946</v>
      </c>
      <c r="B1004" s="12">
        <f>STDEV(Dados!D1003:D1032)*SQRT(252)</f>
        <v>0.15065949770508927</v>
      </c>
      <c r="C1004" s="12">
        <f>STDEV(Dados!E1003:E1032)*SQRT(252)</f>
        <v>0.10654769048874849</v>
      </c>
    </row>
    <row r="1005" spans="1:3" ht="15" customHeight="1" x14ac:dyDescent="0.2">
      <c r="A1005" s="11">
        <f>Dados!A1033</f>
        <v>45947</v>
      </c>
      <c r="B1005" s="12">
        <f>STDEV(Dados!D1004:D1033)*SQRT(252)</f>
        <v>0.14286440517875848</v>
      </c>
      <c r="C1005" s="12">
        <f>STDEV(Dados!E1004:E1033)*SQRT(252)</f>
        <v>0.10395129760700636</v>
      </c>
    </row>
    <row r="1006" spans="1:3" ht="15" customHeight="1" x14ac:dyDescent="0.2">
      <c r="A1006" s="11">
        <f>Dados!A1034</f>
        <v>45950</v>
      </c>
      <c r="B1006" s="12">
        <f>STDEV(Dados!D1005:D1034)*SQRT(252)</f>
        <v>0.14005691760398306</v>
      </c>
      <c r="C1006" s="12">
        <f>STDEV(Dados!E1005:E1034)*SQRT(252)</f>
        <v>0.10448626878547262</v>
      </c>
    </row>
    <row r="1007" spans="1:3" ht="15" customHeight="1" x14ac:dyDescent="0.2">
      <c r="A1007" s="11">
        <f>Dados!A1035</f>
        <v>45951</v>
      </c>
      <c r="B1007" s="12">
        <f>STDEV(Dados!D1006:D1035)*SQRT(252)</f>
        <v>0.1402123343531344</v>
      </c>
      <c r="C1007" s="12">
        <f>STDEV(Dados!E1006:E1035)*SQRT(252)</f>
        <v>0.10486785234777692</v>
      </c>
    </row>
    <row r="1008" spans="1:3" ht="15" customHeight="1" x14ac:dyDescent="0.2">
      <c r="A1008" s="11">
        <f>Dados!A1036</f>
        <v>45952</v>
      </c>
      <c r="B1008" s="12">
        <f>STDEV(Dados!D1007:D1036)*SQRT(252)</f>
        <v>0.13964175881781932</v>
      </c>
      <c r="C1008" s="12">
        <f>STDEV(Dados!E1007:E1036)*SQRT(252)</f>
        <v>0.10498732046388469</v>
      </c>
    </row>
    <row r="1009" spans="1:3" ht="15" customHeight="1" x14ac:dyDescent="0.2">
      <c r="A1009" s="11">
        <f>Dados!A1037</f>
        <v>45953</v>
      </c>
      <c r="B1009" s="12">
        <f>STDEV(Dados!D1008:D1037)*SQRT(252)</f>
        <v>0.13903530132155395</v>
      </c>
      <c r="C1009" s="12">
        <f>STDEV(Dados!E1008:E1037)*SQRT(252)</f>
        <v>0.10508003016830204</v>
      </c>
    </row>
    <row r="1010" spans="1:3" ht="15" customHeight="1" x14ac:dyDescent="0.2">
      <c r="A1010" s="11">
        <f>Dados!A1038</f>
        <v>45954</v>
      </c>
      <c r="B1010" s="12">
        <f>STDEV(Dados!D1009:D1038)*SQRT(252)</f>
        <v>0.13912678229148448</v>
      </c>
      <c r="C1010" s="12">
        <f>STDEV(Dados!E1009:E1038)*SQRT(252)</f>
        <v>0.103319925726174</v>
      </c>
    </row>
    <row r="1011" spans="1:3" ht="15" customHeight="1" x14ac:dyDescent="0.2">
      <c r="A1011" s="11">
        <f>Dados!A1039</f>
        <v>45957</v>
      </c>
      <c r="B1011" s="12">
        <f>STDEV(Dados!D1010:D1039)*SQRT(252)</f>
        <v>0.13964028215558927</v>
      </c>
      <c r="C1011" s="12">
        <f>STDEV(Dados!E1010:E1039)*SQRT(252)</f>
        <v>0.10144619573461924</v>
      </c>
    </row>
    <row r="1012" spans="1:3" ht="15" customHeight="1" x14ac:dyDescent="0.2">
      <c r="A1012" s="11">
        <f>Dados!A1040</f>
        <v>45958</v>
      </c>
      <c r="B1012" s="12">
        <f>STDEV(Dados!D1011:D1040)*SQRT(252)</f>
        <v>0.13851118473958718</v>
      </c>
      <c r="C1012" s="12">
        <f>STDEV(Dados!E1011:E1040)*SQRT(252)</f>
        <v>0.1013454983597161</v>
      </c>
    </row>
    <row r="1013" spans="1:3" ht="15" customHeight="1" x14ac:dyDescent="0.2">
      <c r="A1013" s="11">
        <f>Dados!A1041</f>
        <v>45959</v>
      </c>
      <c r="B1013" s="12">
        <f>STDEV(Dados!D1012:D1041)*SQRT(252)</f>
        <v>0.13260438942795319</v>
      </c>
      <c r="C1013" s="12">
        <f>STDEV(Dados!E1012:E1041)*SQRT(252)</f>
        <v>9.9520839644113707E-2</v>
      </c>
    </row>
    <row r="1014" spans="1:3" ht="15" customHeight="1" x14ac:dyDescent="0.2">
      <c r="A1014" s="11">
        <f>Dados!A1042</f>
        <v>45960</v>
      </c>
      <c r="B1014" s="12">
        <f>STDEV(Dados!D1013:D1042)*SQRT(252)</f>
        <v>0.13314223266196745</v>
      </c>
      <c r="C1014" s="12">
        <f>STDEV(Dados!E1013:E1042)*SQRT(252)</f>
        <v>9.9442269693733848E-2</v>
      </c>
    </row>
    <row r="1015" spans="1:3" ht="15" customHeight="1" x14ac:dyDescent="0.2">
      <c r="A1015" s="11">
        <f>Dados!A1043</f>
        <v>45961</v>
      </c>
      <c r="B1015" s="12">
        <f>STDEV(Dados!D1014:D1043)*SQRT(252)</f>
        <v>0.13410356078938523</v>
      </c>
      <c r="C1015" s="12">
        <f>STDEV(Dados!E1014:E1043)*SQRT(252)</f>
        <v>0.10012098986209994</v>
      </c>
    </row>
    <row r="1016" spans="1:3" ht="15" customHeight="1" x14ac:dyDescent="0.2">
      <c r="A1016" s="11">
        <f>Dados!A1044</f>
        <v>45964</v>
      </c>
      <c r="B1016" s="12">
        <f>STDEV(Dados!D1015:D1044)*SQRT(252)</f>
        <v>0.12881600176261612</v>
      </c>
      <c r="C1016" s="12">
        <f>STDEV(Dados!E1015:E1044)*SQRT(252)</f>
        <v>9.9561872328271711E-2</v>
      </c>
    </row>
    <row r="1017" spans="1:3" ht="15" customHeight="1" x14ac:dyDescent="0.2">
      <c r="A1017" s="11">
        <f>Dados!A1045</f>
        <v>45965</v>
      </c>
      <c r="B1017" s="12">
        <f>STDEV(Dados!D1016:D1045)*SQRT(252)</f>
        <v>0.12786891486593485</v>
      </c>
      <c r="C1017" s="12">
        <f>STDEV(Dados!E1016:E1045)*SQRT(252)</f>
        <v>9.6782819201055456E-2</v>
      </c>
    </row>
    <row r="1018" spans="1:3" ht="15" customHeight="1" x14ac:dyDescent="0.2">
      <c r="A1018" s="11">
        <f>Dados!A1046</f>
        <v>45966</v>
      </c>
      <c r="B1018" s="12">
        <f>STDEV(Dados!D1017:D1046)*SQRT(252)</f>
        <v>0.13999540731601645</v>
      </c>
      <c r="C1018" s="12">
        <f>STDEV(Dados!E1017:E1046)*SQRT(252)</f>
        <v>0.10738659690357066</v>
      </c>
    </row>
    <row r="1019" spans="1:3" ht="15" customHeight="1" x14ac:dyDescent="0.2">
      <c r="A1019" s="11">
        <f>Dados!A1047</f>
        <v>45967</v>
      </c>
      <c r="B1019" s="12">
        <f>STDEV(Dados!D1018:D1047)*SQRT(252)</f>
        <v>0.13355070784630091</v>
      </c>
      <c r="C1019" s="12">
        <f>STDEV(Dados!E1018:E1047)*SQRT(252)</f>
        <v>0.10352013382692683</v>
      </c>
    </row>
    <row r="1020" spans="1:3" ht="15" customHeight="1" x14ac:dyDescent="0.2">
      <c r="A1020" s="11">
        <f>Dados!A1048</f>
        <v>45968</v>
      </c>
      <c r="B1020" s="12">
        <f>STDEV(Dados!D1019:D1048)*SQRT(252)</f>
        <v>0.13227844762949811</v>
      </c>
      <c r="C1020" s="12">
        <f>STDEV(Dados!E1019:E1048)*SQRT(252)</f>
        <v>0.1038302165219223</v>
      </c>
    </row>
    <row r="1021" spans="1:3" ht="15" customHeight="1" x14ac:dyDescent="0.2">
      <c r="A1021" s="11">
        <f>Dados!A1049</f>
        <v>45971</v>
      </c>
      <c r="B1021" s="12">
        <f>STDEV(Dados!D1020:D1049)*SQRT(252)</f>
        <v>0.1332562682242634</v>
      </c>
      <c r="C1021" s="12">
        <f>STDEV(Dados!E1020:E1049)*SQRT(252)</f>
        <v>0.10449797650696301</v>
      </c>
    </row>
    <row r="1022" spans="1:3" ht="15" customHeight="1" x14ac:dyDescent="0.2">
      <c r="A1022" s="11">
        <f>Dados!A1050</f>
        <v>45972</v>
      </c>
      <c r="B1022" s="12">
        <f>STDEV(Dados!D1021:D1050)*SQRT(252)</f>
        <v>0.14313467440827127</v>
      </c>
      <c r="C1022" s="12">
        <f>STDEV(Dados!E1021:E1050)*SQRT(252)</f>
        <v>0.11166882502057771</v>
      </c>
    </row>
    <row r="1023" spans="1:3" ht="15" customHeight="1" x14ac:dyDescent="0.2">
      <c r="A1023" s="11">
        <f>Dados!A1051</f>
        <v>45973</v>
      </c>
      <c r="B1023" s="12">
        <f>STDEV(Dados!D1022:D1051)*SQRT(252)</f>
        <v>0.1373770975909625</v>
      </c>
      <c r="C1023" s="12">
        <f>STDEV(Dados!E1022:E1051)*SQRT(252)</f>
        <v>0.10987928157854791</v>
      </c>
    </row>
    <row r="1024" spans="1:3" ht="15" customHeight="1" x14ac:dyDescent="0.2">
      <c r="A1024" s="11">
        <f>Dados!A1052</f>
        <v>45974</v>
      </c>
      <c r="B1024" s="12">
        <f>STDEV(Dados!D1023:D1052)*SQRT(252)</f>
        <v>0.12696310685410866</v>
      </c>
      <c r="C1024" s="12">
        <f>STDEV(Dados!E1023:E1052)*SQRT(252)</f>
        <v>0.10369133041536467</v>
      </c>
    </row>
    <row r="1025" spans="1:3" ht="15" customHeight="1" x14ac:dyDescent="0.2">
      <c r="A1025" s="11">
        <f>Dados!A1053</f>
        <v>45975</v>
      </c>
      <c r="B1025" s="12">
        <f>STDEV(Dados!D1024:D1053)*SQRT(252)</f>
        <v>0.12739212744840292</v>
      </c>
      <c r="C1025" s="12">
        <f>STDEV(Dados!E1024:E1053)*SQRT(252)</f>
        <v>0.10365012860602031</v>
      </c>
    </row>
    <row r="1026" spans="1:3" ht="15" customHeight="1" x14ac:dyDescent="0.2">
      <c r="A1026" s="11">
        <f>Dados!A1054</f>
        <v>45978</v>
      </c>
      <c r="B1026" s="12">
        <f>STDEV(Dados!D1025:D1054)*SQRT(252)</f>
        <v>0.12469932475449071</v>
      </c>
      <c r="C1026" s="12">
        <f>STDEV(Dados!E1025:E1054)*SQRT(252)</f>
        <v>0.10403450146380233</v>
      </c>
    </row>
    <row r="1027" spans="1:3" ht="15" customHeight="1" x14ac:dyDescent="0.2">
      <c r="A1027" s="11">
        <f>Dados!A1055</f>
        <v>45979</v>
      </c>
      <c r="B1027" s="12">
        <f>STDEV(Dados!D1026:D1055)*SQRT(252)</f>
        <v>0.10043265593352012</v>
      </c>
      <c r="C1027" s="12">
        <f>STDEV(Dados!E1026:E1055)*SQRT(252)</f>
        <v>8.9567945048036349E-2</v>
      </c>
    </row>
    <row r="1028" spans="1:3" ht="15" customHeight="1" x14ac:dyDescent="0.2">
      <c r="A1028" s="11">
        <f>Dados!A1056</f>
        <v>45980</v>
      </c>
      <c r="B1028" s="12">
        <f>STDEV(Dados!D1027:D1056)*SQRT(252)</f>
        <v>0.11070068657279117</v>
      </c>
      <c r="C1028" s="12">
        <f>STDEV(Dados!E1027:E1056)*SQRT(252)</f>
        <v>9.4503286410006548E-2</v>
      </c>
    </row>
    <row r="1029" spans="1:3" ht="15" customHeight="1" x14ac:dyDescent="0.2">
      <c r="A1029" s="11">
        <f>Dados!A1057</f>
        <v>45982</v>
      </c>
      <c r="B1029" s="12">
        <f>STDEV(Dados!D1028:D1057)*SQRT(252)</f>
        <v>0.11188574634662454</v>
      </c>
      <c r="C1029" s="12">
        <f>STDEV(Dados!E1028:E1057)*SQRT(252)</f>
        <v>9.5013554236506939E-2</v>
      </c>
    </row>
    <row r="1030" spans="1:3" ht="15" customHeight="1" x14ac:dyDescent="0.2">
      <c r="A1030" s="11">
        <f>Dados!A1058</f>
        <v>45985</v>
      </c>
      <c r="B1030" s="12">
        <f>STDEV(Dados!D1029:D1058)*SQRT(252)</f>
        <v>0.10694465006146506</v>
      </c>
      <c r="C1030" s="12">
        <f>STDEV(Dados!E1029:E1058)*SQRT(252)</f>
        <v>8.9937131858645075E-2</v>
      </c>
    </row>
    <row r="1031" spans="1:3" ht="15" customHeight="1" x14ac:dyDescent="0.2">
      <c r="A1031" s="11">
        <f>Dados!A1059</f>
        <v>45986</v>
      </c>
      <c r="B1031" s="12">
        <f>STDEV(Dados!D1030:D1059)*SQRT(252)</f>
        <v>0.10701761329603829</v>
      </c>
      <c r="C1031" s="12">
        <f>STDEV(Dados!E1030:E1059)*SQRT(252)</f>
        <v>8.8951295238627923E-2</v>
      </c>
    </row>
    <row r="1032" spans="1:3" ht="15" customHeight="1" x14ac:dyDescent="0.2">
      <c r="A1032" s="11">
        <f>Dados!A1060</f>
        <v>45987</v>
      </c>
      <c r="B1032" s="12">
        <f>STDEV(Dados!D1031:D1060)*SQRT(252)</f>
        <v>0.11569795955522057</v>
      </c>
      <c r="C1032" s="12">
        <f>STDEV(Dados!E1031:E1060)*SQRT(252)</f>
        <v>9.6507659324964107E-2</v>
      </c>
    </row>
    <row r="1033" spans="1:3" ht="15" customHeight="1" x14ac:dyDescent="0.2">
      <c r="A1033" s="11">
        <f>Dados!A1061</f>
        <v>45988</v>
      </c>
      <c r="B1033" s="12">
        <f>STDEV(Dados!D1032:D1061)*SQRT(252)</f>
        <v>0.11546175588514661</v>
      </c>
      <c r="C1033" s="12">
        <f>STDEV(Dados!E1032:E1061)*SQRT(252)</f>
        <v>9.7197621911699214E-2</v>
      </c>
    </row>
    <row r="1034" spans="1:3" ht="15" customHeight="1" x14ac:dyDescent="0.2">
      <c r="A1034" s="11">
        <f>Dados!A1062</f>
        <v>45989</v>
      </c>
      <c r="B1034" s="12">
        <f>STDEV(Dados!D1033:D1062)*SQRT(252)</f>
        <v>0.11472590414426298</v>
      </c>
      <c r="C1034" s="12">
        <f>STDEV(Dados!E1033:E1062)*SQRT(252)</f>
        <v>9.5352943249877822E-2</v>
      </c>
    </row>
    <row r="1035" spans="1:3" ht="15" customHeight="1" x14ac:dyDescent="0.2">
      <c r="A1035" s="11">
        <f>Dados!A1063</f>
        <v>45992</v>
      </c>
      <c r="B1035" s="12">
        <f>STDEV(Dados!D1034:D1063)*SQRT(252)</f>
        <v>0.11942269733983432</v>
      </c>
      <c r="C1035" s="12">
        <f>STDEV(Dados!E1034:E1063)*SQRT(252)</f>
        <v>9.6175208323789452E-2</v>
      </c>
    </row>
    <row r="1036" spans="1:3" ht="15" customHeight="1" x14ac:dyDescent="0.2">
      <c r="A1036" s="11">
        <f>Dados!A1064</f>
        <v>45993</v>
      </c>
      <c r="B1036" s="12">
        <f>STDEV(Dados!D1035:D1064)*SQRT(252)</f>
        <v>0.12467090333239643</v>
      </c>
      <c r="C1036" s="12">
        <f>STDEV(Dados!E1035:E1064)*SQRT(252)</f>
        <v>0.10174727149920974</v>
      </c>
    </row>
    <row r="1037" spans="1:3" ht="15" customHeight="1" x14ac:dyDescent="0.2">
      <c r="A1037" s="11">
        <f>Dados!A1065</f>
        <v>45994</v>
      </c>
      <c r="B1037" s="12">
        <f>STDEV(Dados!D1036:D1065)*SQRT(252)</f>
        <v>0.12549295881436442</v>
      </c>
      <c r="C1037" s="12">
        <f>STDEV(Dados!E1036:E1065)*SQRT(252)</f>
        <v>9.9831308047483955E-2</v>
      </c>
    </row>
    <row r="1038" spans="1:3" ht="15" customHeight="1" x14ac:dyDescent="0.2">
      <c r="A1038" s="11">
        <f>Dados!A1066</f>
        <v>45995</v>
      </c>
      <c r="B1038" s="12">
        <f>STDEV(Dados!D1037:D1066)*SQRT(252)</f>
        <v>0.12960168443637815</v>
      </c>
      <c r="C1038" s="12">
        <f>STDEV(Dados!E1037:E1066)*SQRT(252)</f>
        <v>0.10635251640853974</v>
      </c>
    </row>
    <row r="1039" spans="1:3" ht="15" customHeight="1" x14ac:dyDescent="0.2">
      <c r="A1039" s="11">
        <f>Dados!A1067</f>
        <v>45996</v>
      </c>
      <c r="B1039" s="12">
        <f>STDEV(Dados!D1038:D1067)*SQRT(252)</f>
        <v>0.21992192149332615</v>
      </c>
      <c r="C1039" s="12">
        <f>STDEV(Dados!E1038:E1067)*SQRT(252)</f>
        <v>0.17555413252284691</v>
      </c>
    </row>
    <row r="1040" spans="1:3" ht="15" customHeight="1" x14ac:dyDescent="0.2">
      <c r="A1040" s="11">
        <f>Dados!A1068</f>
        <v>45999</v>
      </c>
      <c r="B1040" s="12">
        <f>STDEV(Dados!D1039:D1068)*SQRT(252)</f>
        <v>0.22086077414141767</v>
      </c>
      <c r="C1040" s="12">
        <f>STDEV(Dados!E1039:E1068)*SQRT(252)</f>
        <v>0.1757136150385146</v>
      </c>
    </row>
    <row r="1041" spans="1:3" ht="15" customHeight="1" x14ac:dyDescent="0.2">
      <c r="A1041" s="11">
        <f>Dados!A1069</f>
        <v>46000</v>
      </c>
      <c r="B1041" s="12">
        <f>STDEV(Dados!D1040:D1069)*SQRT(252)</f>
        <v>0.22173788622091167</v>
      </c>
      <c r="C1041" s="12">
        <f>STDEV(Dados!E1040:E1069)*SQRT(252)</f>
        <v>0.17586472662197386</v>
      </c>
    </row>
    <row r="1042" spans="1:3" ht="15" customHeight="1" x14ac:dyDescent="0.2">
      <c r="A1042" s="11">
        <f>Dados!A1070</f>
        <v>46001</v>
      </c>
      <c r="B1042" s="12">
        <f>STDEV(Dados!D1041:D1070)*SQRT(252)</f>
        <v>0.22191783959142747</v>
      </c>
      <c r="C1042" s="12">
        <f>STDEV(Dados!E1041:E1070)*SQRT(252)</f>
        <v>0.17633829907818394</v>
      </c>
    </row>
    <row r="1043" spans="1:3" ht="15" customHeight="1" x14ac:dyDescent="0.2">
      <c r="A1043" s="11">
        <f>Dados!A1071</f>
        <v>46002</v>
      </c>
      <c r="B1043" s="12">
        <f>STDEV(Dados!D1042:D1071)*SQRT(252)</f>
        <v>0.22196179570967636</v>
      </c>
      <c r="C1043" s="12">
        <f>STDEV(Dados!E1042:E1071)*SQRT(252)</f>
        <v>0.17560054512841994</v>
      </c>
    </row>
    <row r="1044" spans="1:3" ht="15" customHeight="1" x14ac:dyDescent="0.2">
      <c r="A1044" s="11">
        <f>Dados!A1072</f>
        <v>46003</v>
      </c>
      <c r="B1044" s="12">
        <f>STDEV(Dados!D1043:D1072)*SQRT(252)</f>
        <v>0.2229526663684788</v>
      </c>
      <c r="C1044" s="12">
        <f>STDEV(Dados!E1043:E1072)*SQRT(252)</f>
        <v>0.17690720481585773</v>
      </c>
    </row>
    <row r="1045" spans="1:3" ht="15" customHeight="1" x14ac:dyDescent="0.2">
      <c r="A1045" s="11">
        <f>Dados!A1073</f>
        <v>46006</v>
      </c>
      <c r="B1045" s="12">
        <f>STDEV(Dados!D1044:D1073)*SQRT(252)</f>
        <v>0.22364061432762278</v>
      </c>
      <c r="C1045" s="12">
        <f>STDEV(Dados!E1044:E1073)*SQRT(252)</f>
        <v>0.17830713481059826</v>
      </c>
    </row>
    <row r="1046" spans="1:3" ht="15" customHeight="1" x14ac:dyDescent="0.2">
      <c r="A1046" s="11">
        <f>Dados!A1074</f>
        <v>46007</v>
      </c>
      <c r="B1046" s="12">
        <f>STDEV(Dados!D1045:D1074)*SQRT(252)</f>
        <v>0.24400634104845684</v>
      </c>
      <c r="C1046" s="12">
        <f>STDEV(Dados!E1045:E1074)*SQRT(252)</f>
        <v>0.19443552990681703</v>
      </c>
    </row>
    <row r="1047" spans="1:3" ht="15" customHeight="1" x14ac:dyDescent="0.2">
      <c r="A1047" s="11">
        <f>Dados!A1075</f>
        <v>46008</v>
      </c>
      <c r="B1047" s="12">
        <f>STDEV(Dados!D1046:D1075)*SQRT(252)</f>
        <v>0.24978747781026439</v>
      </c>
      <c r="C1047" s="12">
        <f>STDEV(Dados!E1046:E1075)*SQRT(252)</f>
        <v>0.19644744563765842</v>
      </c>
    </row>
    <row r="1048" spans="1:3" ht="15" customHeight="1" x14ac:dyDescent="0.2">
      <c r="A1048" s="11">
        <f>Dados!A1076</f>
        <v>46009</v>
      </c>
      <c r="B1048" s="12">
        <f>STDEV(Dados!D1047:D1076)*SQRT(252)</f>
        <v>0.24288934492304473</v>
      </c>
      <c r="C1048" s="12">
        <f>STDEV(Dados!E1047:E1076)*SQRT(252)</f>
        <v>0.19097675950055623</v>
      </c>
    </row>
    <row r="1049" spans="1:3" ht="15" customHeight="1" x14ac:dyDescent="0.2">
      <c r="A1049" s="11">
        <f>Dados!A1077</f>
        <v>46010</v>
      </c>
      <c r="B1049" s="12">
        <f>STDEV(Dados!D1048:D1077)*SQRT(252)</f>
        <v>0.24285226923318506</v>
      </c>
      <c r="C1049" s="12">
        <f>STDEV(Dados!E1048:E1077)*SQRT(252)</f>
        <v>0.1910984369961361</v>
      </c>
    </row>
    <row r="1050" spans="1:3" ht="15" customHeight="1" x14ac:dyDescent="0.2">
      <c r="A1050" s="11">
        <f>Dados!A1078</f>
        <v>46013</v>
      </c>
      <c r="B1050" s="12">
        <f>STDEV(Dados!D1049:D1078)*SQRT(252)</f>
        <v>0.24408076047457142</v>
      </c>
      <c r="C1050" s="12">
        <f>STDEV(Dados!E1049:E1078)*SQRT(252)</f>
        <v>0.19099664564911001</v>
      </c>
    </row>
    <row r="1051" spans="1:3" ht="15" customHeight="1" x14ac:dyDescent="0.2">
      <c r="A1051" s="11">
        <f>Dados!A1079</f>
        <v>46014</v>
      </c>
      <c r="B1051" s="12">
        <f>STDEV(Dados!D1050:D1079)*SQRT(252)</f>
        <v>0.24833541702994427</v>
      </c>
      <c r="C1051" s="12">
        <f>STDEV(Dados!E1050:E1079)*SQRT(252)</f>
        <v>0.19411280243157591</v>
      </c>
    </row>
    <row r="1052" spans="1:3" ht="15" customHeight="1" x14ac:dyDescent="0.2">
      <c r="A1052" s="11">
        <f>Dados!A1080</f>
        <v>46017</v>
      </c>
      <c r="B1052" s="12">
        <f>STDEV(Dados!D1051:D1080)*SQRT(252)</f>
        <v>0.24207362257497489</v>
      </c>
      <c r="C1052" s="12">
        <f>STDEV(Dados!E1051:E1080)*SQRT(252)</f>
        <v>0.18905848335513581</v>
      </c>
    </row>
    <row r="1053" spans="1:3" ht="15" customHeight="1" x14ac:dyDescent="0.2">
      <c r="A1053" s="11">
        <f>Dados!A1081</f>
        <v>46020</v>
      </c>
      <c r="B1053" s="12">
        <f>STDEV(Dados!D1052:D1081)*SQRT(252)</f>
        <v>0.24202389588214701</v>
      </c>
      <c r="C1053" s="12">
        <f>STDEV(Dados!E1052:E1081)*SQRT(252)</f>
        <v>0.18924531058857788</v>
      </c>
    </row>
    <row r="1054" spans="1:3" ht="15" customHeight="1" x14ac:dyDescent="0.2">
      <c r="A1054" s="11">
        <f>Dados!A1082</f>
        <v>46021</v>
      </c>
      <c r="B1054" s="12">
        <f>STDEV(Dados!D1053:D1082)*SQRT(252)</f>
        <v>0.24283666353031538</v>
      </c>
      <c r="C1054" s="12">
        <f>STDEV(Dados!E1053:E1082)*SQRT(252)</f>
        <v>0.18917000533274783</v>
      </c>
    </row>
    <row r="1055" spans="1:3" ht="15" customHeight="1" x14ac:dyDescent="0.2">
      <c r="A1055" s="11">
        <f>Dados!A1083</f>
        <v>46024</v>
      </c>
      <c r="B1055" s="12">
        <f>STDEV(Dados!D1054:D1083)*SQRT(252)</f>
        <v>0.24225159716730926</v>
      </c>
      <c r="C1055" s="12">
        <f>STDEV(Dados!E1054:E1083)*SQRT(252)</f>
        <v>0.18940410465786081</v>
      </c>
    </row>
    <row r="1056" spans="1:3" ht="15" customHeight="1" x14ac:dyDescent="0.2">
      <c r="A1056" s="11">
        <f>Dados!A1084</f>
        <v>46027</v>
      </c>
      <c r="B1056" s="12">
        <f>STDEV(Dados!D1055:D1084)*SQRT(252)</f>
        <v>0.24514880086264293</v>
      </c>
      <c r="C1056" s="12">
        <f>STDEV(Dados!E1055:E1084)*SQRT(252)</f>
        <v>0.18997266767895574</v>
      </c>
    </row>
    <row r="1057" spans="1:3" ht="15" customHeight="1" x14ac:dyDescent="0.2">
      <c r="A1057" s="11">
        <f>Dados!A1085</f>
        <v>46028</v>
      </c>
      <c r="B1057" s="12">
        <f>STDEV(Dados!D1056:D1085)*SQRT(252)</f>
        <v>0.24876169221110972</v>
      </c>
      <c r="C1057" s="12">
        <f>STDEV(Dados!E1056:E1085)*SQRT(252)</f>
        <v>0.19173223168249298</v>
      </c>
    </row>
    <row r="1058" spans="1:3" ht="15" customHeight="1" x14ac:dyDescent="0.2">
      <c r="A1058" s="11">
        <f>Dados!A1086</f>
        <v>46029</v>
      </c>
      <c r="B1058" s="12">
        <f>STDEV(Dados!D1057:D1086)*SQRT(252)</f>
        <v>0.24868451429105523</v>
      </c>
      <c r="C1058" s="12">
        <f>STDEV(Dados!E1057:E1086)*SQRT(252)</f>
        <v>0.19315150620292326</v>
      </c>
    </row>
    <row r="1059" spans="1:3" ht="15" customHeight="1" x14ac:dyDescent="0.2">
      <c r="A1059" s="11">
        <f>Dados!A1087</f>
        <v>46030</v>
      </c>
      <c r="B1059" s="12">
        <f>STDEV(Dados!D1058:D1087)*SQRT(252)</f>
        <v>0.24850363938757644</v>
      </c>
      <c r="C1059" s="12">
        <f>STDEV(Dados!E1058:E1087)*SQRT(252)</f>
        <v>0.19290219618012652</v>
      </c>
    </row>
    <row r="1060" spans="1:3" ht="15" customHeight="1" x14ac:dyDescent="0.2">
      <c r="A1060" s="11">
        <f>Dados!A1088</f>
        <v>46031</v>
      </c>
      <c r="B1060" s="12">
        <f>STDEV(Dados!D1059:D1088)*SQRT(252)</f>
        <v>0.24789525117532607</v>
      </c>
      <c r="C1060" s="12">
        <f>STDEV(Dados!E1059:E1088)*SQRT(252)</f>
        <v>0.19286704678357586</v>
      </c>
    </row>
    <row r="1061" spans="1:3" ht="15" customHeight="1" x14ac:dyDescent="0.2">
      <c r="A1061" s="11">
        <f>Dados!A1089</f>
        <v>46034</v>
      </c>
      <c r="B1061" s="12">
        <f>STDEV(Dados!D1060:D1089)*SQRT(252)</f>
        <v>0.24754149627386079</v>
      </c>
      <c r="C1061" s="12">
        <f>STDEV(Dados!E1060:E1089)*SQRT(252)</f>
        <v>0.19292700175758321</v>
      </c>
    </row>
    <row r="1062" spans="1:3" ht="15" customHeight="1" x14ac:dyDescent="0.2">
      <c r="A1062" s="11">
        <f>Dados!A1090</f>
        <v>46035</v>
      </c>
      <c r="B1062" s="12">
        <f>STDEV(Dados!D1061:D1090)*SQRT(252)</f>
        <v>0.24441682636544271</v>
      </c>
      <c r="C1062" s="12">
        <f>STDEV(Dados!E1061:E1090)*SQRT(252)</f>
        <v>0.18889737795354469</v>
      </c>
    </row>
    <row r="1063" spans="1:3" ht="15" customHeight="1" x14ac:dyDescent="0.2">
      <c r="A1063" s="11">
        <f>Dados!A1091</f>
        <v>46036</v>
      </c>
      <c r="B1063" s="12">
        <f>STDEV(Dados!D1062:D1091)*SQRT(252)</f>
        <v>0.24866841052728628</v>
      </c>
      <c r="C1063" s="12">
        <f>STDEV(Dados!E1062:E1091)*SQRT(252)</f>
        <v>0.19637056172686365</v>
      </c>
    </row>
    <row r="1064" spans="1:3" ht="15" customHeight="1" x14ac:dyDescent="0.2">
      <c r="A1064" s="11">
        <f>Dados!A1092</f>
        <v>46037</v>
      </c>
      <c r="B1064" s="12">
        <f>STDEV(Dados!D1063:D1092)*SQRT(252)</f>
        <v>0.24833994908116172</v>
      </c>
      <c r="C1064" s="12">
        <f>STDEV(Dados!E1063:E1092)*SQRT(252)</f>
        <v>0.19618625327777001</v>
      </c>
    </row>
    <row r="1065" spans="1:3" ht="15" customHeight="1" x14ac:dyDescent="0.2">
      <c r="A1065" s="11">
        <f>Dados!A1093</f>
        <v>46038</v>
      </c>
      <c r="B1065" s="12">
        <f>STDEV(Dados!D1064:D1093)*SQRT(252)</f>
        <v>0.24761389149307261</v>
      </c>
      <c r="C1065" s="12">
        <f>STDEV(Dados!E1064:E1093)*SQRT(252)</f>
        <v>0.19657903910098148</v>
      </c>
    </row>
    <row r="1066" spans="1:3" ht="15" customHeight="1" x14ac:dyDescent="0.2">
      <c r="A1066" s="11">
        <f>Dados!A1094</f>
        <v>46041</v>
      </c>
      <c r="B1066" s="12">
        <f>STDEV(Dados!D1065:D1094)*SQRT(252)</f>
        <v>0.2427002728965118</v>
      </c>
      <c r="C1066" s="12">
        <f>STDEV(Dados!E1065:E1094)*SQRT(252)</f>
        <v>0.19188850099496924</v>
      </c>
    </row>
    <row r="1067" spans="1:3" ht="15" customHeight="1" x14ac:dyDescent="0.2">
      <c r="A1067" s="11">
        <f>Dados!A1095</f>
        <v>46042</v>
      </c>
      <c r="B1067" s="12">
        <f>STDEV(Dados!D1066:D1095)*SQRT(252)</f>
        <v>0.24298504785887962</v>
      </c>
      <c r="C1067" s="12">
        <f>STDEV(Dados!E1066:E1095)*SQRT(252)</f>
        <v>0.1930150540425834</v>
      </c>
    </row>
    <row r="1068" spans="1:3" ht="15" customHeight="1" x14ac:dyDescent="0.2">
      <c r="A1068" s="11">
        <f>Dados!A1096</f>
        <v>46043</v>
      </c>
      <c r="B1068" s="12">
        <f>STDEV(Dados!D1067:D1096)*SQRT(252)</f>
        <v>0.25988519205392435</v>
      </c>
      <c r="C1068" s="12">
        <f>STDEV(Dados!E1067:E1096)*SQRT(252)</f>
        <v>0.20945398533831722</v>
      </c>
    </row>
    <row r="1069" spans="1:3" ht="15" customHeight="1" x14ac:dyDescent="0.2">
      <c r="A1069" s="11">
        <f>Dados!A1097</f>
        <v>46044</v>
      </c>
      <c r="B1069" s="12">
        <f>STDEV(Dados!D1068:D1097)*SQRT(252)</f>
        <v>0.20413019877720837</v>
      </c>
      <c r="C1069" s="12">
        <f>STDEV(Dados!E1068:E1097)*SQRT(252)</f>
        <v>0.16788892728245167</v>
      </c>
    </row>
    <row r="1070" spans="1:3" ht="15" customHeight="1" x14ac:dyDescent="0.2">
      <c r="A1070" s="11">
        <f>Dados!A1098</f>
        <v>46045</v>
      </c>
      <c r="B1070" s="12">
        <f>STDEV(Dados!D1069:D1098)*SQRT(252)</f>
        <v>0.20652372193228127</v>
      </c>
      <c r="C1070" s="12">
        <f>STDEV(Dados!E1069:E1098)*SQRT(252)</f>
        <v>0.17325897474302085</v>
      </c>
    </row>
    <row r="1071" spans="1:3" ht="15" customHeight="1" x14ac:dyDescent="0.2">
      <c r="A1071" s="11">
        <f>Dados!A1099</f>
        <v>46048</v>
      </c>
      <c r="B1071" s="12">
        <f>STDEV(Dados!D1070:D1099)*SQRT(252)</f>
        <v>0.20445245856713312</v>
      </c>
      <c r="C1071" s="12">
        <f>STDEV(Dados!E1070:E1099)*SQRT(252)</f>
        <v>0.17312195969861788</v>
      </c>
    </row>
    <row r="1072" spans="1:3" ht="15" customHeight="1" x14ac:dyDescent="0.2">
      <c r="A1072" s="11">
        <f>Dados!A1100</f>
        <v>46049</v>
      </c>
      <c r="B1072" s="12">
        <f>STDEV(Dados!D1071:D1100)*SQRT(252)</f>
        <v>0.20859463855639351</v>
      </c>
      <c r="C1072" s="12">
        <f>STDEV(Dados!E1071:E1100)*SQRT(252)</f>
        <v>0.17743307173229445</v>
      </c>
    </row>
    <row r="1073" spans="1:3" ht="15" customHeight="1" x14ac:dyDescent="0.2">
      <c r="A1073" s="11">
        <f>Dados!A1101</f>
        <v>46050</v>
      </c>
      <c r="B1073" s="12">
        <f>STDEV(Dados!D1072:D1101)*SQRT(252)</f>
        <v>0.20987202996899751</v>
      </c>
      <c r="C1073" s="12">
        <f>STDEV(Dados!E1072:E1101)*SQRT(252)</f>
        <v>0.17968115897913731</v>
      </c>
    </row>
    <row r="1074" spans="1:3" ht="15" customHeight="1" x14ac:dyDescent="0.2">
      <c r="A1074" s="11">
        <f>Dados!A1102</f>
        <v>46051</v>
      </c>
      <c r="B1074" s="12">
        <f>STDEV(Dados!D1073:D1102)*SQRT(252)</f>
        <v>0.21296513854907753</v>
      </c>
      <c r="C1074" s="12">
        <f>STDEV(Dados!E1073:E1102)*SQRT(252)</f>
        <v>0.18314965206392717</v>
      </c>
    </row>
    <row r="1075" spans="1:3" ht="15" customHeight="1" x14ac:dyDescent="0.2">
      <c r="A1075" s="11">
        <f>Dados!A1103</f>
        <v>46052</v>
      </c>
      <c r="B1075" s="12">
        <f>STDEV(Dados!D1074:D1103)*SQRT(252)</f>
        <v>0.21533203895961706</v>
      </c>
      <c r="C1075" s="12">
        <f>STDEV(Dados!E1074:E1103)*SQRT(252)</f>
        <v>0.18654312374573459</v>
      </c>
    </row>
    <row r="1076" spans="1:3" ht="15" customHeight="1" x14ac:dyDescent="0.2">
      <c r="A1076" s="11">
        <f>Dados!A1104</f>
        <v>46055</v>
      </c>
      <c r="B1076" s="12">
        <f>STDEV(Dados!D1075:D1104)*SQRT(252)</f>
        <v>0.19085634325912426</v>
      </c>
      <c r="C1076" s="12">
        <f>STDEV(Dados!E1075:E1104)*SQRT(252)</f>
        <v>0.16686870109974422</v>
      </c>
    </row>
    <row r="1077" spans="1:3" ht="15" customHeight="1" x14ac:dyDescent="0.2">
      <c r="A1077" s="11">
        <f>Dados!A1105</f>
        <v>46056</v>
      </c>
      <c r="B1077" s="12">
        <f>STDEV(Dados!D1076:D1105)*SQRT(252)</f>
        <v>0.18056615716623484</v>
      </c>
      <c r="C1077" s="12">
        <f>STDEV(Dados!E1076:E1105)*SQRT(252)</f>
        <v>0.1653026002401963</v>
      </c>
    </row>
    <row r="1078" spans="1:3" ht="15" customHeight="1" x14ac:dyDescent="0.2">
      <c r="A1078" s="11">
        <f>Dados!A1106</f>
        <v>46057</v>
      </c>
      <c r="B1078" s="12">
        <f>STDEV(Dados!D1077:D1106)*SQRT(252)</f>
        <v>0.20834109975997694</v>
      </c>
      <c r="C1078" s="12">
        <f>STDEV(Dados!E1077:E1106)*SQRT(252)</f>
        <v>0.18303096906281449</v>
      </c>
    </row>
    <row r="1079" spans="1:3" ht="15" customHeight="1" x14ac:dyDescent="0.2">
      <c r="A1079" s="11">
        <f>Dados!A1107</f>
        <v>46058</v>
      </c>
      <c r="B1079" s="12">
        <f>STDEV(Dados!D1078:D1107)*SQRT(252)</f>
        <v>0.20871951193845004</v>
      </c>
      <c r="C1079" s="12">
        <f>STDEV(Dados!E1078:E1107)*SQRT(252)</f>
        <v>0.1831293781309476</v>
      </c>
    </row>
    <row r="1080" spans="1:3" ht="15" customHeight="1" x14ac:dyDescent="0.2">
      <c r="A1080" s="11">
        <f>Dados!A1108</f>
        <v>46059</v>
      </c>
      <c r="B1080" s="12">
        <f>STDEV(Dados!D1079:D1108)*SQRT(252)</f>
        <v>0.20606464734259952</v>
      </c>
      <c r="C1080" s="12">
        <f>STDEV(Dados!E1079:E1108)*SQRT(252)</f>
        <v>0.18201793347457876</v>
      </c>
    </row>
    <row r="1081" spans="1:3" ht="15" customHeight="1" x14ac:dyDescent="0.2">
      <c r="A1081" s="11">
        <f>Dados!A1109</f>
        <v>46062</v>
      </c>
      <c r="B1081" s="12">
        <f>STDEV(Dados!D1080:D1109)*SQRT(252)</f>
        <v>0.20521679951371202</v>
      </c>
      <c r="C1081" s="12">
        <f>STDEV(Dados!E1080:E1109)*SQRT(252)</f>
        <v>0.18378532086314145</v>
      </c>
    </row>
    <row r="1082" spans="1:3" ht="15" customHeight="1" x14ac:dyDescent="0.2">
      <c r="A1082" s="11">
        <f>Dados!A1110</f>
        <v>46063</v>
      </c>
      <c r="B1082" s="12">
        <f>STDEV(Dados!D1081:D1110)*SQRT(252)</f>
        <v>0.20621255769619376</v>
      </c>
      <c r="C1082" s="12">
        <f>STDEV(Dados!E1081:E1110)*SQRT(252)</f>
        <v>0.18469445143064495</v>
      </c>
    </row>
    <row r="1083" spans="1:3" ht="15" customHeight="1" x14ac:dyDescent="0.2">
      <c r="A1083" s="11">
        <f>Dados!A1111</f>
        <v>46064</v>
      </c>
      <c r="B1083" s="12">
        <f>STDEV(Dados!D1082:D1111)*SQRT(252)</f>
        <v>0.20578759065984711</v>
      </c>
      <c r="C1083" s="12">
        <f>STDEV(Dados!E1082:E1111)*SQRT(252)</f>
        <v>0.188457127566347</v>
      </c>
    </row>
    <row r="1084" spans="1:3" ht="15" customHeight="1" x14ac:dyDescent="0.2">
      <c r="A1084" s="11">
        <f>Dados!A1112</f>
        <v>46065</v>
      </c>
      <c r="B1084" s="12">
        <f>STDEV(Dados!D1083:D1112)*SQRT(252)</f>
        <v>0.20791366037707287</v>
      </c>
      <c r="C1084" s="12">
        <f>STDEV(Dados!E1083:E1112)*SQRT(252)</f>
        <v>0.19392887280307286</v>
      </c>
    </row>
    <row r="1085" spans="1:3" ht="15" customHeight="1" x14ac:dyDescent="0.2">
      <c r="A1085" s="11">
        <f>Dados!A1113</f>
        <v>46066</v>
      </c>
      <c r="B1085" s="12">
        <f>STDEV(Dados!D1084:D1113)*SQRT(252)</f>
        <v>0.20891338267912546</v>
      </c>
      <c r="C1085" s="12">
        <f>STDEV(Dados!E1084:E1113)*SQRT(252)</f>
        <v>0.19545954890086306</v>
      </c>
    </row>
    <row r="1086" spans="1:3" ht="15" customHeight="1" x14ac:dyDescent="0.2">
      <c r="A1086" s="11">
        <f>Dados!A1114</f>
        <v>46071</v>
      </c>
      <c r="B1086" s="12">
        <f>STDEV(Dados!D1085:D1114)*SQRT(252)</f>
        <v>0.20711192635933059</v>
      </c>
      <c r="C1086" s="12">
        <f>STDEV(Dados!E1085:E1114)*SQRT(252)</f>
        <v>0.19635186520193665</v>
      </c>
    </row>
    <row r="1087" spans="1:3" ht="15" customHeight="1" x14ac:dyDescent="0.2">
      <c r="A1087" s="11">
        <f>Dados!A1115</f>
        <v>46072</v>
      </c>
      <c r="B1087" s="12">
        <f>STDEV(Dados!D1086:D1115)*SQRT(252)</f>
        <v>0.20578137494877857</v>
      </c>
      <c r="C1087" s="12">
        <f>STDEV(Dados!E1086:E1115)*SQRT(252)</f>
        <v>0.19716096100248459</v>
      </c>
    </row>
    <row r="1088" spans="1:3" ht="15" customHeight="1" x14ac:dyDescent="0.2">
      <c r="A1088" s="11">
        <f>Dados!A1116</f>
        <v>46073</v>
      </c>
      <c r="B1088" s="12">
        <f>STDEV(Dados!D1087:D1116)*SQRT(252)</f>
        <v>0.19996387271830088</v>
      </c>
      <c r="C1088" s="12">
        <f>STDEV(Dados!E1087:E1116)*SQRT(252)</f>
        <v>0.19251810395413013</v>
      </c>
    </row>
    <row r="1089" spans="1:3" ht="15" customHeight="1" x14ac:dyDescent="0.2">
      <c r="A1089" s="11">
        <f>Dados!A1117</f>
        <v>46076</v>
      </c>
      <c r="B1089" s="12">
        <f>STDEV(Dados!D1088:D1117)*SQRT(252)</f>
        <v>0.20730813466158041</v>
      </c>
      <c r="C1089" s="12">
        <f>STDEV(Dados!E1088:E1117)*SQRT(252)</f>
        <v>0.19689701588918673</v>
      </c>
    </row>
    <row r="1090" spans="1:3" ht="15" customHeight="1" x14ac:dyDescent="0.2">
      <c r="A1090" s="11">
        <f>Dados!A1118</f>
        <v>46077</v>
      </c>
      <c r="B1090" s="12">
        <f>STDEV(Dados!D1089:D1118)*SQRT(252)</f>
        <v>0.21018454153038779</v>
      </c>
      <c r="C1090" s="12">
        <f>STDEV(Dados!E1089:E1118)*SQRT(252)</f>
        <v>0.19845187348480822</v>
      </c>
    </row>
    <row r="1091" spans="1:3" ht="15" customHeight="1" x14ac:dyDescent="0.2">
      <c r="A1091" s="11">
        <f>Dados!A1119</f>
        <v>46078</v>
      </c>
      <c r="B1091" s="12">
        <f>STDEV(Dados!D1090:D1119)*SQRT(252)</f>
        <v>0.21447860315423664</v>
      </c>
      <c r="C1091" s="12">
        <f>STDEV(Dados!E1090:E1119)*SQRT(252)</f>
        <v>0.19842939172084076</v>
      </c>
    </row>
    <row r="1092" spans="1:3" ht="15" customHeight="1" x14ac:dyDescent="0.2">
      <c r="A1092" s="11">
        <f>Dados!A1120</f>
        <v>46079</v>
      </c>
      <c r="B1092" s="12">
        <f>STDEV(Dados!D1091:D1120)*SQRT(252)</f>
        <v>0.20737601925258947</v>
      </c>
      <c r="C1092" s="12">
        <f>STDEV(Dados!E1091:E1120)*SQRT(252)</f>
        <v>0.19588863123801961</v>
      </c>
    </row>
    <row r="1093" spans="1:3" ht="15" customHeight="1" x14ac:dyDescent="0.2">
      <c r="A1093" s="11">
        <f>Dados!A1121</f>
        <v>46080</v>
      </c>
      <c r="B1093" s="12">
        <f>STDEV(Dados!D1092:D1121)*SQRT(252)</f>
        <v>0.2115732218463241</v>
      </c>
      <c r="C1093" s="12">
        <f>STDEV(Dados!E1092:E1121)*SQRT(252)</f>
        <v>0.19742352612087419</v>
      </c>
    </row>
    <row r="1094" spans="1:3" ht="15" customHeight="1" x14ac:dyDescent="0.2">
      <c r="A1094" s="11">
        <f>Dados!A1122</f>
        <v>46083</v>
      </c>
      <c r="B1094" s="12">
        <f>STDEV(Dados!D1093:D1122)*SQRT(252)</f>
        <v>0.21161846879105012</v>
      </c>
      <c r="C1094" s="12">
        <f>STDEV(Dados!E1093:E1122)*SQRT(252)</f>
        <v>0.19740769059688357</v>
      </c>
    </row>
    <row r="1095" spans="1:3" ht="15" customHeight="1" x14ac:dyDescent="0.2">
      <c r="A1095" s="11">
        <f>Dados!A1123</f>
        <v>46084</v>
      </c>
      <c r="B1095" s="12">
        <f>STDEV(Dados!D1094:D1123)*SQRT(252)</f>
        <v>0.2401119114178201</v>
      </c>
      <c r="C1095" s="12">
        <f>STDEV(Dados!E1094:E1123)*SQRT(252)</f>
        <v>0.22452286665684737</v>
      </c>
    </row>
    <row r="1096" spans="1:3" ht="15" customHeight="1" x14ac:dyDescent="0.2">
      <c r="A1096" s="11">
        <f>Dados!A1124</f>
        <v>46085</v>
      </c>
      <c r="B1096" s="12">
        <f>STDEV(Dados!D1095:D1124)*SQRT(252)</f>
        <v>0.24423802792967833</v>
      </c>
      <c r="C1096" s="12">
        <f>STDEV(Dados!E1095:E1124)*SQRT(252)</f>
        <v>0.22571287761068065</v>
      </c>
    </row>
    <row r="1097" spans="1:3" ht="15" customHeight="1" x14ac:dyDescent="0.2">
      <c r="A1097" s="11">
        <f>Dados!A1125</f>
        <v>46086</v>
      </c>
      <c r="B1097" s="12">
        <f>STDEV(Dados!D1096:D1125)*SQRT(252)</f>
        <v>0.26239890270623634</v>
      </c>
      <c r="C1097" s="12">
        <f>STDEV(Dados!E1096:E1125)*SQRT(252)</f>
        <v>0.2420441808541888</v>
      </c>
    </row>
    <row r="1098" spans="1:3" ht="15" customHeight="1" x14ac:dyDescent="0.2">
      <c r="A1098" s="11">
        <f>Dados!A1126</f>
        <v>46087</v>
      </c>
      <c r="B1098" s="12">
        <f>STDEV(Dados!D1097:D1126)*SQRT(252)</f>
        <v>0.24616417567036877</v>
      </c>
      <c r="C1098" s="12">
        <f>STDEV(Dados!E1097:E1126)*SQRT(252)</f>
        <v>0.22579112299621484</v>
      </c>
    </row>
    <row r="1099" spans="1:3" ht="15" customHeight="1" x14ac:dyDescent="0.2">
      <c r="A1099" s="11">
        <f>Dados!A1127</f>
        <v>46090</v>
      </c>
      <c r="B1099" s="12">
        <f>STDEV(Dados!D1098:D1127)*SQRT(252)</f>
        <v>0.23754379610813511</v>
      </c>
      <c r="C1099" s="12">
        <f>STDEV(Dados!E1098:E1127)*SQRT(252)</f>
        <v>0.21864083146679689</v>
      </c>
    </row>
    <row r="1100" spans="1:3" ht="15" customHeight="1" x14ac:dyDescent="0.2">
      <c r="A1100" s="11">
        <f>Dados!A1128</f>
        <v>46091</v>
      </c>
      <c r="B1100" s="12">
        <f>STDEV(Dados!D1099:D1128)*SQRT(252)</f>
        <v>0.24070966340809191</v>
      </c>
      <c r="C1100" s="12">
        <f>STDEV(Dados!E1099:E1128)*SQRT(252)</f>
        <v>0.21586257105737469</v>
      </c>
    </row>
    <row r="1101" spans="1:3" ht="15" customHeight="1" x14ac:dyDescent="0.2">
      <c r="A1101" s="11">
        <f>Dados!A1129</f>
        <v>46092</v>
      </c>
      <c r="B1101" s="12">
        <f>STDEV(Dados!D1100:D1129)*SQRT(252)</f>
        <v>0.24100479351247345</v>
      </c>
      <c r="C1101" s="12">
        <f>STDEV(Dados!E1100:E1129)*SQRT(252)</f>
        <v>0.21588152564633223</v>
      </c>
    </row>
    <row r="1102" spans="1:3" ht="15" customHeight="1" x14ac:dyDescent="0.2">
      <c r="A1102" s="11">
        <f>Dados!A1130</f>
        <v>46093</v>
      </c>
      <c r="B1102" s="12">
        <f>STDEV(Dados!D1101:D1130)*SQRT(252)</f>
        <v>0.25901958600695807</v>
      </c>
      <c r="C1102" s="12">
        <f>STDEV(Dados!E1101:E1130)*SQRT(252)</f>
        <v>0.22323728730844872</v>
      </c>
    </row>
    <row r="1103" spans="1:3" ht="15" customHeight="1" x14ac:dyDescent="0.2">
      <c r="A1103" s="11">
        <f>Dados!A1131</f>
        <v>46094</v>
      </c>
      <c r="B1103" s="12">
        <f>STDEV(Dados!D1102:D1131)*SQRT(252)</f>
        <v>0.25675626422269104</v>
      </c>
      <c r="C1103" s="12">
        <f>STDEV(Dados!E1102:E1131)*SQRT(252)</f>
        <v>0.21953999979800953</v>
      </c>
    </row>
    <row r="1104" spans="1:3" ht="15" customHeight="1" x14ac:dyDescent="0.2">
      <c r="A1104" s="11">
        <f>Dados!A1132</f>
        <v>46097</v>
      </c>
      <c r="B1104" s="12">
        <f>STDEV(Dados!D1103:D1132)*SQRT(252)</f>
        <v>0.25906580940126045</v>
      </c>
      <c r="C1104" s="12">
        <f>STDEV(Dados!E1103:E1132)*SQRT(252)</f>
        <v>0.22194912414408841</v>
      </c>
    </row>
    <row r="1105" spans="1:3" ht="15" customHeight="1" x14ac:dyDescent="0.2">
      <c r="A1105" s="11">
        <f>Dados!A1133</f>
        <v>46098</v>
      </c>
      <c r="B1105" s="12">
        <f>STDEV(Dados!D1104:D1133)*SQRT(252)</f>
        <v>0.2583957075725325</v>
      </c>
      <c r="C1105" s="12">
        <f>STDEV(Dados!E1104:E1133)*SQRT(252)</f>
        <v>0.22046257251096529</v>
      </c>
    </row>
    <row r="1106" spans="1:3" ht="15" customHeight="1" x14ac:dyDescent="0.2">
      <c r="A1106" s="11">
        <f>Dados!A1134</f>
        <v>46099</v>
      </c>
      <c r="B1106" s="12">
        <f>STDEV(Dados!D1105:D1134)*SQRT(252)</f>
        <v>0.25742754015487851</v>
      </c>
      <c r="C1106" s="12">
        <f>STDEV(Dados!E1105:E1134)*SQRT(252)</f>
        <v>0.21942615247935085</v>
      </c>
    </row>
    <row r="1107" spans="1:3" ht="15" customHeight="1" x14ac:dyDescent="0.2">
      <c r="A1107" s="11">
        <f>Dados!A1135</f>
        <v>46100</v>
      </c>
      <c r="B1107" s="12">
        <f>STDEV(Dados!D1106:D1135)*SQRT(252)</f>
        <v>0.25476771075262011</v>
      </c>
      <c r="C1107" s="12">
        <f>STDEV(Dados!E1106:E1135)*SQRT(252)</f>
        <v>0.21439381900758578</v>
      </c>
    </row>
    <row r="1108" spans="1:3" ht="15" customHeight="1" x14ac:dyDescent="0.2">
      <c r="A1108" s="11">
        <f>Dados!A1136</f>
        <v>46101</v>
      </c>
      <c r="B1108" s="12">
        <f>STDEV(Dados!D1107:D1136)*SQRT(252)</f>
        <v>0.25318435078660834</v>
      </c>
      <c r="C1108" s="12">
        <f>STDEV(Dados!E1107:E1136)*SQRT(252)</f>
        <v>0.21537122851448784</v>
      </c>
    </row>
    <row r="1109" spans="1:3" ht="15" customHeight="1" x14ac:dyDescent="0.2">
      <c r="A1109" s="11">
        <f>Dados!A1137</f>
        <v>46104</v>
      </c>
      <c r="B1109" s="12">
        <f>STDEV(Dados!D1108:D1137)*SQRT(252)</f>
        <v>0.2873593942391614</v>
      </c>
      <c r="C1109" s="12">
        <f>STDEV(Dados!E1108:E1137)*SQRT(252)</f>
        <v>0.23549217275760892</v>
      </c>
    </row>
    <row r="1110" spans="1:3" ht="15" customHeight="1" x14ac:dyDescent="0.2">
      <c r="A1110" s="11">
        <f>Dados!A1138</f>
        <v>46105</v>
      </c>
      <c r="B1110" s="12">
        <f>STDEV(Dados!D1109:D1138)*SQRT(252)</f>
        <v>0.2846445721354981</v>
      </c>
      <c r="C1110" s="12">
        <f>STDEV(Dados!E1109:E1138)*SQRT(252)</f>
        <v>0.23529916056419262</v>
      </c>
    </row>
    <row r="1111" spans="1:3" ht="15" customHeight="1" x14ac:dyDescent="0.2">
      <c r="A1111" s="11">
        <f>Dados!A1139</f>
        <v>46106</v>
      </c>
      <c r="B1111" s="12">
        <f>STDEV(Dados!D1110:D1139)*SQRT(252)</f>
        <v>0.28674005593593871</v>
      </c>
      <c r="C1111" s="12">
        <f>STDEV(Dados!E1110:E1139)*SQRT(252)</f>
        <v>0.23405450753177467</v>
      </c>
    </row>
    <row r="1112" spans="1:3" ht="15" customHeight="1" x14ac:dyDescent="0.2">
      <c r="A1112" s="11">
        <f>Dados!A1140</f>
        <v>46107</v>
      </c>
      <c r="B1112" s="12">
        <f>STDEV(Dados!D1111:D1140)*SQRT(252)</f>
        <v>0.29106943384184342</v>
      </c>
      <c r="C1112" s="12">
        <f>STDEV(Dados!E1111:E1140)*SQRT(252)</f>
        <v>0.23776610319502448</v>
      </c>
    </row>
    <row r="1113" spans="1:3" ht="15" customHeight="1" x14ac:dyDescent="0.2">
      <c r="A1113" s="11">
        <f>Dados!A1141</f>
        <v>46108</v>
      </c>
      <c r="B1113" s="12">
        <f>STDEV(Dados!D1112:D1141)*SQRT(252)</f>
        <v>0.29085449456046419</v>
      </c>
      <c r="C1113" s="12">
        <f>STDEV(Dados!E1112:E1141)*SQRT(252)</f>
        <v>0.23005012294354465</v>
      </c>
    </row>
    <row r="1114" spans="1:3" ht="15" customHeight="1" x14ac:dyDescent="0.2">
      <c r="A1114" s="11">
        <f>Dados!A1142</f>
        <v>46111</v>
      </c>
      <c r="B1114" s="12">
        <f>STDEV(Dados!D1113:D1142)*SQRT(252)</f>
        <v>0.29098932089747298</v>
      </c>
      <c r="C1114" s="12">
        <f>STDEV(Dados!E1113:E1142)*SQRT(252)</f>
        <v>0.22929454848763381</v>
      </c>
    </row>
    <row r="1115" spans="1:3" ht="15" customHeight="1" x14ac:dyDescent="0.2">
      <c r="A1115" s="11">
        <f>Dados!A1143</f>
        <v>46112</v>
      </c>
      <c r="B1115" s="12">
        <f>STDEV(Dados!D1114:D1143)*SQRT(252)</f>
        <v>0.31505368195279093</v>
      </c>
      <c r="C1115" s="12">
        <f>STDEV(Dados!E1114:E1143)*SQRT(252)</f>
        <v>0.24206978117178907</v>
      </c>
    </row>
    <row r="1116" spans="1:3" ht="15" customHeight="1" x14ac:dyDescent="0.2">
      <c r="A1116" s="11">
        <f>Dados!A1144</f>
        <v>46113</v>
      </c>
      <c r="B1116" s="12">
        <f>STDEV(Dados!D1115:D1144)*SQRT(252)</f>
        <v>0.31600342001661014</v>
      </c>
      <c r="C1116" s="12">
        <f>STDEV(Dados!E1115:E1144)*SQRT(252)</f>
        <v>0.24204157340610852</v>
      </c>
    </row>
    <row r="1117" spans="1:3" ht="15" customHeight="1" x14ac:dyDescent="0.2">
      <c r="A1117" s="11">
        <f>Dados!A1145</f>
        <v>46114</v>
      </c>
      <c r="B1117" s="12">
        <f>STDEV(Dados!D1116:D1145)*SQRT(252)</f>
        <v>0.31409448015494484</v>
      </c>
      <c r="C1117" s="12">
        <f>STDEV(Dados!E1116:E1145)*SQRT(252)</f>
        <v>0.23884042864479962</v>
      </c>
    </row>
    <row r="1118" spans="1:3" ht="15" customHeight="1" x14ac:dyDescent="0.2">
      <c r="A1118" s="11">
        <f>Dados!A1146</f>
        <v>46118</v>
      </c>
      <c r="B1118" s="12">
        <f>STDEV(Dados!D1117:D1146)*SQRT(252)</f>
        <v>0.31191421834196559</v>
      </c>
      <c r="C1118" s="12">
        <f>STDEV(Dados!E1117:E1146)*SQRT(252)</f>
        <v>0.23672042978216101</v>
      </c>
    </row>
    <row r="1119" spans="1:3" ht="15" customHeight="1" x14ac:dyDescent="0.2">
      <c r="A1119" s="11">
        <f>Dados!A1147</f>
        <v>46119</v>
      </c>
      <c r="B1119" s="12">
        <f>STDEV(Dados!D1118:D1147)*SQRT(252)</f>
        <v>0.3098721482933175</v>
      </c>
      <c r="C1119" s="12">
        <f>STDEV(Dados!E1118:E1147)*SQRT(252)</f>
        <v>0.23537003379973928</v>
      </c>
    </row>
    <row r="1120" spans="1:3" ht="15" customHeight="1" x14ac:dyDescent="0.2">
      <c r="A1120" s="11">
        <f>Dados!A1148</f>
        <v>46120</v>
      </c>
      <c r="B1120" s="12">
        <f>STDEV(Dados!D1119:D1148)*SQRT(252)</f>
        <v>0.31867220290085779</v>
      </c>
      <c r="C1120" s="12">
        <f>STDEV(Dados!E1119:E1148)*SQRT(252)</f>
        <v>0.23970562131882958</v>
      </c>
    </row>
    <row r="1121" spans="1:3" ht="15" customHeight="1" x14ac:dyDescent="0.2">
      <c r="A1121" s="11">
        <f>Dados!A1149</f>
        <v>46121</v>
      </c>
      <c r="B1121" s="12">
        <f>STDEV(Dados!D1120:D1149)*SQRT(252)</f>
        <v>0.32096185685374207</v>
      </c>
      <c r="C1121" s="12">
        <f>STDEV(Dados!E1120:E1149)*SQRT(252)</f>
        <v>0.24355317757658682</v>
      </c>
    </row>
    <row r="1122" spans="1:3" ht="15" customHeight="1" x14ac:dyDescent="0.2">
      <c r="A1122" s="11">
        <f>Dados!A1150</f>
        <v>46122</v>
      </c>
      <c r="B1122" s="12">
        <f>STDEV(Dados!D1121:D1150)*SQRT(252)</f>
        <v>0.32197843716833052</v>
      </c>
      <c r="C1122" s="12">
        <f>STDEV(Dados!E1121:E1150)*SQRT(252)</f>
        <v>0.24536031291939786</v>
      </c>
    </row>
    <row r="1123" spans="1:3" ht="15" customHeight="1" x14ac:dyDescent="0.2">
      <c r="A1123" s="11">
        <f>Dados!A1151</f>
        <v>46125</v>
      </c>
      <c r="B1123" s="12">
        <f>STDEV(Dados!D1122:D1151)*SQRT(252)</f>
        <v>0.31944256720954262</v>
      </c>
      <c r="C1123" s="12">
        <f>STDEV(Dados!E1122:E1151)*SQRT(252)</f>
        <v>0.24241949869194959</v>
      </c>
    </row>
    <row r="1124" spans="1:3" ht="15" customHeight="1" x14ac:dyDescent="0.2">
      <c r="A1124" s="11">
        <f>Dados!A1152</f>
        <v>46126</v>
      </c>
      <c r="B1124" s="12">
        <f>STDEV(Dados!D1123:D1152)*SQRT(252)</f>
        <v>0.32081335069598699</v>
      </c>
      <c r="C1124" s="12">
        <f>STDEV(Dados!E1123:E1152)*SQRT(252)</f>
        <v>0.24244807683494968</v>
      </c>
    </row>
    <row r="1125" spans="1:3" ht="15" customHeight="1" x14ac:dyDescent="0.2">
      <c r="A1125" s="11">
        <f>Dados!A1153</f>
        <v>46127</v>
      </c>
      <c r="B1125" s="12">
        <f>STDEV(Dados!D1124:D1153)*SQRT(252)</f>
        <v>0.30138239052874222</v>
      </c>
      <c r="C1125" s="12">
        <f>STDEV(Dados!E1124:E1153)*SQRT(252)</f>
        <v>0.21974332170558478</v>
      </c>
    </row>
    <row r="1126" spans="1:3" ht="15" customHeight="1" x14ac:dyDescent="0.2">
      <c r="A1126" s="11">
        <f>Dados!A1154</f>
        <v>46128</v>
      </c>
      <c r="B1126" s="12">
        <f>STDEV(Dados!D1125:D1154)*SQRT(252)</f>
        <v>0.29946168175963694</v>
      </c>
      <c r="C1126" s="12">
        <f>STDEV(Dados!E1125:E1154)*SQRT(252)</f>
        <v>0.21871893419877289</v>
      </c>
    </row>
    <row r="1127" spans="1:3" ht="15" customHeight="1" x14ac:dyDescent="0.2">
      <c r="A1127" s="11">
        <f>Dados!A1155</f>
        <v>46129</v>
      </c>
      <c r="B1127" s="12">
        <f>STDEV(Dados!D1126:D1155)*SQRT(252)</f>
        <v>0.28499393273380036</v>
      </c>
      <c r="C1127" s="12">
        <f>STDEV(Dados!E1126:E1155)*SQRT(252)</f>
        <v>0.20246457291644612</v>
      </c>
    </row>
    <row r="1128" spans="1:3" ht="15" customHeight="1" x14ac:dyDescent="0.2">
      <c r="A1128" s="11">
        <f>Dados!A1156</f>
        <v>46132</v>
      </c>
      <c r="B1128" s="12">
        <f>STDEV(Dados!D1127:D1156)*SQRT(252)</f>
        <v>0.28242539334103584</v>
      </c>
      <c r="C1128" s="12">
        <f>STDEV(Dados!E1127:E1156)*SQRT(252)</f>
        <v>0.20075186501129433</v>
      </c>
    </row>
    <row r="1129" spans="1:3" ht="15" customHeight="1" x14ac:dyDescent="0.2">
      <c r="A1129" s="11">
        <f>Dados!A1157</f>
        <v>46134</v>
      </c>
      <c r="B1129" s="12">
        <f>STDEV(Dados!D1128:D1157)*SQRT(252)</f>
        <v>0.29244999170356722</v>
      </c>
      <c r="C1129" s="12">
        <f>STDEV(Dados!E1128:E1157)*SQRT(252)</f>
        <v>0.20783918904873436</v>
      </c>
    </row>
    <row r="1130" spans="1:3" ht="15" customHeight="1" x14ac:dyDescent="0.2">
      <c r="A1130" s="11">
        <f>Dados!A1158</f>
        <v>46135</v>
      </c>
      <c r="B1130" s="12">
        <f>STDEV(Dados!D1129:D1158)*SQRT(252)</f>
        <v>0.28906608327638006</v>
      </c>
      <c r="C1130" s="12">
        <f>STDEV(Dados!E1129:E1158)*SQRT(252)</f>
        <v>0.20670461669909171</v>
      </c>
    </row>
    <row r="1131" spans="1:3" ht="15" customHeight="1" x14ac:dyDescent="0.2">
      <c r="A1131" s="11">
        <f>Dados!A1159</f>
        <v>46136</v>
      </c>
      <c r="B1131" s="12">
        <f>STDEV(Dados!D1130:D1159)*SQRT(252)</f>
        <v>0.28893310057227617</v>
      </c>
      <c r="C1131" s="12">
        <f>STDEV(Dados!E1130:E1159)*SQRT(252)</f>
        <v>0.2071037248217415</v>
      </c>
    </row>
    <row r="1132" spans="1:3" ht="15" customHeight="1" x14ac:dyDescent="0.2">
      <c r="A1132" s="11">
        <f>Dados!A1160</f>
        <v>46139</v>
      </c>
      <c r="B1132" s="12">
        <f>STDEV(Dados!D1131:D1160)*SQRT(252)</f>
        <v>0.26774080282618945</v>
      </c>
      <c r="C1132" s="12">
        <f>STDEV(Dados!E1131:E1160)*SQRT(252)</f>
        <v>0.19212537613982486</v>
      </c>
    </row>
    <row r="1133" spans="1:3" ht="15" customHeight="1" x14ac:dyDescent="0.2">
      <c r="A1133" s="11">
        <f>Dados!A1161</f>
        <v>46140</v>
      </c>
      <c r="B1133" s="12">
        <f>STDEV(Dados!D1132:D1161)*SQRT(252)</f>
        <v>0.2669548343987278</v>
      </c>
      <c r="C1133" s="12">
        <f>STDEV(Dados!E1132:E1161)*SQRT(252)</f>
        <v>0.19045782726429841</v>
      </c>
    </row>
    <row r="1134" spans="1:3" ht="15" customHeight="1" x14ac:dyDescent="0.2">
      <c r="A1134" s="11">
        <f>Dados!A1162</f>
        <v>46141</v>
      </c>
      <c r="B1134" s="12">
        <f>STDEV(Dados!D1133:D1162)*SQRT(252)</f>
        <v>0.27717623923962886</v>
      </c>
      <c r="C1134" s="12">
        <f>STDEV(Dados!E1133:E1162)*SQRT(252)</f>
        <v>0.19873668761454261</v>
      </c>
    </row>
    <row r="1135" spans="1:3" ht="15" customHeight="1" x14ac:dyDescent="0.2">
      <c r="A1135" s="11">
        <f>Dados!A1163</f>
        <v>46142</v>
      </c>
      <c r="B1135" s="12">
        <f>STDEV(Dados!D1134:D1163)*SQRT(252)</f>
        <v>0.28061820438105944</v>
      </c>
      <c r="C1135" s="12">
        <f>STDEV(Dados!E1134:E1163)*SQRT(252)</f>
        <v>0.20217230207195827</v>
      </c>
    </row>
    <row r="1136" spans="1:3" ht="15" customHeight="1" x14ac:dyDescent="0.2">
      <c r="A1136" s="11">
        <f>Dados!A1164</f>
        <v>46146</v>
      </c>
      <c r="B1136" s="12">
        <f>STDEV(Dados!D1135:D1164)*SQRT(252)</f>
        <v>0.27913388900229669</v>
      </c>
      <c r="C1136" s="12">
        <f>STDEV(Dados!E1135:E1164)*SQRT(252)</f>
        <v>0.20384500302429617</v>
      </c>
    </row>
    <row r="1137" spans="1:3" ht="15" customHeight="1" x14ac:dyDescent="0.2">
      <c r="A1137" s="11">
        <f>Dados!A1165</f>
        <v>46147</v>
      </c>
      <c r="B1137" s="12">
        <f>STDEV(Dados!D1136:D1165)*SQRT(252)</f>
        <v>0.28047804647857549</v>
      </c>
      <c r="C1137" s="12">
        <f>STDEV(Dados!E1136:E1165)*SQRT(252)</f>
        <v>0.20427140406334796</v>
      </c>
    </row>
    <row r="1138" spans="1:3" ht="15" customHeight="1" x14ac:dyDescent="0.2">
      <c r="A1138" s="11">
        <f>Dados!A1166</f>
        <v>46148</v>
      </c>
      <c r="B1138" s="12">
        <f>STDEV(Dados!D1137:D1166)*SQRT(252)</f>
        <v>0.26694878033593777</v>
      </c>
      <c r="C1138" s="12">
        <f>STDEV(Dados!E1137:E1166)*SQRT(252)</f>
        <v>0.19147543544545745</v>
      </c>
    </row>
    <row r="1139" spans="1:3" ht="15" customHeight="1" x14ac:dyDescent="0.2">
      <c r="A1139" s="11">
        <f>Dados!A1167</f>
        <v>46149</v>
      </c>
      <c r="B1139" s="12">
        <f>STDEV(Dados!D1138:D1167)*SQRT(252)</f>
        <v>0.24092262413570695</v>
      </c>
      <c r="C1139" s="12">
        <f>STDEV(Dados!E1138:E1167)*SQRT(252)</f>
        <v>0.18441932757408994</v>
      </c>
    </row>
    <row r="1140" spans="1:3" ht="15" customHeight="1" x14ac:dyDescent="0.2">
      <c r="A1140" s="11">
        <f>Dados!A1168</f>
        <v>46150</v>
      </c>
      <c r="B1140" s="12">
        <f>STDEV(Dados!D1139:D1168)*SQRT(252)</f>
        <v>0.24107208432963517</v>
      </c>
      <c r="C1140" s="12">
        <f>STDEV(Dados!E1139:E1168)*SQRT(252)</f>
        <v>0.18471530100532882</v>
      </c>
    </row>
    <row r="1141" spans="1:3" ht="15" customHeight="1" x14ac:dyDescent="0.2">
      <c r="A1141" s="11">
        <f>Dados!A1169</f>
        <v>46153</v>
      </c>
      <c r="B1141" s="12">
        <f>STDEV(Dados!D1140:D1169)*SQRT(252)</f>
        <v>0.24209450677966951</v>
      </c>
      <c r="C1141" s="12">
        <f>STDEV(Dados!E1140:E1169)*SQRT(252)</f>
        <v>0.18195742614928012</v>
      </c>
    </row>
    <row r="1142" spans="1:3" ht="15" customHeight="1" x14ac:dyDescent="0.2">
      <c r="A1142" s="11">
        <f>Dados!A1170</f>
        <v>46154</v>
      </c>
      <c r="B1142" s="12">
        <f>STDEV(Dados!D1141:D1170)*SQRT(252)</f>
        <v>0.2375981442751835</v>
      </c>
      <c r="C1142" s="12">
        <f>STDEV(Dados!E1141:E1170)*SQRT(252)</f>
        <v>0.17876701298998696</v>
      </c>
    </row>
    <row r="1143" spans="1:3" ht="15" customHeight="1" x14ac:dyDescent="0.2">
      <c r="A1143" s="11">
        <f>Dados!A1171</f>
        <v>46155</v>
      </c>
      <c r="B1143" s="12">
        <f>STDEV(Dados!D1142:D1171)*SQRT(252)</f>
        <v>0.24630312509759386</v>
      </c>
      <c r="C1143" s="12">
        <f>STDEV(Dados!E1142:E1171)*SQRT(252)</f>
        <v>0.18528273500216844</v>
      </c>
    </row>
    <row r="1144" spans="1:3" ht="15" customHeight="1" x14ac:dyDescent="0.2">
      <c r="A1144" s="11">
        <f>Dados!A1172</f>
        <v>46156</v>
      </c>
      <c r="B1144" s="12">
        <f>STDEV(Dados!D1143:D1172)*SQRT(252)</f>
        <v>0.24857350105505679</v>
      </c>
      <c r="C1144" s="12">
        <f>STDEV(Dados!E1143:E1172)*SQRT(252)</f>
        <v>0.185897391012629</v>
      </c>
    </row>
    <row r="1145" spans="1:3" ht="15" customHeight="1" x14ac:dyDescent="0.2">
      <c r="A1145" s="11">
        <f>Dados!A1173</f>
        <v>46157</v>
      </c>
      <c r="B1145" s="12">
        <f>STDEV(Dados!D1144:D1173)*SQRT(252)</f>
        <v>0.21771996995660689</v>
      </c>
      <c r="C1145" s="12">
        <f>STDEV(Dados!E1144:E1173)*SQRT(252)</f>
        <v>0.16706991095802706</v>
      </c>
    </row>
    <row r="1146" spans="1:3" ht="15" customHeight="1" x14ac:dyDescent="0.2">
      <c r="A1146" s="11">
        <f>Dados!A1174</f>
        <v>46160</v>
      </c>
      <c r="B1146" s="12">
        <f>STDEV(Dados!D1145:D1174)*SQRT(252)</f>
        <v>0.21528210799780539</v>
      </c>
      <c r="C1146" s="12">
        <f>STDEV(Dados!E1145:E1174)*SQRT(252)</f>
        <v>0.16653184578808308</v>
      </c>
    </row>
    <row r="1147" spans="1:3" ht="15" customHeight="1" x14ac:dyDescent="0.2">
      <c r="A1147" s="11">
        <f>Dados!A1175</f>
        <v>46161</v>
      </c>
      <c r="B1147" s="12">
        <f>STDEV(Dados!D1146:D1175)*SQRT(252)</f>
        <v>0.22252882002131691</v>
      </c>
      <c r="C1147" s="12">
        <f>STDEV(Dados!E1146:E1175)*SQRT(252)</f>
        <v>0.17074224317747069</v>
      </c>
    </row>
    <row r="1148" spans="1:3" ht="15" customHeight="1" x14ac:dyDescent="0.2">
      <c r="A1148" s="11">
        <f>Dados!A1176</f>
        <v>46162</v>
      </c>
      <c r="B1148" s="12">
        <f>STDEV(Dados!D1147:D1176)*SQRT(252)</f>
        <v>0.24726353292639369</v>
      </c>
      <c r="C1148" s="12">
        <f>STDEV(Dados!E1147:E1176)*SQRT(252)</f>
        <v>0.18020580023459817</v>
      </c>
    </row>
    <row r="1149" spans="1:3" ht="15" customHeight="1" x14ac:dyDescent="0.2">
      <c r="A1149" s="11">
        <f>Dados!A1177</f>
        <v>46163</v>
      </c>
      <c r="B1149" s="12">
        <f>STDEV(Dados!D1148:D1177)*SQRT(252)</f>
        <v>0.24750721999816219</v>
      </c>
      <c r="C1149" s="12">
        <f>STDEV(Dados!E1148:E1177)*SQRT(252)</f>
        <v>0.18037287967287327</v>
      </c>
    </row>
    <row r="1150" spans="1:3" ht="15" customHeight="1" x14ac:dyDescent="0.2">
      <c r="A1150" s="11">
        <f>Dados!A1178</f>
        <v>46164</v>
      </c>
      <c r="B1150" s="12">
        <f>STDEV(Dados!D1149:D1178)*SQRT(252)</f>
        <v>0.22975063506605406</v>
      </c>
      <c r="C1150" s="12">
        <f>STDEV(Dados!E1149:E1178)*SQRT(252)</f>
        <v>0.16783077307115238</v>
      </c>
    </row>
    <row r="1151" spans="1:3" ht="15" customHeight="1" x14ac:dyDescent="0.2">
      <c r="A1151" s="11">
        <f>Dados!A1179</f>
        <v>46167</v>
      </c>
      <c r="B1151" s="12">
        <f>STDEV(Dados!D1150:D1179)*SQRT(252)</f>
        <v>0.23247802743543924</v>
      </c>
      <c r="C1151" s="12">
        <f>STDEV(Dados!E1150:E1179)*SQRT(252)</f>
        <v>0.16303758144845237</v>
      </c>
    </row>
    <row r="1152" spans="1:3" ht="15" customHeight="1" x14ac:dyDescent="0.2">
      <c r="A1152" s="11">
        <f>Dados!A1180</f>
        <v>46168</v>
      </c>
      <c r="B1152" s="12">
        <f>STDEV(Dados!D1151:D1180)*SQRT(252)</f>
        <v>0.23058419261293717</v>
      </c>
      <c r="C1152" s="12">
        <f>STDEV(Dados!E1151:E1180)*SQRT(252)</f>
        <v>0.15760949853376477</v>
      </c>
    </row>
    <row r="1153" spans="1:3" ht="15" customHeight="1" x14ac:dyDescent="0.2">
      <c r="A1153" s="11">
        <f>Dados!A1181</f>
        <v>46169</v>
      </c>
      <c r="B1153" s="12">
        <f>STDEV(Dados!D1152:D1181)*SQRT(252)</f>
        <v>0.23026240609403612</v>
      </c>
      <c r="C1153" s="12">
        <f>STDEV(Dados!E1152:E1181)*SQRT(252)</f>
        <v>0.15617419595377313</v>
      </c>
    </row>
    <row r="1154" spans="1:3" ht="15" customHeight="1" x14ac:dyDescent="0.2">
      <c r="A1154" s="11">
        <f>Dados!A1182</f>
        <v>46170</v>
      </c>
      <c r="B1154" s="12">
        <f>STDEV(Dados!D1153:D1182)*SQRT(252)</f>
        <v>0.22550666380016762</v>
      </c>
      <c r="C1154" s="12">
        <f>STDEV(Dados!E1153:E1182)*SQRT(252)</f>
        <v>0.15464357056709704</v>
      </c>
    </row>
    <row r="1155" spans="1:3" ht="15" customHeight="1" x14ac:dyDescent="0.2">
      <c r="A1155" s="11">
        <f>Dados!A1183</f>
        <v>46171</v>
      </c>
      <c r="B1155" s="12">
        <f>STDEV(Dados!D1154:D1183)*SQRT(252)</f>
        <v>0.22534789092629029</v>
      </c>
      <c r="C1155" s="12">
        <f>STDEV(Dados!E1154:E1183)*SQRT(252)</f>
        <v>0.15490180450747018</v>
      </c>
    </row>
    <row r="1156" spans="1:3" ht="15" customHeight="1" x14ac:dyDescent="0.2">
      <c r="A1156" s="11">
        <f>Dados!A1184</f>
        <v>46174</v>
      </c>
      <c r="B1156" s="12">
        <f>STDEV(Dados!D1155:D1184)*SQRT(252)</f>
        <v>0.22485206369178712</v>
      </c>
      <c r="C1156" s="12">
        <f>STDEV(Dados!E1155:E1184)*SQRT(252)</f>
        <v>0.15554773983574907</v>
      </c>
    </row>
    <row r="1157" spans="1:3" ht="15" customHeight="1" x14ac:dyDescent="0.2">
      <c r="A1157" s="11">
        <f>Dados!A1185</f>
        <v>46175</v>
      </c>
      <c r="B1157" s="12">
        <f>STDEV(Dados!D1156:D1185)*SQRT(252)</f>
        <v>0.22736579215896249</v>
      </c>
      <c r="C1157" s="12">
        <f>STDEV(Dados!E1156:E1185)*SQRT(252)</f>
        <v>0.16225729089670435</v>
      </c>
    </row>
    <row r="1158" spans="1:3" ht="15" customHeight="1" x14ac:dyDescent="0.2">
      <c r="A1158" s="11">
        <f>Dados!A1186</f>
        <v>46176</v>
      </c>
      <c r="B1158" s="12">
        <f>STDEV(Dados!D1157:D1186)*SQRT(252)</f>
        <v>0.23524200770996553</v>
      </c>
      <c r="C1158" s="12">
        <f>STDEV(Dados!E1157:E1186)*SQRT(252)</f>
        <v>0.16983557768948682</v>
      </c>
    </row>
    <row r="1159" spans="1:3" ht="15" customHeight="1" x14ac:dyDescent="0.2">
      <c r="A1159" s="11">
        <f>Dados!A1187</f>
        <v>46178</v>
      </c>
      <c r="B1159" s="12">
        <f>STDEV(Dados!D1158:D1187)*SQRT(252)</f>
        <v>0.22889853479278369</v>
      </c>
      <c r="C1159" s="12">
        <f>STDEV(Dados!E1158:E1187)*SQRT(252)</f>
        <v>0.16629919193534323</v>
      </c>
    </row>
    <row r="1160" spans="1:3" ht="15" customHeight="1" x14ac:dyDescent="0.2">
      <c r="A1160" s="11">
        <f>Dados!A1188</f>
        <v>46181</v>
      </c>
      <c r="B1160" s="12">
        <f>STDEV(Dados!D1159:D1188)*SQRT(252)</f>
        <v>0.22804985730133623</v>
      </c>
      <c r="C1160" s="12">
        <f>STDEV(Dados!E1159:E1188)*SQRT(252)</f>
        <v>0.16609882455102915</v>
      </c>
    </row>
    <row r="1161" spans="1:3" ht="15" customHeight="1" x14ac:dyDescent="0.2">
      <c r="A1161" s="11">
        <f>Dados!A1189</f>
        <v>46182</v>
      </c>
      <c r="B1161" s="12">
        <f>STDEV(Dados!D1160:D1189)*SQRT(252)</f>
        <v>0.23155634153718879</v>
      </c>
      <c r="C1161" s="12">
        <f>STDEV(Dados!E1160:E1189)*SQRT(252)</f>
        <v>0.16910990660390851</v>
      </c>
    </row>
    <row r="1162" spans="1:3" ht="15" customHeight="1" x14ac:dyDescent="0.2">
      <c r="A1162" s="11">
        <f>Dados!A1190</f>
        <v>46183</v>
      </c>
      <c r="B1162" s="12">
        <f>STDEV(Dados!D1161:D1190)*SQRT(252)</f>
        <v>0.23232235792098291</v>
      </c>
      <c r="C1162" s="12">
        <f>STDEV(Dados!E1161:E1190)*SQRT(252)</f>
        <v>0.16923829773955459</v>
      </c>
    </row>
    <row r="1163" spans="1:3" ht="15" customHeight="1" x14ac:dyDescent="0.2">
      <c r="A1163" s="11">
        <f>Dados!A1191</f>
        <v>46184</v>
      </c>
      <c r="B1163" s="12">
        <f>STDEV(Dados!D1162:D1191)*SQRT(252)</f>
        <v>0.24260066506495226</v>
      </c>
      <c r="C1163" s="12">
        <f>STDEV(Dados!E1162:E1191)*SQRT(252)</f>
        <v>0.17960970490392336</v>
      </c>
    </row>
    <row r="1164" spans="1:3" ht="15" customHeight="1" x14ac:dyDescent="0.2">
      <c r="A1164" s="11">
        <f>Dados!A1192</f>
        <v>46185</v>
      </c>
      <c r="B1164" s="12">
        <f>STDEV(Dados!D1163:D1192)*SQRT(252)</f>
        <v>0.23243235941626719</v>
      </c>
      <c r="C1164" s="12">
        <f>STDEV(Dados!E1163:E1192)*SQRT(252)</f>
        <v>0.17173082698666631</v>
      </c>
    </row>
    <row r="1165" spans="1:3" ht="15" customHeight="1" x14ac:dyDescent="0.2">
      <c r="A1165" s="11">
        <f>Dados!A1193</f>
        <v>46188</v>
      </c>
      <c r="B1165" s="12">
        <f>STDEV(Dados!D1164:D1193)*SQRT(252)</f>
        <v>0.22581693844512096</v>
      </c>
      <c r="C1165" s="12">
        <f>STDEV(Dados!E1164:E1193)*SQRT(252)</f>
        <v>0.16461030336586513</v>
      </c>
    </row>
    <row r="1166" spans="1:3" ht="15" customHeight="1" x14ac:dyDescent="0.2">
      <c r="A1166" s="11">
        <f>Dados!A1194</f>
        <v>46189</v>
      </c>
      <c r="B1166" s="12">
        <f>STDEV(Dados!D1165:D1194)*SQRT(252)</f>
        <v>0.22560487948334182</v>
      </c>
      <c r="C1166" s="12">
        <f>STDEV(Dados!E1165:E1194)*SQRT(252)</f>
        <v>0.16366706658432401</v>
      </c>
    </row>
    <row r="1167" spans="1:3" ht="15" customHeight="1" x14ac:dyDescent="0.2">
      <c r="A1167" s="11">
        <f>Dados!A1195</f>
        <v>46190</v>
      </c>
      <c r="B1167" s="12">
        <f>STDEV(Dados!D1166:D1195)*SQRT(252)</f>
        <v>0.22234314534727795</v>
      </c>
      <c r="C1167" s="12">
        <f>STDEV(Dados!E1166:E1195)*SQRT(252)</f>
        <v>0.16169474042930265</v>
      </c>
    </row>
    <row r="1168" spans="1:3" ht="15" customHeight="1" x14ac:dyDescent="0.2">
      <c r="A1168" s="11">
        <f>Dados!A1196</f>
        <v>46191</v>
      </c>
      <c r="B1168" s="12">
        <f>STDEV(Dados!D1167:D1196)*SQRT(252)</f>
        <v>0.21807232123629827</v>
      </c>
      <c r="C1168" s="12">
        <f>STDEV(Dados!E1167:E1196)*SQRT(252)</f>
        <v>0.15989049701822231</v>
      </c>
    </row>
    <row r="1169" spans="1:3" ht="15" customHeight="1" x14ac:dyDescent="0.2">
      <c r="A1169" s="11">
        <f>Dados!A1197</f>
        <v>46192</v>
      </c>
      <c r="B1169" s="12">
        <f>STDEV(Dados!D1168:D1197)*SQRT(252)</f>
        <v>0.21324314885661361</v>
      </c>
      <c r="C1169" s="12">
        <f>STDEV(Dados!E1168:E1197)*SQRT(252)</f>
        <v>0.14793180250799542</v>
      </c>
    </row>
    <row r="1170" spans="1:3" ht="15" customHeight="1" x14ac:dyDescent="0.2">
      <c r="A1170" s="11">
        <f>Dados!A1198</f>
        <v>46195</v>
      </c>
      <c r="B1170" s="12">
        <f>STDEV(Dados!D1169:D1198)*SQRT(252)</f>
        <v>0.21914179508508663</v>
      </c>
      <c r="C1170" s="12">
        <f>STDEV(Dados!E1169:E1198)*SQRT(252)</f>
        <v>0.15255520927395733</v>
      </c>
    </row>
    <row r="1171" spans="1:3" ht="15" customHeight="1" x14ac:dyDescent="0.2">
      <c r="A1171" s="11">
        <f>Dados!A1199</f>
        <v>46196</v>
      </c>
      <c r="B1171" s="12">
        <f>STDEV(Dados!D1170:D1199)*SQRT(252)</f>
        <v>0.21411312569505903</v>
      </c>
      <c r="C1171" s="12">
        <f>STDEV(Dados!E1170:E1199)*SQRT(252)</f>
        <v>0.15146472685446938</v>
      </c>
    </row>
    <row r="1172" spans="1:3" ht="15" customHeight="1" x14ac:dyDescent="0.2">
      <c r="A1172" s="11">
        <f>Dados!A1200</f>
        <v>46197</v>
      </c>
      <c r="B1172" s="12">
        <f>STDEV(Dados!D1171:D1200)*SQRT(252)</f>
        <v>0.21370276507996272</v>
      </c>
      <c r="C1172" s="12">
        <f>STDEV(Dados!E1171:E1200)*SQRT(252)</f>
        <v>0.15034217138301217</v>
      </c>
    </row>
    <row r="1173" spans="1:3" ht="15" customHeight="1" x14ac:dyDescent="0.2">
      <c r="A1173" s="11">
        <f>Dados!A1201</f>
        <v>46198</v>
      </c>
      <c r="B1173" s="12">
        <f>STDEV(Dados!D1172:D1201)*SQRT(252)</f>
        <v>0.20127117798253008</v>
      </c>
      <c r="C1173" s="12">
        <f>STDEV(Dados!E1172:E1201)*SQRT(252)</f>
        <v>0.14510039960440554</v>
      </c>
    </row>
    <row r="1174" spans="1:3" ht="15" customHeight="1" x14ac:dyDescent="0.2">
      <c r="A1174" s="11">
        <f>Dados!A1202</f>
        <v>46199</v>
      </c>
      <c r="B1174" s="12">
        <f>STDEV(Dados!D1173:D1202)*SQRT(252)</f>
        <v>0.20416901387722217</v>
      </c>
      <c r="C1174" s="12">
        <f>STDEV(Dados!E1173:E1202)*SQRT(252)</f>
        <v>0.14531170559132775</v>
      </c>
    </row>
    <row r="1175" spans="1:3" ht="15" customHeight="1" x14ac:dyDescent="0.2">
      <c r="A1175" s="11">
        <f>Dados!A1203</f>
        <v>46202</v>
      </c>
      <c r="B1175" s="12">
        <f>STDEV(Dados!D1174:D1203)*SQRT(252)</f>
        <v>0.20240687287430711</v>
      </c>
      <c r="C1175" s="12">
        <f>STDEV(Dados!E1174:E1203)*SQRT(252)</f>
        <v>0.14449960254854738</v>
      </c>
    </row>
    <row r="1176" spans="1:3" ht="15" customHeight="1" x14ac:dyDescent="0.2">
      <c r="A1176" s="11">
        <f>Dados!A1204</f>
        <v>46203</v>
      </c>
      <c r="B1176" s="12">
        <f>STDEV(Dados!D1175:D1204)*SQRT(252)</f>
        <v>0.20296671369547303</v>
      </c>
      <c r="C1176" s="12">
        <f>STDEV(Dados!E1175:E1204)*SQRT(252)</f>
        <v>0.1455481987527058</v>
      </c>
    </row>
    <row r="1177" spans="1:3" ht="15" customHeight="1" x14ac:dyDescent="0.2">
      <c r="A1177" s="11">
        <f>Dados!A1205</f>
        <v>46204</v>
      </c>
      <c r="B1177" s="12">
        <f>STDEV(Dados!D1176:D1205)*SQRT(252)</f>
        <v>0.19262400361074886</v>
      </c>
      <c r="C1177" s="12">
        <f>STDEV(Dados!E1176:E1205)*SQRT(252)</f>
        <v>0.13905538903665771</v>
      </c>
    </row>
    <row r="1178" spans="1:3" ht="15" customHeight="1" x14ac:dyDescent="0.2">
      <c r="A1178" s="11">
        <f>Dados!A1206</f>
        <v>46205</v>
      </c>
      <c r="B1178" s="12">
        <f>STDEV(Dados!D1177:D1206)*SQRT(252)</f>
        <v>0.16640913702451743</v>
      </c>
      <c r="C1178" s="12">
        <f>STDEV(Dados!E1177:E1206)*SQRT(252)</f>
        <v>0.12998548284402542</v>
      </c>
    </row>
    <row r="1179" spans="1:3" ht="15" customHeight="1" x14ac:dyDescent="0.2">
      <c r="A1179" s="11">
        <f>Dados!A1207</f>
        <v>46206</v>
      </c>
      <c r="B1179" s="12">
        <f>STDEV(Dados!D1178:D1207)*SQRT(252)</f>
        <v>0.16852641288335027</v>
      </c>
      <c r="C1179" s="12">
        <f>STDEV(Dados!E1178:E1207)*SQRT(252)</f>
        <v>0.13200148648176477</v>
      </c>
    </row>
    <row r="1180" spans="1:3" ht="15" customHeight="1" x14ac:dyDescent="0.2">
      <c r="A1180" s="11">
        <f>Dados!A1208</f>
        <v>46209</v>
      </c>
      <c r="B1180" s="12">
        <f>STDEV(Dados!D1179:D1208)*SQRT(252)</f>
        <v>0.16645824931413911</v>
      </c>
      <c r="C1180" s="12">
        <f>STDEV(Dados!E1179:E1208)*SQRT(252)</f>
        <v>0.132648073661428</v>
      </c>
    </row>
    <row r="1181" spans="1:3" ht="15" customHeight="1" x14ac:dyDescent="0.2">
      <c r="A1181" s="11">
        <f>Dados!A1209</f>
        <v>46210</v>
      </c>
      <c r="B1181" s="12">
        <f>STDEV(Dados!D1180:D1209)*SQRT(252)</f>
        <v>0.15604112450836757</v>
      </c>
      <c r="C1181" s="12">
        <f>STDEV(Dados!E1180:E1209)*SQRT(252)</f>
        <v>0.12942388629415985</v>
      </c>
    </row>
    <row r="1182" spans="1:3" ht="15" customHeight="1" x14ac:dyDescent="0.2">
      <c r="A1182" s="11">
        <f>Dados!A1210</f>
        <v>46211</v>
      </c>
      <c r="B1182" s="12">
        <f>STDEV(Dados!D1181:D1210)*SQRT(252)</f>
        <v>0.15390723536528997</v>
      </c>
      <c r="C1182" s="12">
        <f>STDEV(Dados!E1181:E1210)*SQRT(252)</f>
        <v>0.12987376437449263</v>
      </c>
    </row>
    <row r="1183" spans="1:3" ht="15" customHeight="1" x14ac:dyDescent="0.2">
      <c r="A1183" s="11">
        <f>Dados!A1211</f>
        <v>46212</v>
      </c>
      <c r="B1183" s="12">
        <f>STDEV(Dados!D1182:D1211)*SQRT(252)</f>
        <v>0.1677836168376515</v>
      </c>
      <c r="C1183" s="12">
        <f>STDEV(Dados!E1182:E1211)*SQRT(252)</f>
        <v>0.13493069426917878</v>
      </c>
    </row>
    <row r="1184" spans="1:3" ht="15" customHeight="1" x14ac:dyDescent="0.2">
      <c r="A1184" s="11">
        <f>Dados!A1212</f>
        <v>46213</v>
      </c>
      <c r="B1184" s="12">
        <f>STDEV(Dados!D1183:D1212)*SQRT(252)</f>
        <v>0.19242341094060791</v>
      </c>
      <c r="C1184" s="12">
        <f>STDEV(Dados!E1183:E1212)*SQRT(252)</f>
        <v>0.15972867033257324</v>
      </c>
    </row>
    <row r="1185" spans="1:3" ht="15" customHeight="1" x14ac:dyDescent="0.2">
      <c r="A1185" s="11">
        <f>Dados!A1213</f>
        <v>46216</v>
      </c>
      <c r="B1185" s="12">
        <f>STDEV(Dados!D1184:D1213)*SQRT(252)</f>
        <v>0.19814223861801741</v>
      </c>
      <c r="C1185" s="12">
        <f>STDEV(Dados!E1184:E1213)*SQRT(252)</f>
        <v>0.16230477415435846</v>
      </c>
    </row>
    <row r="1186" spans="1:3" ht="15" customHeight="1" x14ac:dyDescent="0.2">
      <c r="A1186" s="11">
        <f>Dados!A1214</f>
        <v>46217</v>
      </c>
      <c r="B1186" s="12">
        <f>STDEV(Dados!D1185:D1214)*SQRT(252)</f>
        <v>0.19624031707613845</v>
      </c>
      <c r="C1186" s="12">
        <f>STDEV(Dados!E1185:E1214)*SQRT(252)</f>
        <v>0.16026408055735017</v>
      </c>
    </row>
    <row r="1187" spans="1:3" ht="15" customHeight="1" x14ac:dyDescent="0.2">
      <c r="A1187" s="11">
        <f>Dados!A1215</f>
        <v>46218</v>
      </c>
      <c r="B1187" s="12">
        <f>STDEV(Dados!D1186:D1215)*SQRT(252)</f>
        <v>0.19535363071405759</v>
      </c>
      <c r="C1187" s="12">
        <f>STDEV(Dados!E1186:E1215)*SQRT(252)</f>
        <v>0.15745667331487018</v>
      </c>
    </row>
    <row r="1188" spans="1:3" ht="15" customHeight="1" x14ac:dyDescent="0.2">
      <c r="A1188" s="11">
        <f>Dados!A1216</f>
        <v>46219</v>
      </c>
      <c r="B1188" s="12">
        <f>STDEV(Dados!D1187:D1216)*SQRT(252)</f>
        <v>0.1794106777017602</v>
      </c>
      <c r="C1188" s="12">
        <f>STDEV(Dados!E1187:E1216)*SQRT(252)</f>
        <v>0.14724884347854458</v>
      </c>
    </row>
    <row r="1189" spans="1:3" ht="15" customHeight="1" x14ac:dyDescent="0.2">
      <c r="A1189" s="11">
        <f>Dados!A1217</f>
        <v>46220</v>
      </c>
      <c r="B1189" s="12">
        <f>STDEV(Dados!D1188:D1217)*SQRT(252)</f>
        <v>0.17992372684657437</v>
      </c>
      <c r="C1189" s="12">
        <f>STDEV(Dados!E1188:E1217)*SQRT(252)</f>
        <v>0.1451488343728248</v>
      </c>
    </row>
    <row r="1190" spans="1:3" ht="15" customHeight="1" x14ac:dyDescent="0.2">
      <c r="A1190" s="11">
        <f>Dados!A1218</f>
        <v>46223</v>
      </c>
      <c r="B1190" s="12">
        <f>STDEV(Dados!D1189:D1218)*SQRT(252)</f>
        <v>0.17963825393847821</v>
      </c>
      <c r="C1190" s="12">
        <f>STDEV(Dados!E1189:E1218)*SQRT(252)</f>
        <v>0.14513185807241116</v>
      </c>
    </row>
    <row r="1191" spans="1:3" ht="15" customHeight="1" x14ac:dyDescent="0.2">
      <c r="A1191" s="11">
        <f>Dados!A1219</f>
        <v>46224</v>
      </c>
      <c r="B1191" s="12">
        <f>STDEV(Dados!D1190:D1219)*SQRT(252)</f>
        <v>0.17866712371223545</v>
      </c>
      <c r="C1191" s="12">
        <f>STDEV(Dados!E1190:E1219)*SQRT(252)</f>
        <v>0.14409831591190397</v>
      </c>
    </row>
    <row r="1192" spans="1:3" ht="15" customHeight="1" x14ac:dyDescent="0.2">
      <c r="A1192" s="11">
        <f>Dados!A1220</f>
        <v>46225</v>
      </c>
      <c r="B1192" s="12">
        <f>STDEV(Dados!D1191:D1220)*SQRT(252)</f>
        <v>0.18184022141664336</v>
      </c>
      <c r="C1192" s="12">
        <f>STDEV(Dados!E1191:E1220)*SQRT(252)</f>
        <v>0.15721023807898876</v>
      </c>
    </row>
    <row r="1193" spans="1:3" ht="15" customHeight="1" x14ac:dyDescent="0.2">
      <c r="A1193" s="11">
        <f>Dados!A1221</f>
        <v>46226</v>
      </c>
      <c r="B1193" s="12">
        <f>STDEV(Dados!D1192:D1221)*SQRT(252)</f>
        <v>0.17807177473597458</v>
      </c>
      <c r="C1193" s="12">
        <f>STDEV(Dados!E1192:E1221)*SQRT(252)</f>
        <v>0.15140767248640871</v>
      </c>
    </row>
    <row r="1194" spans="1:3" ht="15" customHeight="1" x14ac:dyDescent="0.2">
      <c r="A1194" s="11">
        <f>Dados!A1222</f>
        <v>46227</v>
      </c>
      <c r="B1194" s="12">
        <f>STDEV(Dados!D1193:D1222)*SQRT(252)</f>
        <v>0.18262378394325862</v>
      </c>
      <c r="C1194" s="12">
        <f>STDEV(Dados!E1193:E1222)*SQRT(252)</f>
        <v>0.15841728217518106</v>
      </c>
    </row>
    <row r="1195" spans="1:3" ht="15" customHeight="1" x14ac:dyDescent="0.2">
      <c r="A1195" s="11">
        <f>Dados!A1223</f>
        <v>46230</v>
      </c>
      <c r="B1195" s="12">
        <f>STDEV(Dados!D1194:D1223)*SQRT(252)</f>
        <v>0.18675692524525064</v>
      </c>
      <c r="C1195" s="12">
        <f>STDEV(Dados!E1194:E1223)*SQRT(252)</f>
        <v>0.15895130243677077</v>
      </c>
    </row>
    <row r="1196" spans="1:3" ht="15" customHeight="1" x14ac:dyDescent="0.2">
      <c r="A1196" s="11">
        <f>Dados!A1224</f>
        <v>46231</v>
      </c>
      <c r="B1196" s="12">
        <f>STDEV(Dados!D1195:D1224)*SQRT(252)</f>
        <v>0.1859196162169813</v>
      </c>
      <c r="C1196" s="12">
        <f>STDEV(Dados!E1195:E1224)*SQRT(252)</f>
        <v>0.15901569821485406</v>
      </c>
    </row>
    <row r="1197" spans="1:3" ht="15" customHeight="1" x14ac:dyDescent="0.2">
      <c r="A1197" s="11">
        <f>Dados!A1225</f>
        <v>46232</v>
      </c>
      <c r="B1197" s="12">
        <f>STDEV(Dados!D1196:D1225)*SQRT(252)</f>
        <v>0.19834158312020331</v>
      </c>
      <c r="C1197" s="12">
        <f>STDEV(Dados!E1196:E1225)*SQRT(252)</f>
        <v>0.16448788221245597</v>
      </c>
    </row>
    <row r="1198" spans="1:3" ht="15" customHeight="1" x14ac:dyDescent="0.2">
      <c r="A1198" s="11">
        <f>Dados!A1226</f>
        <v>46233</v>
      </c>
      <c r="B1198" s="12">
        <f>STDEV(Dados!D1197:D1226)*SQRT(252)</f>
        <v>0.20371735778775385</v>
      </c>
      <c r="C1198" s="12">
        <f>STDEV(Dados!E1197:E1226)*SQRT(252)</f>
        <v>0.17203442086612572</v>
      </c>
    </row>
    <row r="1199" spans="1:3" ht="15" customHeight="1" x14ac:dyDescent="0.2">
      <c r="A1199" s="11">
        <f>Dados!A1227</f>
        <v>46234</v>
      </c>
      <c r="B1199" s="12">
        <f>STDEV(Dados!D1198:D1227)*SQRT(252)</f>
        <v>0.20386121269443924</v>
      </c>
      <c r="C1199" s="12">
        <f>STDEV(Dados!E1198:E1227)*SQRT(252)</f>
        <v>0.17219957640658037</v>
      </c>
    </row>
    <row r="1200" spans="1:3" ht="15" customHeight="1" x14ac:dyDescent="0.2">
      <c r="A1200" s="11">
        <f>Dados!A1228</f>
        <v>46237</v>
      </c>
      <c r="B1200" s="12">
        <f>STDEV(Dados!D1199:D1228)*SQRT(252)</f>
        <v>0.20067998493717742</v>
      </c>
      <c r="C1200" s="12">
        <f>STDEV(Dados!E1199:E1228)*SQRT(252)</f>
        <v>0.16953912777262528</v>
      </c>
    </row>
    <row r="1201" spans="1:3" ht="15" customHeight="1" x14ac:dyDescent="0.2">
      <c r="A1201" s="11">
        <f>Dados!A1229</f>
        <v>46238</v>
      </c>
      <c r="B1201" s="12">
        <f>STDEV(Dados!D1200:D1229)*SQRT(252)</f>
        <v>0.20020070544859961</v>
      </c>
      <c r="C1201" s="12">
        <f>STDEV(Dados!E1200:E1229)*SQRT(252)</f>
        <v>0.16925870219701164</v>
      </c>
    </row>
    <row r="1202" spans="1:3" ht="15" customHeight="1" x14ac:dyDescent="0.2">
      <c r="A1202" s="11">
        <f>Dados!A1230</f>
        <v>46239</v>
      </c>
      <c r="B1202" s="12">
        <f>STDEV(Dados!D1201:D1230)*SQRT(252)</f>
        <v>0.20022564831431705</v>
      </c>
      <c r="C1202" s="12">
        <f>STDEV(Dados!E1201:E1230)*SQRT(252)</f>
        <v>0.16854863060035949</v>
      </c>
    </row>
    <row r="1203" spans="1:3" ht="15" customHeight="1" x14ac:dyDescent="0.2">
      <c r="A1203" s="11">
        <f>Dados!A1231</f>
        <v>46240</v>
      </c>
      <c r="B1203" s="12">
        <f>STDEV(Dados!D1202:D1231)*SQRT(252)</f>
        <v>0.20399956031758407</v>
      </c>
      <c r="C1203" s="12">
        <f>STDEV(Dados!E1202:E1231)*SQRT(252)</f>
        <v>0.17163140838635435</v>
      </c>
    </row>
    <row r="1204" spans="1:3" ht="15" customHeight="1" x14ac:dyDescent="0.2">
      <c r="A1204" s="11">
        <f>Dados!A1232</f>
        <v>46241</v>
      </c>
      <c r="B1204" s="12">
        <f>STDEV(Dados!D1203:D1232)*SQRT(252)</f>
        <v>0.20446427786005178</v>
      </c>
      <c r="C1204" s="12">
        <f>STDEV(Dados!E1203:E1232)*SQRT(252)</f>
        <v>0.17808908435312865</v>
      </c>
    </row>
    <row r="1205" spans="1:3" ht="15" customHeight="1" x14ac:dyDescent="0.2">
      <c r="A1205" s="11">
        <f>Dados!A1233</f>
        <v>46244</v>
      </c>
      <c r="B1205" s="12">
        <f>STDEV(Dados!D1204:D1233)*SQRT(252)</f>
        <v>0.20783390103699825</v>
      </c>
      <c r="C1205" s="12">
        <f>STDEV(Dados!E1204:E1233)*SQRT(252)</f>
        <v>0.17816155035128925</v>
      </c>
    </row>
    <row r="1206" spans="1:3" ht="15" customHeight="1" x14ac:dyDescent="0.2">
      <c r="A1206" s="11">
        <f>Dados!A1234</f>
        <v>46245</v>
      </c>
      <c r="B1206" s="12">
        <f>STDEV(Dados!D1205:D1234)*SQRT(252)</f>
        <v>0.21787305498594434</v>
      </c>
      <c r="C1206" s="12">
        <f>STDEV(Dados!E1205:E1234)*SQRT(252)</f>
        <v>0.19168626218967308</v>
      </c>
    </row>
    <row r="1207" spans="1:3" ht="15" customHeight="1" x14ac:dyDescent="0.2">
      <c r="A1207" s="11">
        <f>Dados!A1235</f>
        <v>46246</v>
      </c>
      <c r="B1207" s="12">
        <f>STDEV(Dados!D1206:D1235)*SQRT(252)</f>
        <v>0.21788734359311501</v>
      </c>
      <c r="C1207" s="12">
        <f>STDEV(Dados!E1206:E1235)*SQRT(252)</f>
        <v>0.19170634426150629</v>
      </c>
    </row>
    <row r="1208" spans="1:3" ht="15" customHeight="1" x14ac:dyDescent="0.2">
      <c r="A1208" s="11">
        <f>Dados!A1236</f>
        <v>46247</v>
      </c>
      <c r="B1208" s="12">
        <f>STDEV(Dados!D1207:D1236)*SQRT(252)</f>
        <v>0.21703584624823088</v>
      </c>
      <c r="C1208" s="12">
        <f>STDEV(Dados!E1207:E1236)*SQRT(252)</f>
        <v>0.19051992023201561</v>
      </c>
    </row>
    <row r="1209" spans="1:3" ht="15" customHeight="1" x14ac:dyDescent="0.2">
      <c r="A1209" s="11">
        <f>Dados!A1237</f>
        <v>46248</v>
      </c>
      <c r="B1209" s="12">
        <f>STDEV(Dados!D1208:D1237)*SQRT(252)</f>
        <v>0.21533508193182535</v>
      </c>
      <c r="C1209" s="12">
        <f>STDEV(Dados!E1208:E1237)*SQRT(252)</f>
        <v>0.18880835619916753</v>
      </c>
    </row>
    <row r="1210" spans="1:3" ht="15" customHeight="1" x14ac:dyDescent="0.2">
      <c r="A1210" s="11">
        <f>Dados!A1238</f>
        <v>46251</v>
      </c>
      <c r="B1210" s="12">
        <f>STDEV(Dados!D1209:D1238)*SQRT(252)</f>
        <v>0.21421415982714359</v>
      </c>
      <c r="C1210" s="12">
        <f>STDEV(Dados!E1209:E1238)*SQRT(252)</f>
        <v>0.18729256403096806</v>
      </c>
    </row>
    <row r="1211" spans="1:3" ht="15" customHeight="1" x14ac:dyDescent="0.2">
      <c r="A1211" s="11">
        <f>Dados!A1239</f>
        <v>46252</v>
      </c>
      <c r="B1211" s="12">
        <f>STDEV(Dados!D1210:D1239)*SQRT(252)</f>
        <v>0.21432824030927347</v>
      </c>
      <c r="C1211" s="12">
        <f>STDEV(Dados!E1210:E1239)*SQRT(252)</f>
        <v>0.18730733950026121</v>
      </c>
    </row>
    <row r="1212" spans="1:3" ht="15" customHeight="1" x14ac:dyDescent="0.2">
      <c r="A1212" s="11">
        <f>Dados!A1240</f>
        <v>46253</v>
      </c>
      <c r="B1212" s="12">
        <f>STDEV(Dados!D1211:D1240)*SQRT(252)</f>
        <v>0.2164851973603418</v>
      </c>
      <c r="C1212" s="12">
        <f>STDEV(Dados!E1211:E1240)*SQRT(252)</f>
        <v>0.18834132272923618</v>
      </c>
    </row>
    <row r="1213" spans="1:3" ht="15" customHeight="1" x14ac:dyDescent="0.2">
      <c r="A1213" s="11">
        <f>Dados!A1241</f>
        <v>46254</v>
      </c>
      <c r="B1213" s="12">
        <f>STDEV(Dados!D1212:D1241)*SQRT(252)</f>
        <v>0.2057902275267777</v>
      </c>
      <c r="C1213" s="12">
        <f>STDEV(Dados!E1212:E1241)*SQRT(252)</f>
        <v>0.18449418475425169</v>
      </c>
    </row>
    <row r="1214" spans="1:3" ht="15" customHeight="1" x14ac:dyDescent="0.2">
      <c r="A1214" s="11">
        <f>Dados!A1242</f>
        <v>46255</v>
      </c>
      <c r="B1214" s="12">
        <f>STDEV(Dados!D1213:D1242)*SQRT(252)</f>
        <v>0.19760968438131771</v>
      </c>
      <c r="C1214" s="12">
        <f>STDEV(Dados!E1213:E1242)*SQRT(252)</f>
        <v>0.17122141234082466</v>
      </c>
    </row>
    <row r="1215" spans="1:3" ht="15" customHeight="1" x14ac:dyDescent="0.2">
      <c r="A1215" s="11">
        <f>Dados!A1243</f>
        <v>46258</v>
      </c>
      <c r="B1215" s="12">
        <f>STDEV(Dados!D1214:D1243)*SQRT(252)</f>
        <v>0.19270936210795153</v>
      </c>
      <c r="C1215" s="12">
        <f>STDEV(Dados!E1214:E1243)*SQRT(252)</f>
        <v>0.16908347704576751</v>
      </c>
    </row>
    <row r="1216" spans="1:3" ht="15" customHeight="1" x14ac:dyDescent="0.2">
      <c r="A1216" s="11">
        <f>Dados!A1244</f>
        <v>46259</v>
      </c>
      <c r="B1216" s="12">
        <f>STDEV(Dados!D1215:D1244)*SQRT(252)</f>
        <v>0.20319084565143344</v>
      </c>
      <c r="C1216" s="12">
        <f>STDEV(Dados!E1215:E1244)*SQRT(252)</f>
        <v>0.17471796665049122</v>
      </c>
    </row>
    <row r="1217" spans="1:3" ht="15" customHeight="1" x14ac:dyDescent="0.2">
      <c r="A1217" s="11">
        <f>Dados!A1245</f>
        <v>46260</v>
      </c>
      <c r="B1217" s="12">
        <f>STDEV(Dados!D1216:D1245)*SQRT(252)</f>
        <v>0.2031821578603179</v>
      </c>
      <c r="C1217" s="12">
        <f>STDEV(Dados!E1216:E1245)*SQRT(252)</f>
        <v>0.17446012135832509</v>
      </c>
    </row>
    <row r="1218" spans="1:3" ht="15" customHeight="1" x14ac:dyDescent="0.2">
      <c r="A1218" s="11">
        <f>Dados!A1246</f>
        <v>46261</v>
      </c>
      <c r="B1218" s="12">
        <f>STDEV(Dados!D1217:D1246)*SQRT(252)</f>
        <v>0.20222266403954814</v>
      </c>
      <c r="C1218" s="12">
        <f>STDEV(Dados!E1217:E1246)*SQRT(252)</f>
        <v>0.17078524473967591</v>
      </c>
    </row>
    <row r="1219" spans="1:3" ht="15" customHeight="1" x14ac:dyDescent="0.2">
      <c r="A1219" s="11">
        <f>Dados!A1247</f>
        <v>46262</v>
      </c>
      <c r="B1219" s="12">
        <f>STDEV(Dados!D1218:D1247)*SQRT(252)</f>
        <v>0.2017292239851029</v>
      </c>
      <c r="C1219" s="12">
        <f>STDEV(Dados!E1218:E1247)*SQRT(252)</f>
        <v>0.17094909371304517</v>
      </c>
    </row>
    <row r="1220" spans="1:3" ht="15" customHeight="1" x14ac:dyDescent="0.2">
      <c r="A1220" s="11">
        <f>Dados!A1248</f>
        <v>46265</v>
      </c>
      <c r="B1220" s="12">
        <f>STDEV(Dados!D1219:D1248)*SQRT(252)</f>
        <v>0.20611473438939729</v>
      </c>
      <c r="C1220" s="12">
        <f>STDEV(Dados!E1219:E1248)*SQRT(252)</f>
        <v>0.17300072619783535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6" zoomScaleNormal="100" workbookViewId="0">
      <selection activeCell="F42" sqref="F42"/>
    </sheetView>
  </sheetViews>
  <sheetFormatPr baseColWidth="10" defaultColWidth="8.6640625" defaultRowHeight="15" x14ac:dyDescent="0.2"/>
  <sheetData>
    <row r="1" spans="1:1" ht="15.75" customHeight="1" x14ac:dyDescent="0.2">
      <c r="A1" s="13" t="s">
        <v>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Tabela1_Estatisticas</vt:lpstr>
      <vt:lpstr>Fig2_VolatilidadeMovel</vt:lpstr>
      <vt:lpstr>Figura1_Graficos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ORLANDO YESID ESPARZA ALBARRACIN</cp:lastModifiedBy>
  <cp:revision>3</cp:revision>
  <dcterms:created xsi:type="dcterms:W3CDTF">2026-09-02T00:31:21Z</dcterms:created>
  <dcterms:modified xsi:type="dcterms:W3CDTF">2026-10-04T21:18:36Z</dcterms:modified>
  <dc:language>en-US</dc:language>
</cp:coreProperties>
</file>